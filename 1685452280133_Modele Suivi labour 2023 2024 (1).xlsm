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sylla\Desktop\"/>
    </mc:Choice>
  </mc:AlternateContent>
  <xr:revisionPtr revIDLastSave="0" documentId="13_ncr:1_{D082DDCA-5FBE-4DC9-817B-D23F601CB8F8}" xr6:coauthVersionLast="47" xr6:coauthVersionMax="47" xr10:uidLastSave="{00000000-0000-0000-0000-000000000000}"/>
  <bookViews>
    <workbookView xWindow="-120" yWindow="-120" windowWidth="20730" windowHeight="11160" tabRatio="826" xr2:uid="{9B7A1703-1C99-4DFE-9B2D-4582AE6382E5}"/>
  </bookViews>
  <sheets>
    <sheet name="Accueil" sheetId="8" r:id="rId1"/>
    <sheet name="Base de données" sheetId="1" state="hidden" r:id="rId2"/>
    <sheet name="Synthèse" sheetId="6" state="hidden" r:id="rId3"/>
    <sheet name="Producteurs payés" sheetId="4" state="hidden" r:id="rId4"/>
    <sheet name="Hectares payés" sheetId="5" state="hidden" r:id="rId5"/>
    <sheet name="Enregistrés" sheetId="2" state="hidden" r:id="rId6"/>
    <sheet name="Feuil7" sheetId="7" state="hidden" r:id="rId7"/>
    <sheet name="Parametre" sheetId="9" state="hidden" r:id="rId8"/>
  </sheets>
  <definedNames>
    <definedName name="_xlnm._FilterDatabase" localSheetId="1" hidden="1">'Base de données'!$A$1:$AD$1070</definedName>
    <definedName name="_xlnm._FilterDatabase" localSheetId="6" hidden="1">Feuil7!$D$3:$E$3</definedName>
  </definedNames>
  <calcPr calcId="191028"/>
  <pivotCaches>
    <pivotCache cacheId="8" r:id="rId9"/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" i="6"/>
  <c r="C3" i="6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2" i="1"/>
  <c r="E20" i="7"/>
  <c r="B32" i="6"/>
  <c r="C32" i="6"/>
  <c r="D32" i="6"/>
  <c r="B33" i="6"/>
  <c r="C33" i="6"/>
  <c r="D33" i="6"/>
  <c r="B34" i="6"/>
  <c r="C34" i="6"/>
  <c r="D34" i="6"/>
  <c r="B35" i="6"/>
  <c r="C35" i="6"/>
  <c r="D35" i="6"/>
  <c r="B36" i="6"/>
  <c r="C36" i="6"/>
  <c r="D36" i="6"/>
  <c r="B37" i="6"/>
  <c r="C37" i="6"/>
  <c r="D37" i="6"/>
  <c r="B38" i="6"/>
  <c r="B39" i="6"/>
  <c r="B40" i="6"/>
  <c r="B41" i="6"/>
  <c r="B42" i="6"/>
  <c r="B43" i="6"/>
  <c r="B44" i="6"/>
  <c r="B45" i="6"/>
  <c r="B46" i="6"/>
  <c r="B47" i="6"/>
  <c r="B48" i="6"/>
  <c r="C48" i="6"/>
  <c r="C31" i="6"/>
  <c r="D31" i="6"/>
  <c r="B31" i="6"/>
  <c r="E11" i="7"/>
  <c r="C39" i="6"/>
  <c r="E12" i="7"/>
  <c r="C40" i="6"/>
  <c r="E13" i="7"/>
  <c r="C41" i="6"/>
  <c r="E14" i="7"/>
  <c r="C42" i="6"/>
  <c r="E15" i="7"/>
  <c r="C43" i="6"/>
  <c r="E16" i="7"/>
  <c r="C44" i="6"/>
  <c r="E17" i="7"/>
  <c r="C45" i="6"/>
  <c r="E18" i="7"/>
  <c r="C46" i="6"/>
  <c r="E19" i="7"/>
  <c r="C47" i="6"/>
  <c r="E10" i="7"/>
  <c r="C38" i="6"/>
  <c r="F6" i="7"/>
  <c r="F7" i="7"/>
  <c r="F8" i="7"/>
  <c r="F9" i="7"/>
  <c r="F5" i="7"/>
  <c r="F4" i="7"/>
  <c r="F10" i="7"/>
  <c r="F11" i="7"/>
  <c r="D38" i="6"/>
  <c r="F12" i="7"/>
  <c r="D39" i="6"/>
  <c r="F13" i="7"/>
  <c r="D40" i="6"/>
  <c r="F14" i="7"/>
  <c r="D41" i="6"/>
  <c r="F15" i="7"/>
  <c r="D42" i="6"/>
  <c r="F16" i="7"/>
  <c r="D43" i="6"/>
  <c r="D44" i="6"/>
  <c r="F17" i="7"/>
  <c r="F18" i="7"/>
  <c r="D45" i="6"/>
  <c r="F19" i="7"/>
  <c r="D46" i="6"/>
  <c r="D47" i="6"/>
  <c r="F20" i="7"/>
  <c r="D48" i="6"/>
</calcChain>
</file>

<file path=xl/sharedStrings.xml><?xml version="1.0" encoding="utf-8"?>
<sst xmlns="http://schemas.openxmlformats.org/spreadsheetml/2006/main" count="13453" uniqueCount="1786">
  <si>
    <t>Horodateur</t>
  </si>
  <si>
    <t>Préfecture</t>
  </si>
  <si>
    <t>Localisation de la base logistique de votre CPA</t>
  </si>
  <si>
    <t>Quel est le type de demande ?</t>
  </si>
  <si>
    <t>Prénom et nom du producteur ou nom de l'entreprise</t>
  </si>
  <si>
    <t>Numéro de téléphone du producteur</t>
  </si>
  <si>
    <t>2eme numéro du téléphone du producteur</t>
  </si>
  <si>
    <t>Localisation du champ</t>
  </si>
  <si>
    <t>Estimation (en KM) de la distance entre le champ et la base logistique du CPA</t>
  </si>
  <si>
    <t>Type d'opération</t>
  </si>
  <si>
    <t>Estimation du nombre d'hectares à déchaumer, labourer ou pulvériser pour le producteur</t>
  </si>
  <si>
    <t>Quel est le nom LOCAL de la variété de culture que le producteur compte cultiver sur ce champ ?</t>
  </si>
  <si>
    <t>Nom scientifique ou conventionnel de la variété de culture</t>
  </si>
  <si>
    <t>Quel est le cycle végétatif la variété de riz concerné?</t>
  </si>
  <si>
    <t>Date est la date prévue pour l'opération?</t>
  </si>
  <si>
    <t>Observation</t>
  </si>
  <si>
    <t>Chef du CPA</t>
  </si>
  <si>
    <t>Type de culture</t>
  </si>
  <si>
    <t>Statut du labour</t>
  </si>
  <si>
    <t>Superficie demandée pour le labour</t>
  </si>
  <si>
    <t>Date de demande</t>
  </si>
  <si>
    <t>Numéro de parc du Tracteur</t>
  </si>
  <si>
    <t>Superviseur</t>
  </si>
  <si>
    <t>Commentaire</t>
  </si>
  <si>
    <t>Filtre</t>
  </si>
  <si>
    <t>Macenta</t>
  </si>
  <si>
    <t>Direction préfectorale de l'agriculture et de l'élevage de Macenta</t>
  </si>
  <si>
    <t>Collectif</t>
  </si>
  <si>
    <t>Association des agronomes retraités pour le développement de Macenta</t>
  </si>
  <si>
    <t>Macenta Centre</t>
  </si>
  <si>
    <t>Déchaumage</t>
  </si>
  <si>
    <t>Abou</t>
  </si>
  <si>
    <t>Oriza sativa</t>
  </si>
  <si>
    <t>5 mois</t>
  </si>
  <si>
    <t>Pas</t>
  </si>
  <si>
    <t>Alexandre Kpoghomou</t>
  </si>
  <si>
    <t>Riz</t>
  </si>
  <si>
    <t>Entreprise guinéenne de production agricole (EGUIPA )</t>
  </si>
  <si>
    <t>Labour - uniquement</t>
  </si>
  <si>
    <t>Champs de piment</t>
  </si>
  <si>
    <t>Petit piment</t>
  </si>
  <si>
    <t>9 mois</t>
  </si>
  <si>
    <t>Individuel</t>
  </si>
  <si>
    <t>François inapogui</t>
  </si>
  <si>
    <t>Daouda Keita</t>
  </si>
  <si>
    <t>Kouankan</t>
  </si>
  <si>
    <t>Samaka</t>
  </si>
  <si>
    <t>4 mois</t>
  </si>
  <si>
    <t>Damas tonguino</t>
  </si>
  <si>
    <t>Ourémai</t>
  </si>
  <si>
    <t>Chinoiba</t>
  </si>
  <si>
    <t>Lanciné Diallo</t>
  </si>
  <si>
    <t>Djoukeme</t>
  </si>
  <si>
    <t>Siguiri</t>
  </si>
  <si>
    <t>Kaba DOUMBOUYA</t>
  </si>
  <si>
    <t>Bankon</t>
  </si>
  <si>
    <t>Nenkin</t>
  </si>
  <si>
    <t>3 mois</t>
  </si>
  <si>
    <t>Nanamoudou ll Magassouba</t>
  </si>
  <si>
    <t>En cours</t>
  </si>
  <si>
    <t>Siguiri 1</t>
  </si>
  <si>
    <t>Kaba KEITA</t>
  </si>
  <si>
    <t>Siguiri Centre</t>
  </si>
  <si>
    <t>Nerica19</t>
  </si>
  <si>
    <t>Mamoudou CONDE</t>
  </si>
  <si>
    <t>Cultures maraîchère</t>
  </si>
  <si>
    <t>Culture maraîchère</t>
  </si>
  <si>
    <t>Culture maraichère</t>
  </si>
  <si>
    <t>Daman Keita</t>
  </si>
  <si>
    <t>Kintinian</t>
  </si>
  <si>
    <t>Nenkin, Nerica19, Chinois....</t>
  </si>
  <si>
    <t>Nenkin, Nerica19, chinois</t>
  </si>
  <si>
    <t>Elhdj Fode Barry</t>
  </si>
  <si>
    <t>Chinois</t>
  </si>
  <si>
    <t>Lamine Diallo</t>
  </si>
  <si>
    <t>Sindian TRAORE</t>
  </si>
  <si>
    <t>Kiniébakoura</t>
  </si>
  <si>
    <t>Nerica19, Nenkin, Dissi....</t>
  </si>
  <si>
    <t>Nerica19, Nenkin, Dissi</t>
  </si>
  <si>
    <t>Kankan</t>
  </si>
  <si>
    <t>Bordeaux</t>
  </si>
  <si>
    <t>N'FALY Berete</t>
  </si>
  <si>
    <t>Bate-Nafadji</t>
  </si>
  <si>
    <t>Gbintirima</t>
  </si>
  <si>
    <t>Variété tardive</t>
  </si>
  <si>
    <t>Petit producteur</t>
  </si>
  <si>
    <t>Moussa Alamako Keita</t>
  </si>
  <si>
    <t>Biridjan Keita</t>
  </si>
  <si>
    <t>Nenkenba</t>
  </si>
  <si>
    <t>Variété locale</t>
  </si>
  <si>
    <t>6 mois</t>
  </si>
  <si>
    <t>Taliby kaba</t>
  </si>
  <si>
    <t>Moribayah</t>
  </si>
  <si>
    <t>Ck90</t>
  </si>
  <si>
    <t>Variété améliorée</t>
  </si>
  <si>
    <t>Pas urgent</t>
  </si>
  <si>
    <t>Mamady Kaba CAMARA</t>
  </si>
  <si>
    <t>Banankou</t>
  </si>
  <si>
    <t>Manioc</t>
  </si>
  <si>
    <t>Almamy Sylla</t>
  </si>
  <si>
    <t>Entreprise guinéenne de production agricole EGUIPA</t>
  </si>
  <si>
    <t>Labour + Pulvérisation</t>
  </si>
  <si>
    <t>Le petit piment</t>
  </si>
  <si>
    <t>Solo TRAORE</t>
  </si>
  <si>
    <t>Nenkin, Djoukeme</t>
  </si>
  <si>
    <t>Nenkin, Dioukeme</t>
  </si>
  <si>
    <t>Mamady DOUMBOUYA</t>
  </si>
  <si>
    <t>Kaolaka</t>
  </si>
  <si>
    <t>Jean Beavogui</t>
  </si>
  <si>
    <t>en cours</t>
  </si>
  <si>
    <t>Patricia Akoï Mara</t>
  </si>
  <si>
    <t>Daro</t>
  </si>
  <si>
    <t>OPAPE organisation pour la promotion agro-pastorale et environnement</t>
  </si>
  <si>
    <t>Djoukeme et chinoiba</t>
  </si>
  <si>
    <t>Mohamed kourouma</t>
  </si>
  <si>
    <t>Mamou</t>
  </si>
  <si>
    <t>Petel Mamou</t>
  </si>
  <si>
    <t>Mouctar Barry</t>
  </si>
  <si>
    <t>Soyah</t>
  </si>
  <si>
    <t>Kalya</t>
  </si>
  <si>
    <t>CK 90</t>
  </si>
  <si>
    <t>Tout va bien pour le moment</t>
  </si>
  <si>
    <t>Mamadouba Camara</t>
  </si>
  <si>
    <t>Boké</t>
  </si>
  <si>
    <t>boké centre</t>
  </si>
  <si>
    <t>el karamba Guirarssy</t>
  </si>
  <si>
    <t>Kolaboui</t>
  </si>
  <si>
    <t>djoumou kémé</t>
  </si>
  <si>
    <t>connais pas le nom d'abord</t>
  </si>
  <si>
    <t>il doit faire le 1er labour d'abord</t>
  </si>
  <si>
    <t>Elhadj Souaré Mamadou Dian</t>
  </si>
  <si>
    <t>Mohamed Bignè FOFANA</t>
  </si>
  <si>
    <t>Pulvérisation - uniquement</t>
  </si>
  <si>
    <t>Abou, djoukeme et CK 90</t>
  </si>
  <si>
    <t>Mamadi Bereté</t>
  </si>
  <si>
    <t>Jogbacie</t>
  </si>
  <si>
    <t>Bangaly Camara</t>
  </si>
  <si>
    <t>Youssouf Traoré</t>
  </si>
  <si>
    <t>Amara Bereté</t>
  </si>
  <si>
    <t>Fodé TRAORE</t>
  </si>
  <si>
    <t>Kouya-Food Supply</t>
  </si>
  <si>
    <t>Djibril Keita</t>
  </si>
  <si>
    <t>Kobikoro</t>
  </si>
  <si>
    <t>Riz laye Namory</t>
  </si>
  <si>
    <t>Variété locale et tardive</t>
  </si>
  <si>
    <t>Sadio Diallo</t>
  </si>
  <si>
    <t>Seydouba</t>
  </si>
  <si>
    <t>Nerica</t>
  </si>
  <si>
    <t>Tout ce passe bien</t>
  </si>
  <si>
    <t>Bakary DOUMBOUYA</t>
  </si>
  <si>
    <t>Siguiri 2</t>
  </si>
  <si>
    <t>Aboubacar Sidiki Sangare</t>
  </si>
  <si>
    <t>Siguiri 3</t>
  </si>
  <si>
    <t>Siguiri 4</t>
  </si>
  <si>
    <t>Fode TRAORE</t>
  </si>
  <si>
    <t>Siguiri 5</t>
  </si>
  <si>
    <t>Direction préfectorale de l'agriculture et de l'élevage de Macenta l'élev</t>
  </si>
  <si>
    <t>Mamadi Camara</t>
  </si>
  <si>
    <t>Boké centre</t>
  </si>
  <si>
    <t>Ousmane Deen Diaby</t>
  </si>
  <si>
    <t>Tanéné</t>
  </si>
  <si>
    <t>non</t>
  </si>
  <si>
    <t>c'est un champ collectif on ne connait pas la variété d abord.</t>
  </si>
  <si>
    <t>Sékou kourouma</t>
  </si>
  <si>
    <t>Moribanara</t>
  </si>
  <si>
    <t>Vakaba Camara</t>
  </si>
  <si>
    <t>Sékou Camara</t>
  </si>
  <si>
    <t>Djakouba Camara</t>
  </si>
  <si>
    <t>Makoura Valy kourouma</t>
  </si>
  <si>
    <t>Magnaba Mamadi Camara</t>
  </si>
  <si>
    <t>N faly Camara</t>
  </si>
  <si>
    <t>Kemo Condé</t>
  </si>
  <si>
    <t>Mafarima Kourouma</t>
  </si>
  <si>
    <t>Moussa Kourouma</t>
  </si>
  <si>
    <t>Sidiki kourouma Makoura</t>
  </si>
  <si>
    <t>Mousoukoura Laye Camara</t>
  </si>
  <si>
    <t>Aly kourouma</t>
  </si>
  <si>
    <t>Bore Sidiki Keita</t>
  </si>
  <si>
    <t>Amara Bakino Camara</t>
  </si>
  <si>
    <t>Mory Camara</t>
  </si>
  <si>
    <t>Matenin Sidiki Keita</t>
  </si>
  <si>
    <t>Mamadi kourouma</t>
  </si>
  <si>
    <t>Mateneke Sidiki kourouma</t>
  </si>
  <si>
    <t>Boï Mamadi Konaté</t>
  </si>
  <si>
    <t>Fatta Lanciné Kane</t>
  </si>
  <si>
    <t>Maboussa Mamadi Condé</t>
  </si>
  <si>
    <t>Amara kané</t>
  </si>
  <si>
    <t>Bakary Mariame Camara</t>
  </si>
  <si>
    <t>Tougna Moussa kourouma</t>
  </si>
  <si>
    <t>Shaka Moussa Condé</t>
  </si>
  <si>
    <t>Watta Sidiki Keita</t>
  </si>
  <si>
    <t>Mala Laye Camara</t>
  </si>
  <si>
    <t>Mala kourouma</t>
  </si>
  <si>
    <t>Mory kourouma</t>
  </si>
  <si>
    <t>Sory Keita</t>
  </si>
  <si>
    <t>Massama Camara</t>
  </si>
  <si>
    <t>Zoumane Bouba Camara</t>
  </si>
  <si>
    <t>Magna Condé et Mamadi Camara</t>
  </si>
  <si>
    <t>Ousmane Camara</t>
  </si>
  <si>
    <t>Sidiki Diakité</t>
  </si>
  <si>
    <t>Mamadi Keita</t>
  </si>
  <si>
    <t>Sassa Moussa Camara</t>
  </si>
  <si>
    <t>Pas de</t>
  </si>
  <si>
    <t>Fabory komara</t>
  </si>
  <si>
    <t>Massan Camara</t>
  </si>
  <si>
    <t>Gnada Beavogui</t>
  </si>
  <si>
    <t>Facely kourouma</t>
  </si>
  <si>
    <t>CK90 , chinoiba</t>
  </si>
  <si>
    <t>Karamo Dansoko</t>
  </si>
  <si>
    <t>Nioronka</t>
  </si>
  <si>
    <t>Siguiri 6</t>
  </si>
  <si>
    <t>Thierno Ibrahima Diallo</t>
  </si>
  <si>
    <t>Dounet</t>
  </si>
  <si>
    <t>Kobokobo</t>
  </si>
  <si>
    <t>Kalenda</t>
  </si>
  <si>
    <t>Tout ce passe bien pour le moment</t>
  </si>
  <si>
    <t>Sere Moussa Keita</t>
  </si>
  <si>
    <t>Bily Diawara</t>
  </si>
  <si>
    <t>Variété tardive et locale</t>
  </si>
  <si>
    <t>Amara camara</t>
  </si>
  <si>
    <t>N'FALY Diawara</t>
  </si>
  <si>
    <t>Lanfia Keita</t>
  </si>
  <si>
    <t>Moussa toure</t>
  </si>
  <si>
    <t>Nenken</t>
  </si>
  <si>
    <t>Dissibawoulen</t>
  </si>
  <si>
    <t>Guéckédou</t>
  </si>
  <si>
    <t>Centre de Gueckédou</t>
  </si>
  <si>
    <t>Mamady Sanoh</t>
  </si>
  <si>
    <t>Guendembou</t>
  </si>
  <si>
    <t>Gombo</t>
  </si>
  <si>
    <t>Abelmoschus esculentus</t>
  </si>
  <si>
    <t>Le producteur veu faire une culture intercalaires (le gombo et l'aubergine).</t>
  </si>
  <si>
    <t>Lamine Condé</t>
  </si>
  <si>
    <t>Siguiri 7</t>
  </si>
  <si>
    <t>Dinguiraye</t>
  </si>
  <si>
    <t>Dinguiraye centre</t>
  </si>
  <si>
    <t>yaya savané</t>
  </si>
  <si>
    <t>Banora</t>
  </si>
  <si>
    <t>Dissi oulén</t>
  </si>
  <si>
    <t>C'est une variété locale</t>
  </si>
  <si>
    <t>Mamadou 1 Diallo</t>
  </si>
  <si>
    <t>Mandiana</t>
  </si>
  <si>
    <t>Bloc Administratif de la préfecture</t>
  </si>
  <si>
    <t>Groupement Fadimala</t>
  </si>
  <si>
    <t>Dialakoro</t>
  </si>
  <si>
    <t>Kamiaka, Nenken, 52</t>
  </si>
  <si>
    <t>Ne connais pas</t>
  </si>
  <si>
    <t>Nounkè Doumbouya</t>
  </si>
  <si>
    <t>Esther dopavogui</t>
  </si>
  <si>
    <t>Faya Kamano</t>
  </si>
  <si>
    <t>Mais nom local :Dookorony</t>
  </si>
  <si>
    <t>Gea mais saccharata</t>
  </si>
  <si>
    <t>Maïs</t>
  </si>
  <si>
    <t>Beyla</t>
  </si>
  <si>
    <t>Centre</t>
  </si>
  <si>
    <t>Abdoulaye SANGARÉ</t>
  </si>
  <si>
    <t>Bossou</t>
  </si>
  <si>
    <t>Malogbe, Bloky</t>
  </si>
  <si>
    <t>Oryza</t>
  </si>
  <si>
    <t>Si calendrier agricole est respecté OUI</t>
  </si>
  <si>
    <t>Mohamed Billo Sangare</t>
  </si>
  <si>
    <t>NVa Kaba Kourouma</t>
  </si>
  <si>
    <t>Beyla Centre</t>
  </si>
  <si>
    <t>Perta</t>
  </si>
  <si>
    <t>Zea mays</t>
  </si>
  <si>
    <t>Possible si calendrier agricole est respecté</t>
  </si>
  <si>
    <t>Elh Keme Sam Kourouma</t>
  </si>
  <si>
    <t>Laye. Albert DORE</t>
  </si>
  <si>
    <t>Guéassou</t>
  </si>
  <si>
    <t>Malogbe</t>
  </si>
  <si>
    <t>La. Pluviométrie du milieu de prête aux labours</t>
  </si>
  <si>
    <t>Groupement Agricole Nouvelle Vision GAN V</t>
  </si>
  <si>
    <t>Ses mays</t>
  </si>
  <si>
    <t>La pluviométrie favorable à débuté là-bas</t>
  </si>
  <si>
    <t>Saadama Laye Donzo</t>
  </si>
  <si>
    <t>Période favorable</t>
  </si>
  <si>
    <t>Sàa Wanalé Milimono</t>
  </si>
  <si>
    <t>Guéckédou Centre</t>
  </si>
  <si>
    <t>K5</t>
  </si>
  <si>
    <t>Zea maîs</t>
  </si>
  <si>
    <t>Mamady Traoré</t>
  </si>
  <si>
    <t>Yaro</t>
  </si>
  <si>
    <t>Solanum mélongena</t>
  </si>
  <si>
    <t>Fode MAGASSOUBA</t>
  </si>
  <si>
    <t>Dissi</t>
  </si>
  <si>
    <t>Alpha CAMARA</t>
  </si>
  <si>
    <t>Maléa</t>
  </si>
  <si>
    <t>Nenkin, Dissi....</t>
  </si>
  <si>
    <t>Nenkin....</t>
  </si>
  <si>
    <t>el koldougou</t>
  </si>
  <si>
    <t>dans kolaboui</t>
  </si>
  <si>
    <t>Mariam Doumbouya</t>
  </si>
  <si>
    <t>se trouve dans Tanéné</t>
  </si>
  <si>
    <t>Groupement Allawaly</t>
  </si>
  <si>
    <t>Sangaredi</t>
  </si>
  <si>
    <t>au mois de mars 2023</t>
  </si>
  <si>
    <t>Groupement Mamadouba Camara</t>
  </si>
  <si>
    <t>pour le mois de juin 1ère quinzaine</t>
  </si>
  <si>
    <t>Mohamed Dia</t>
  </si>
  <si>
    <t>pour le mois de mars 2023</t>
  </si>
  <si>
    <t>Mariama Limba Bah</t>
  </si>
  <si>
    <t>Lansana Dramé</t>
  </si>
  <si>
    <t>Alia sampou</t>
  </si>
  <si>
    <t>Dabiss</t>
  </si>
  <si>
    <t>Alia Bangoura</t>
  </si>
  <si>
    <t>Kamsar</t>
  </si>
  <si>
    <t>dans kamsar à kabogossy</t>
  </si>
  <si>
    <t>Abdoulaye Camara</t>
  </si>
  <si>
    <t>Kanfarandé</t>
  </si>
  <si>
    <t>Souleymane Souaré</t>
  </si>
  <si>
    <t>au mois de juin 2024</t>
  </si>
  <si>
    <t>Mamadou Arafan Camara</t>
  </si>
  <si>
    <t>au mois de juin 2023</t>
  </si>
  <si>
    <t>Sanfan kouyate</t>
  </si>
  <si>
    <t>Dissiba-oulén</t>
  </si>
  <si>
    <t>Baba Cherif</t>
  </si>
  <si>
    <t>Inconnu</t>
  </si>
  <si>
    <t>Sidy Oularé</t>
  </si>
  <si>
    <t>Doukono</t>
  </si>
  <si>
    <t>Sory Camara</t>
  </si>
  <si>
    <t>Bangalyba malo</t>
  </si>
  <si>
    <t>Producteur moins</t>
  </si>
  <si>
    <t>Elhadji Sidiky Cherif</t>
  </si>
  <si>
    <t>Ck 90</t>
  </si>
  <si>
    <t>Gombo et Aubergine</t>
  </si>
  <si>
    <t>Pour le Gombo : Abelmoschus esculentus ; Pour l'aubergine : Solanum mélongena.</t>
  </si>
  <si>
    <t>Zea mais</t>
  </si>
  <si>
    <t>Adama Keira</t>
  </si>
  <si>
    <t>Fodé Bangaly condé</t>
  </si>
  <si>
    <t>Missamana</t>
  </si>
  <si>
    <t>Ck8o1</t>
  </si>
  <si>
    <t>Amadou DOUMBOUYA</t>
  </si>
  <si>
    <t>Boula</t>
  </si>
  <si>
    <t>Kaoulaka</t>
  </si>
  <si>
    <t>Grand producteur</t>
  </si>
  <si>
    <t>Soulemane Sangare</t>
  </si>
  <si>
    <t>Koumban</t>
  </si>
  <si>
    <t>Draponi</t>
  </si>
  <si>
    <t>Société Agroalimentaire de Guinée</t>
  </si>
  <si>
    <t>Lanyeri</t>
  </si>
  <si>
    <t>Moussa Doumbouya</t>
  </si>
  <si>
    <t>Bangalyba Malo</t>
  </si>
  <si>
    <t>Mory sanoh</t>
  </si>
  <si>
    <t>Forécariah</t>
  </si>
  <si>
    <t>Centre ville de forecariah (secteur pepinière)</t>
  </si>
  <si>
    <t>Moussa Diane</t>
  </si>
  <si>
    <t>Farmoriah</t>
  </si>
  <si>
    <t>Barrone</t>
  </si>
  <si>
    <t>Moussa Diakité</t>
  </si>
  <si>
    <t>Ananas</t>
  </si>
  <si>
    <t>Forecariah centre ville (secteur pepinière)</t>
  </si>
  <si>
    <t>Sekou Toure</t>
  </si>
  <si>
    <t>Alassoya</t>
  </si>
  <si>
    <t>Kondeyah</t>
  </si>
  <si>
    <t>kondeyah</t>
  </si>
  <si>
    <t>Mamady KEITA</t>
  </si>
  <si>
    <t>Nenkin, Nerica19, Dioukémé...</t>
  </si>
  <si>
    <t>Mamadi kouyate</t>
  </si>
  <si>
    <t>Nenkemba</t>
  </si>
  <si>
    <t>Pauline zoumanigui</t>
  </si>
  <si>
    <t>Marie Réné Milimono</t>
  </si>
  <si>
    <t>Dôcronin</t>
  </si>
  <si>
    <t>Abdoulaye Soumah</t>
  </si>
  <si>
    <t>Forotokolo,Nenken</t>
  </si>
  <si>
    <t>Mamadi condé</t>
  </si>
  <si>
    <t>Sabadou-Baranama</t>
  </si>
  <si>
    <t>Tchotcho</t>
  </si>
  <si>
    <t>Djantoun Mamadi CAMARA</t>
  </si>
  <si>
    <t>Dioukeme</t>
  </si>
  <si>
    <t>Dioukémé</t>
  </si>
  <si>
    <t>Saliou CAMARA</t>
  </si>
  <si>
    <t>Kemo kourouma</t>
  </si>
  <si>
    <t>NB :La superficie à labourée est 1,5 ha.</t>
  </si>
  <si>
    <t>Chinoiba et djoukeme</t>
  </si>
  <si>
    <t>Zézé kourouma</t>
  </si>
  <si>
    <t>Hadja Simita FOFANA</t>
  </si>
  <si>
    <t>Semgbédou</t>
  </si>
  <si>
    <t>Baba CAMARA</t>
  </si>
  <si>
    <t>Sekou Kourouma</t>
  </si>
  <si>
    <t>Billo Fofana</t>
  </si>
  <si>
    <t>Ansoumane CAMARA</t>
  </si>
  <si>
    <t>Dioukémé, Nenkin, Dissibawoulen....</t>
  </si>
  <si>
    <t>Dioukémé, Nenkin, Dissibawoulen...</t>
  </si>
  <si>
    <t>N'Bemba Moundékeno</t>
  </si>
  <si>
    <t>Elyon</t>
  </si>
  <si>
    <t>Kpaghaï</t>
  </si>
  <si>
    <t>Aly keita</t>
  </si>
  <si>
    <t>Malogbè</t>
  </si>
  <si>
    <t>Galaï Daniel</t>
  </si>
  <si>
    <t>Boké Centre</t>
  </si>
  <si>
    <t>c'est dans la commune urbaine de Boké</t>
  </si>
  <si>
    <t>Kissidougou</t>
  </si>
  <si>
    <t>Commune urbaine</t>
  </si>
  <si>
    <t>Colonel Mamady Camara</t>
  </si>
  <si>
    <t>Sangardo</t>
  </si>
  <si>
    <t>CK90</t>
  </si>
  <si>
    <t>Mansoya</t>
  </si>
  <si>
    <t>Mamady 2 Camara</t>
  </si>
  <si>
    <t>Mamady Fofana</t>
  </si>
  <si>
    <t>NB: c'est 2,5ha a labouré.</t>
  </si>
  <si>
    <t>Kérouané</t>
  </si>
  <si>
    <t>Yomba sanoh</t>
  </si>
  <si>
    <t>Banankoro</t>
  </si>
  <si>
    <t>Caolaca</t>
  </si>
  <si>
    <t>Bien</t>
  </si>
  <si>
    <t>Moussa Kadia Camara</t>
  </si>
  <si>
    <t>Centre ville de Beyla (PRODABEK)</t>
  </si>
  <si>
    <t>Sekou konate</t>
  </si>
  <si>
    <t>Boola</t>
  </si>
  <si>
    <t>Tchoto</t>
  </si>
  <si>
    <t>Tchocho</t>
  </si>
  <si>
    <t>Yomba solano</t>
  </si>
  <si>
    <t>Abou et djoko</t>
  </si>
  <si>
    <t>Le champ donne 2,5 ha</t>
  </si>
  <si>
    <t>Damey Sakho</t>
  </si>
  <si>
    <t>Tiguibiri Kabalen</t>
  </si>
  <si>
    <t>Zea Mays</t>
  </si>
  <si>
    <t>Centre de ville de Beyla (PRODABEK)</t>
  </si>
  <si>
    <t>GROUPEMENT GJVDC</t>
  </si>
  <si>
    <t>Christophe Combadouno</t>
  </si>
  <si>
    <t>Sékou Condé</t>
  </si>
  <si>
    <t>Yokoyon</t>
  </si>
  <si>
    <t>Alaye Soh</t>
  </si>
  <si>
    <t>NB:le nombre d'ha total labouré chez Alaye Soh est 1,5.</t>
  </si>
  <si>
    <t>Bamba Kémoko</t>
  </si>
  <si>
    <t>Zea Mays juste</t>
  </si>
  <si>
    <t>Manty Condé</t>
  </si>
  <si>
    <t>Sékou Traoré</t>
  </si>
  <si>
    <t>Cette femme a été enregistrée deux fois par ce que, dans la première demande de carburant j'ai mis 1000000 par oubli, sans Quoi c'est 2000000 qu'elle a versé sur le compte marchant.</t>
  </si>
  <si>
    <t>Mamady kourouma</t>
  </si>
  <si>
    <t>Morice</t>
  </si>
  <si>
    <t>Sekou Diakité</t>
  </si>
  <si>
    <t>Karifamoriyah</t>
  </si>
  <si>
    <t>Piment</t>
  </si>
  <si>
    <t>Petit maraîcher</t>
  </si>
  <si>
    <t>Ibrahima kalil Sidibe</t>
  </si>
  <si>
    <t>Tinti-Oulen</t>
  </si>
  <si>
    <t>Soketa</t>
  </si>
  <si>
    <t>Ibrahima condé</t>
  </si>
  <si>
    <t>Fakan</t>
  </si>
  <si>
    <t>Yamory Oularé</t>
  </si>
  <si>
    <t>Mathieu Millimouno</t>
  </si>
  <si>
    <t>Tamba Coulon</t>
  </si>
  <si>
    <t>Emmanuel kolamou</t>
  </si>
  <si>
    <t>Nanfadima Gnagbasara Kourouma</t>
  </si>
  <si>
    <t>Terméssadou Djibo</t>
  </si>
  <si>
    <t>Agrisamo SARL</t>
  </si>
  <si>
    <t>Gbangbadou</t>
  </si>
  <si>
    <t>Locale</t>
  </si>
  <si>
    <t>Korabo</t>
  </si>
  <si>
    <t>Thierno Ibrahima Barry</t>
  </si>
  <si>
    <t>Kalinko</t>
  </si>
  <si>
    <t>Yakouba Keita</t>
  </si>
  <si>
    <t>Non</t>
  </si>
  <si>
    <t>Fonio</t>
  </si>
  <si>
    <t>2.</t>
  </si>
  <si>
    <t>2.5 ha sont versés</t>
  </si>
  <si>
    <t>Beyla Centre ville (PRODABEK)</t>
  </si>
  <si>
    <t>Abdoulaye Sangare</t>
  </si>
  <si>
    <t>Lola Centre</t>
  </si>
  <si>
    <t>Probleme de pneus</t>
  </si>
  <si>
    <t>Beyla centre ville (PRODABEK)</t>
  </si>
  <si>
    <t>Elhadj Kèmè Samouka Soumaoro</t>
  </si>
  <si>
    <t>Riz local</t>
  </si>
  <si>
    <t>Vakaba Kourouma</t>
  </si>
  <si>
    <t>maïs hybride f1</t>
  </si>
  <si>
    <t>Kabamano j</t>
  </si>
  <si>
    <t>Soumailla Camara</t>
  </si>
  <si>
    <t>local</t>
  </si>
  <si>
    <t>Mamady Sidibe</t>
  </si>
  <si>
    <t>riz local</t>
  </si>
  <si>
    <t>Oumar Donzo</t>
  </si>
  <si>
    <t>Mousadou</t>
  </si>
  <si>
    <t>Sidiki Konate</t>
  </si>
  <si>
    <t>Karala</t>
  </si>
  <si>
    <t>Abou Keita</t>
  </si>
  <si>
    <t>Kérouane Centre</t>
  </si>
  <si>
    <t>Chinoi</t>
  </si>
  <si>
    <t>Delphine Gaou Beavogui</t>
  </si>
  <si>
    <t>Groupement Maman Josianne</t>
  </si>
  <si>
    <t>Bangaly condé</t>
  </si>
  <si>
    <t>Vaman conde</t>
  </si>
  <si>
    <t>Sinko</t>
  </si>
  <si>
    <t>Waka waka</t>
  </si>
  <si>
    <t>Variete local</t>
  </si>
  <si>
    <t>Beyla ville (PRODABEK)</t>
  </si>
  <si>
    <t>Alpha Cisse</t>
  </si>
  <si>
    <t>Hybride F1</t>
  </si>
  <si>
    <t>Hybride f1</t>
  </si>
  <si>
    <t>Apres le ramadan</t>
  </si>
  <si>
    <t>Beyla centre ( PRODABEK)</t>
  </si>
  <si>
    <t>Lonceny Conde</t>
  </si>
  <si>
    <t>Daouda Sylla</t>
  </si>
  <si>
    <t>Djoufini</t>
  </si>
  <si>
    <t>Bassirou kourouma</t>
  </si>
  <si>
    <t>Dubréka</t>
  </si>
  <si>
    <t>Ouassou</t>
  </si>
  <si>
    <t>Moctar Diallo</t>
  </si>
  <si>
    <t>Baron</t>
  </si>
  <si>
    <t>Disponible</t>
  </si>
  <si>
    <t>Kissi Camara</t>
  </si>
  <si>
    <t>Sàa Souro Moundékeno</t>
  </si>
  <si>
    <t>NB:le nombre d'ha labouré chez sàa Souro Moundékeno est 3,5ha</t>
  </si>
  <si>
    <t>Alexandre kolié</t>
  </si>
  <si>
    <t>Direction préfectorale de l'agriculture et de l'élevage</t>
  </si>
  <si>
    <t>Ive Solano</t>
  </si>
  <si>
    <t>NB: le nombre d'ha total labouré chez le producteur Ive Solano est 1,5ha.</t>
  </si>
  <si>
    <t>N'faly kourouma</t>
  </si>
  <si>
    <t>Facely Condé</t>
  </si>
  <si>
    <t>Sami (Abou)</t>
  </si>
  <si>
    <t>NB:ce producteur Facely Condé a 1,5ha à labouré.</t>
  </si>
  <si>
    <t>Moussa Sylla</t>
  </si>
  <si>
    <t>Samory</t>
  </si>
  <si>
    <t>Sidiky Camara</t>
  </si>
  <si>
    <t>Maman Barry</t>
  </si>
  <si>
    <t>Yomba Traoré</t>
  </si>
  <si>
    <t>Lanciné condé</t>
  </si>
  <si>
    <t>Idrissa condé</t>
  </si>
  <si>
    <t>Karifa Condé</t>
  </si>
  <si>
    <t>Soriba Doumbouya</t>
  </si>
  <si>
    <t>Ibrahima kourouma</t>
  </si>
  <si>
    <t>Abou Sylla</t>
  </si>
  <si>
    <t>Sacko camara</t>
  </si>
  <si>
    <t>Accord</t>
  </si>
  <si>
    <t>Allassane kante</t>
  </si>
  <si>
    <t>Koba-Tatema</t>
  </si>
  <si>
    <t>Balenta</t>
  </si>
  <si>
    <t>Rock5</t>
  </si>
  <si>
    <t>Nouhan sacko</t>
  </si>
  <si>
    <t>Kankan Centre</t>
  </si>
  <si>
    <t>Amara Keita</t>
  </si>
  <si>
    <t>Maître six</t>
  </si>
  <si>
    <t>Moussa Diallo</t>
  </si>
  <si>
    <t>Laye Keita</t>
  </si>
  <si>
    <t>Abdoulaye Sacko</t>
  </si>
  <si>
    <t>Mamanigbe</t>
  </si>
  <si>
    <t>Superficie collectée des petits producteurs</t>
  </si>
  <si>
    <t>Daniel Léno</t>
  </si>
  <si>
    <t>Igname</t>
  </si>
  <si>
    <t>Elizabeth Tolno</t>
  </si>
  <si>
    <t>Samyon</t>
  </si>
  <si>
    <t>Association des agronomes retraité pour le développement de Macenta</t>
  </si>
  <si>
    <t>Fara Sidy Kamano</t>
  </si>
  <si>
    <t>Koundou</t>
  </si>
  <si>
    <t>Ganayon</t>
  </si>
  <si>
    <t>Sedouba camara</t>
  </si>
  <si>
    <t>Nereka</t>
  </si>
  <si>
    <t>Sekou kaba</t>
  </si>
  <si>
    <t>Dubréka Centre</t>
  </si>
  <si>
    <t>Ronde</t>
  </si>
  <si>
    <t>Pomme</t>
  </si>
  <si>
    <t>Tomate</t>
  </si>
  <si>
    <t>Faranah</t>
  </si>
  <si>
    <t>Aviation</t>
  </si>
  <si>
    <t>Lanciné cissé</t>
  </si>
  <si>
    <t>Banfélé</t>
  </si>
  <si>
    <t>Mettre 6</t>
  </si>
  <si>
    <t>Balan ne figure pas sur la liste</t>
  </si>
  <si>
    <t>Mohamed Fanta kourouma</t>
  </si>
  <si>
    <t>Daouda Camara</t>
  </si>
  <si>
    <t>Noumam Keita</t>
  </si>
  <si>
    <t>CK 8</t>
  </si>
  <si>
    <t>Adama Konaté</t>
  </si>
  <si>
    <t>Moussa Camara</t>
  </si>
  <si>
    <t>Mamaridou Mory Camara</t>
  </si>
  <si>
    <t>Lancine Camara</t>
  </si>
  <si>
    <t>Kaoulaka oulen</t>
  </si>
  <si>
    <t>Mamadi berete</t>
  </si>
  <si>
    <t>Sanbadji</t>
  </si>
  <si>
    <t>Fode Kaba KEITA</t>
  </si>
  <si>
    <t>Fodé Kaba KEITA</t>
  </si>
  <si>
    <t>Mamadou Diallo</t>
  </si>
  <si>
    <t>Koba</t>
  </si>
  <si>
    <t>Sékou Kourouma</t>
  </si>
  <si>
    <t>Ok</t>
  </si>
  <si>
    <t>Fatouma tounkara</t>
  </si>
  <si>
    <t>Kissidougou Centre</t>
  </si>
  <si>
    <t>m'balia</t>
  </si>
  <si>
    <t>Maman sovogui</t>
  </si>
  <si>
    <t>El Bah Souleymane</t>
  </si>
  <si>
    <t>fin Avril 2023</t>
  </si>
  <si>
    <t>Soufiana Mandy</t>
  </si>
  <si>
    <t>dans kolaboui(kibola)</t>
  </si>
  <si>
    <t>Sana Keïta</t>
  </si>
  <si>
    <t>Bintimodiya</t>
  </si>
  <si>
    <t>A coftondé pour un groupement</t>
  </si>
  <si>
    <t>groupement exploitation terre rizicole</t>
  </si>
  <si>
    <t>dans le kawass à momoyiré</t>
  </si>
  <si>
    <t>Aly Bereté</t>
  </si>
  <si>
    <t>Sidjano</t>
  </si>
  <si>
    <t>Fodé Camara</t>
  </si>
  <si>
    <t>Moussagbe</t>
  </si>
  <si>
    <t>Hadja mama fofana</t>
  </si>
  <si>
    <t>Rouge</t>
  </si>
  <si>
    <t>Nigerianne</t>
  </si>
  <si>
    <t>Boffa</t>
  </si>
  <si>
    <t>Moussa Sangaré</t>
  </si>
  <si>
    <t>Mankountan</t>
  </si>
  <si>
    <t>Baga Malé</t>
  </si>
  <si>
    <t>J'ignore</t>
  </si>
  <si>
    <t>Alya Foulématou Camara</t>
  </si>
  <si>
    <t>3BFA001T</t>
  </si>
  <si>
    <t>Mohamed Sylla</t>
  </si>
  <si>
    <t>Tougnifili</t>
  </si>
  <si>
    <t>Manque criard de tracteur</t>
  </si>
  <si>
    <t>Nanamoudou MAGASSOUBA</t>
  </si>
  <si>
    <t>Cours du bloc Administratif</t>
  </si>
  <si>
    <t>Madou kanté</t>
  </si>
  <si>
    <t>Kamiaba,nenken, 52</t>
  </si>
  <si>
    <t>Fassiriman KONATÉ</t>
  </si>
  <si>
    <t>Mandiana Centre</t>
  </si>
  <si>
    <t>Kaolac, sweta</t>
  </si>
  <si>
    <t>La localité s'appel Kodiaran elle est érigé en sous préfecture</t>
  </si>
  <si>
    <t>7MNA001T</t>
  </si>
  <si>
    <t>Forecariah</t>
  </si>
  <si>
    <t>Almamy daouda touré</t>
  </si>
  <si>
    <t>Diamouré keita</t>
  </si>
  <si>
    <t>Kalil savane</t>
  </si>
  <si>
    <t>Alpha Kamano</t>
  </si>
  <si>
    <t>Beindou</t>
  </si>
  <si>
    <t>6KOU007T</t>
  </si>
  <si>
    <t>Laye tounkara</t>
  </si>
  <si>
    <t>Fermesadou</t>
  </si>
  <si>
    <t>Lola</t>
  </si>
  <si>
    <t>Direction Préfectorale de l'Agriculture et de l'Élévage de Lola</t>
  </si>
  <si>
    <t>Seriffe Abibe</t>
  </si>
  <si>
    <t>Lainé</t>
  </si>
  <si>
    <t>Rokeïta</t>
  </si>
  <si>
    <t>Pokpa Delamou</t>
  </si>
  <si>
    <t>Mouhamed conté</t>
  </si>
  <si>
    <t>Maferenya</t>
  </si>
  <si>
    <t>perta</t>
  </si>
  <si>
    <t>Local</t>
  </si>
  <si>
    <t>Beyla centre</t>
  </si>
  <si>
    <t>Moussa Bamba</t>
  </si>
  <si>
    <t>Gbéssoba</t>
  </si>
  <si>
    <t>Moussa Conde</t>
  </si>
  <si>
    <t>Sekou Conde</t>
  </si>
  <si>
    <t>Diarraguerela</t>
  </si>
  <si>
    <t>Malogbèny</t>
  </si>
  <si>
    <t>Riz blanc</t>
  </si>
  <si>
    <t>Moussa Traoré</t>
  </si>
  <si>
    <t>Vamougnè Chérif</t>
  </si>
  <si>
    <t>Nionsomoridou</t>
  </si>
  <si>
    <t>Djoukèmè</t>
  </si>
  <si>
    <t>Kadia Keita</t>
  </si>
  <si>
    <t>Grande productrice</t>
  </si>
  <si>
    <t>Direction préfectorale de l' agriculture et de l'élevage</t>
  </si>
  <si>
    <t>Pierre Ninamou</t>
  </si>
  <si>
    <t>Opatempa jaune</t>
  </si>
  <si>
    <t>Zea Maïs</t>
  </si>
  <si>
    <t>8LLA002T</t>
  </si>
  <si>
    <t>Mory Sangaré</t>
  </si>
  <si>
    <t>Moussa kourouma</t>
  </si>
  <si>
    <t>Direction préfectorale de l'agriculture et de l' élevage</t>
  </si>
  <si>
    <t>Mamadou kamara</t>
  </si>
  <si>
    <t>Direction préfectorale de l' agriculture et de l' élevage de lola</t>
  </si>
  <si>
    <t>Manioc douce</t>
  </si>
  <si>
    <t>Manihot utillisuma</t>
  </si>
  <si>
    <t>Fakaba Kaba</t>
  </si>
  <si>
    <t>OK</t>
  </si>
  <si>
    <t>6KOU002T</t>
  </si>
  <si>
    <t>Mouhamed Diané</t>
  </si>
  <si>
    <t>Benty</t>
  </si>
  <si>
    <t>Clé mon ne de gombo</t>
  </si>
  <si>
    <t>clé mon ne de gombo</t>
  </si>
  <si>
    <t>2FAH001T</t>
  </si>
  <si>
    <t>Baba traoré</t>
  </si>
  <si>
    <t>6FAH002T</t>
  </si>
  <si>
    <t>Ousmane Diabate</t>
  </si>
  <si>
    <t>Samana</t>
  </si>
  <si>
    <t>Samoé</t>
  </si>
  <si>
    <t>8BLA010T</t>
  </si>
  <si>
    <t>Konkokele</t>
  </si>
  <si>
    <t>Samorikelet</t>
  </si>
  <si>
    <t>Champ de groupement</t>
  </si>
  <si>
    <t>Bakary Sangare</t>
  </si>
  <si>
    <t>Dabola</t>
  </si>
  <si>
    <t>Foundeng 1</t>
  </si>
  <si>
    <t>Mohamed Kourouma</t>
  </si>
  <si>
    <t>Konindou</t>
  </si>
  <si>
    <t>Mais</t>
  </si>
  <si>
    <t>Souleymane Kanté</t>
  </si>
  <si>
    <t>Lonceny Traoré</t>
  </si>
  <si>
    <t>7KNE007T</t>
  </si>
  <si>
    <t>Mamadi Sidibé</t>
  </si>
  <si>
    <t>7KNE002T</t>
  </si>
  <si>
    <t>Amara Camara</t>
  </si>
  <si>
    <t>Samory Djoufini</t>
  </si>
  <si>
    <t>Samory, Djoufini</t>
  </si>
  <si>
    <t>7KNE006T</t>
  </si>
  <si>
    <t>Abou Touré</t>
  </si>
  <si>
    <t>Fodé Keita</t>
  </si>
  <si>
    <t>Samba Diakité</t>
  </si>
  <si>
    <t>6DYE004T</t>
  </si>
  <si>
    <t>Mohamed kenneh</t>
  </si>
  <si>
    <t>8BLA011T</t>
  </si>
  <si>
    <t>Salim cissé</t>
  </si>
  <si>
    <t>6FAH008T</t>
  </si>
  <si>
    <t>Théophile teliano</t>
  </si>
  <si>
    <t>CK 91</t>
  </si>
  <si>
    <t>6KOU008T</t>
  </si>
  <si>
    <t>Kalou Diallo</t>
  </si>
  <si>
    <t>Kantoumanina</t>
  </si>
  <si>
    <t>Dissiba</t>
  </si>
  <si>
    <t>CK</t>
  </si>
  <si>
    <t>Aptes pour la mécanisation</t>
  </si>
  <si>
    <t>Moussa CAMARA</t>
  </si>
  <si>
    <t>Roland, bébaga lawouly</t>
  </si>
  <si>
    <t>Ignorer</t>
  </si>
  <si>
    <t>Ibrahima DIALLO</t>
  </si>
  <si>
    <t>Tambakelè</t>
  </si>
  <si>
    <t>Lonceny DIALLO</t>
  </si>
  <si>
    <t>Aptes à la mécanisation</t>
  </si>
  <si>
    <t>Ary Nounkè Diallo</t>
  </si>
  <si>
    <t>Aptes</t>
  </si>
  <si>
    <t>Morikè DIALLO</t>
  </si>
  <si>
    <t>Ignore</t>
  </si>
  <si>
    <t>Ibrahima Sira Diakite</t>
  </si>
  <si>
    <t>Faralako</t>
  </si>
  <si>
    <t>Filakaly DIALLO</t>
  </si>
  <si>
    <t>Sekouba DIAKITÉ</t>
  </si>
  <si>
    <t>Nerica 19,</t>
  </si>
  <si>
    <t>Nerica 19</t>
  </si>
  <si>
    <t>Ousmane DIAKITÉ</t>
  </si>
  <si>
    <t>Nerica 4 et 19</t>
  </si>
  <si>
    <t>Elhadj Madifing Diakité</t>
  </si>
  <si>
    <t>Koundian</t>
  </si>
  <si>
    <t>Lamine Bayo</t>
  </si>
  <si>
    <t>Kaolac</t>
  </si>
  <si>
    <t>Aly Diallo</t>
  </si>
  <si>
    <t>Chinois, kaolac</t>
  </si>
  <si>
    <t>Dorcas onivogui</t>
  </si>
  <si>
    <t>8MTA004T</t>
  </si>
  <si>
    <t>Abdoulaye Diakité</t>
  </si>
  <si>
    <t>8MTA001T</t>
  </si>
  <si>
    <t>Vakaba camara</t>
  </si>
  <si>
    <t>8MTA003T</t>
  </si>
  <si>
    <t>Yaya MAGASSOUBA</t>
  </si>
  <si>
    <t>Dissibawoulen Dissibawoulen</t>
  </si>
  <si>
    <t>7SRI007T</t>
  </si>
  <si>
    <t>Mamadi Traoré</t>
  </si>
  <si>
    <t>Kologbe</t>
  </si>
  <si>
    <t>7KAN006T</t>
  </si>
  <si>
    <t>Sidiky Doumbouya</t>
  </si>
  <si>
    <t>7KNE001T</t>
  </si>
  <si>
    <t>Abou Sidibé</t>
  </si>
  <si>
    <t>7MNA006T</t>
  </si>
  <si>
    <t>7MNA007T</t>
  </si>
  <si>
    <t>Ibrahima Camara</t>
  </si>
  <si>
    <t>Laye kemon Kante</t>
  </si>
  <si>
    <t>Seka</t>
  </si>
  <si>
    <t>Almany Kouyaté</t>
  </si>
  <si>
    <t>Bangaly Conde</t>
  </si>
  <si>
    <t>Samory, Djoufini karosabany,seka</t>
  </si>
  <si>
    <t>Samory Djoufini karosabany seka</t>
  </si>
  <si>
    <t>Demba Fofana</t>
  </si>
  <si>
    <t>Fatou Diallo</t>
  </si>
  <si>
    <t>Maloningbè</t>
  </si>
  <si>
    <t>Nerica blanc</t>
  </si>
  <si>
    <t>Mamady camara</t>
  </si>
  <si>
    <t>Yama condé</t>
  </si>
  <si>
    <t>Une variété provenant de banankoro préfecture de kerouané</t>
  </si>
  <si>
    <t>Fanta mansaré</t>
  </si>
  <si>
    <t>Daffing</t>
  </si>
  <si>
    <t>Le contact de yama condé 622045720</t>
  </si>
  <si>
    <t>Kabinet sylla</t>
  </si>
  <si>
    <t>Tontifo</t>
  </si>
  <si>
    <t>Mamadou sylla</t>
  </si>
  <si>
    <t>Chinoise</t>
  </si>
  <si>
    <t>Nankin</t>
  </si>
  <si>
    <t>Hammady Diakité</t>
  </si>
  <si>
    <t>Dinguiraye Centre</t>
  </si>
  <si>
    <t>Sonsonpolon</t>
  </si>
  <si>
    <t>Sonsopolon</t>
  </si>
  <si>
    <t>Adama Diakité</t>
  </si>
  <si>
    <t>Mamadou sansy Diallo</t>
  </si>
  <si>
    <t>Sélouma</t>
  </si>
  <si>
    <t>Gnina</t>
  </si>
  <si>
    <t>Bagallé Diah</t>
  </si>
  <si>
    <t>Gnama condé</t>
  </si>
  <si>
    <t>Mamady cherif</t>
  </si>
  <si>
    <t>Sansy Diallo</t>
  </si>
  <si>
    <t>Dissibaoulén</t>
  </si>
  <si>
    <t>Ibrahima Barry</t>
  </si>
  <si>
    <t>Kabalén</t>
  </si>
  <si>
    <t>BR 430</t>
  </si>
  <si>
    <t>Oumar Barry</t>
  </si>
  <si>
    <t>Boert resisting</t>
  </si>
  <si>
    <t>C'est une variété provenant de Ghana</t>
  </si>
  <si>
    <t>Hamidou Bah</t>
  </si>
  <si>
    <t>Sataba</t>
  </si>
  <si>
    <t>c'est une variété locale</t>
  </si>
  <si>
    <t>Saliou Diallo</t>
  </si>
  <si>
    <t>Kaabasountou</t>
  </si>
  <si>
    <t>Boubacar bah</t>
  </si>
  <si>
    <t>Maïs hybride</t>
  </si>
  <si>
    <t>Kabamanoj</t>
  </si>
  <si>
    <t>Amadou Denah Barry</t>
  </si>
  <si>
    <t>Nankin rouge</t>
  </si>
  <si>
    <t>Idrissa sacko</t>
  </si>
  <si>
    <t>Noumoukè kaba</t>
  </si>
  <si>
    <t>Amadouba kaba</t>
  </si>
  <si>
    <t>Groupement BENKADI</t>
  </si>
  <si>
    <t>Gninandénko</t>
  </si>
  <si>
    <t>Mamadou Dian bah</t>
  </si>
  <si>
    <t>Abdourahmane Kaba</t>
  </si>
  <si>
    <t>8BLA013T</t>
  </si>
  <si>
    <t>Samolimalo</t>
  </si>
  <si>
    <t>8BLA012T</t>
  </si>
  <si>
    <t>Laye Moussa Diakite</t>
  </si>
  <si>
    <t>Oumar Soumaoro</t>
  </si>
  <si>
    <t>Chinois, N19</t>
  </si>
  <si>
    <t>Ladya Diallo</t>
  </si>
  <si>
    <t>Boh Lanceï DIALLO</t>
  </si>
  <si>
    <t>Ousmane Djetoumani DIALLO</t>
  </si>
  <si>
    <t>Nerica 4, Nenken</t>
  </si>
  <si>
    <t>Nerica 4</t>
  </si>
  <si>
    <t>Mamadou DIAKITÉ</t>
  </si>
  <si>
    <t>Sékou DIALLO</t>
  </si>
  <si>
    <t>Chinois, Dissiba</t>
  </si>
  <si>
    <t>Oriza glaberina</t>
  </si>
  <si>
    <t>Sory Diakité</t>
  </si>
  <si>
    <t>Kaolac, fakan</t>
  </si>
  <si>
    <t>Soriba DIAKITÉ</t>
  </si>
  <si>
    <t>Kiniéran</t>
  </si>
  <si>
    <t>ADRAO, NERICA 4 ET 19</t>
  </si>
  <si>
    <t>Sékou KEÏTA</t>
  </si>
  <si>
    <t>Nerica 19 , bebalawouli</t>
  </si>
  <si>
    <t>Djekè Mamadi Koulibaly</t>
  </si>
  <si>
    <t>Nerica 19 , sweta</t>
  </si>
  <si>
    <t>Bakary HAÏDARA</t>
  </si>
  <si>
    <t>Sweta</t>
  </si>
  <si>
    <t>Alpha DIAKITÉ</t>
  </si>
  <si>
    <t>Balla Koulibaly</t>
  </si>
  <si>
    <t>ADRAO</t>
  </si>
  <si>
    <t>Moussa Sacko</t>
  </si>
  <si>
    <t>Bebalawouli</t>
  </si>
  <si>
    <t>Sékou Touraby Koulibaly</t>
  </si>
  <si>
    <t>Nerica 4 et 19, sweta</t>
  </si>
  <si>
    <t>7MNA002</t>
  </si>
  <si>
    <t>Moussa kanté</t>
  </si>
  <si>
    <t>Mohamed Doumbouya</t>
  </si>
  <si>
    <t>M.bemba kaba</t>
  </si>
  <si>
    <t>Sidy Dramé</t>
  </si>
  <si>
    <t>Nankin blanc</t>
  </si>
  <si>
    <t>Alpha Dramé</t>
  </si>
  <si>
    <t>Karamo Dramé</t>
  </si>
  <si>
    <t>Noumoukè 1 kaba</t>
  </si>
  <si>
    <t>Laye karamo Dramé</t>
  </si>
  <si>
    <t>Keoulén kaba</t>
  </si>
  <si>
    <t>Noumoukè sylla</t>
  </si>
  <si>
    <t>Almamy kaba</t>
  </si>
  <si>
    <t>Hadja kade kaba</t>
  </si>
  <si>
    <t>Okass touré</t>
  </si>
  <si>
    <t>Kenny Kourouma</t>
  </si>
  <si>
    <t>Mamadou Dian</t>
  </si>
  <si>
    <t>Fatou Dramé</t>
  </si>
  <si>
    <t>CK90 c'est la semence envoyé par la DNA et donner aux producteurs nécessiteux à crédit remboursable à la fin de la récolte sans intérêt, un sac/1</t>
  </si>
  <si>
    <t>Kaou konsondou</t>
  </si>
  <si>
    <t>Souleymane bah</t>
  </si>
  <si>
    <t>CK91</t>
  </si>
  <si>
    <t>Ck91</t>
  </si>
  <si>
    <t>Douty kaba</t>
  </si>
  <si>
    <t>Sory Dramé</t>
  </si>
  <si>
    <t>Bakary Dramé</t>
  </si>
  <si>
    <t>Mamadou sidibe</t>
  </si>
  <si>
    <t>Amadou kouyaté</t>
  </si>
  <si>
    <t>Gnaama Diallo</t>
  </si>
  <si>
    <t>Groupement Alamalaya représenté par Edouard Oleano</t>
  </si>
  <si>
    <t>Direction Préfectoral de l'Agriculture et de l'Élevage de Lola</t>
  </si>
  <si>
    <t>Jaune_jaune</t>
  </si>
  <si>
    <t>Chinois bas</t>
  </si>
  <si>
    <t>Oryza Sativa</t>
  </si>
  <si>
    <t>Angeline kpoulomou</t>
  </si>
  <si>
    <t>Sidafa kouyaté</t>
  </si>
  <si>
    <t>Gaoual</t>
  </si>
  <si>
    <t>COMMUNE urbaine de GAOUAL</t>
  </si>
  <si>
    <t>Elhadj Bagui Diakité</t>
  </si>
  <si>
    <t>Koumbia</t>
  </si>
  <si>
    <t>Djoulkemè</t>
  </si>
  <si>
    <t>DIOULKÉMÈ</t>
  </si>
  <si>
    <t>Soriba Moustapha Camara</t>
  </si>
  <si>
    <t>COMMUNE URBAINE</t>
  </si>
  <si>
    <t>DIOULDÉ MALI</t>
  </si>
  <si>
    <t>MAMADOU DIAN BALDÉ</t>
  </si>
  <si>
    <t>MAMADOU BAILLO DIALLO</t>
  </si>
  <si>
    <t>NUMÉRO TÉLÉPHONE D'UNE PERSONNE RESSOURCES</t>
  </si>
  <si>
    <t>ALLAH OUROU KOULIBALY</t>
  </si>
  <si>
    <t>Numéro, personne ressource...</t>
  </si>
  <si>
    <t>C U</t>
  </si>
  <si>
    <t>MAMADOU GANDHO BAH</t>
  </si>
  <si>
    <t>BOUBACAR GNAMPIA</t>
  </si>
  <si>
    <t>Konkokele 1</t>
  </si>
  <si>
    <t>Groupement agricole suite de 1er enregistrement</t>
  </si>
  <si>
    <t>7KAN002T</t>
  </si>
  <si>
    <t>Kaba Traoré</t>
  </si>
  <si>
    <t>7KAN004T</t>
  </si>
  <si>
    <t>8BLA008T</t>
  </si>
  <si>
    <t>Amara CAMARA</t>
  </si>
  <si>
    <t>Chinois, Dissibawoulen...</t>
  </si>
  <si>
    <t>Nouté Bamba</t>
  </si>
  <si>
    <t>Gama Berema</t>
  </si>
  <si>
    <t>Abdoulaye Diallo</t>
  </si>
  <si>
    <t>Gniina</t>
  </si>
  <si>
    <t>Bakary N,diaye</t>
  </si>
  <si>
    <t>Ousmane sow</t>
  </si>
  <si>
    <t>Sékou BAYO</t>
  </si>
  <si>
    <t>Samè TRAORÉ</t>
  </si>
  <si>
    <t>Tchokotchoko</t>
  </si>
  <si>
    <t>Fodé TRAORÉ</t>
  </si>
  <si>
    <t>Nerica 19, tchokotchoko</t>
  </si>
  <si>
    <t>Diadaba CONDÉ</t>
  </si>
  <si>
    <t>Soulé SIDIBÉ</t>
  </si>
  <si>
    <t>Sakaba Koulibaly</t>
  </si>
  <si>
    <t>Bouary DOUMBOUYA</t>
  </si>
  <si>
    <t>Nerica 19 et 4, ADRAO</t>
  </si>
  <si>
    <t>Fode camara</t>
  </si>
  <si>
    <t>2DKA001T</t>
  </si>
  <si>
    <t>Aly camara</t>
  </si>
  <si>
    <t>Imam ahmed soumah</t>
  </si>
  <si>
    <t>Moussaya</t>
  </si>
  <si>
    <t>CK-90</t>
  </si>
  <si>
    <t>Petel/ Mamou</t>
  </si>
  <si>
    <t>Lansana Mansare</t>
  </si>
  <si>
    <t>Ouré-Kaba</t>
  </si>
  <si>
    <t>CK21</t>
  </si>
  <si>
    <t>Tout commence bien</t>
  </si>
  <si>
    <t>4MOU002T</t>
  </si>
  <si>
    <t>Souleymane Barry</t>
  </si>
  <si>
    <t>MAMADOU LAMARANA Diallo</t>
  </si>
  <si>
    <t>Souleymane Diakité</t>
  </si>
  <si>
    <t>Tout va bien</t>
  </si>
  <si>
    <t>2FAH004T</t>
  </si>
  <si>
    <t>Dpae Dubreka</t>
  </si>
  <si>
    <t>Ibrahima sori bangoura</t>
  </si>
  <si>
    <t>Sikhourou</t>
  </si>
  <si>
    <t>Ck-90</t>
  </si>
  <si>
    <t>Mamadou dioulde Diakité</t>
  </si>
  <si>
    <t>Babaen Diakité</t>
  </si>
  <si>
    <t>Samba Camara</t>
  </si>
  <si>
    <t>Mamou Centre</t>
  </si>
  <si>
    <t>Noumez savane</t>
  </si>
  <si>
    <t>Solo Keita</t>
  </si>
  <si>
    <t>Les petits et moins producteurs</t>
  </si>
  <si>
    <t>SOAGALGUI</t>
  </si>
  <si>
    <t>Une société</t>
  </si>
  <si>
    <t>Aries Farms Sarlu</t>
  </si>
  <si>
    <t>c est société indienne</t>
  </si>
  <si>
    <t>Souleymane KANTE</t>
  </si>
  <si>
    <t>Bissikrima</t>
  </si>
  <si>
    <t>Ibrahima Kaba</t>
  </si>
  <si>
    <t>Bagou Diallo</t>
  </si>
  <si>
    <t>Dabola Centre</t>
  </si>
  <si>
    <t>Banfa Camara</t>
  </si>
  <si>
    <t>Lamine savane</t>
  </si>
  <si>
    <t>Hawa savane</t>
  </si>
  <si>
    <t>Direction préfectorale de l'agriculture et de l'élevage de macenta</t>
  </si>
  <si>
    <t>Koumba Camara</t>
  </si>
  <si>
    <t>Malopolo</t>
  </si>
  <si>
    <t>N'fakaba</t>
  </si>
  <si>
    <t>Sidiki kaba</t>
  </si>
  <si>
    <t>Lansana koita</t>
  </si>
  <si>
    <t>Champ collectif</t>
  </si>
  <si>
    <t>7KAN001T</t>
  </si>
  <si>
    <t>Pour une société</t>
  </si>
  <si>
    <t>7KAN005T</t>
  </si>
  <si>
    <t>Groupement</t>
  </si>
  <si>
    <t>Lanceï KEÏTA</t>
  </si>
  <si>
    <t>Mandè SIDIBÉ</t>
  </si>
  <si>
    <t>Lancinè SYLLA</t>
  </si>
  <si>
    <t>Nouman Koulibaly</t>
  </si>
  <si>
    <t>Kalou TRAORÉ</t>
  </si>
  <si>
    <t>Soumaïla DOUMBOUYA</t>
  </si>
  <si>
    <t>Soumaïla TRAORÉ</t>
  </si>
  <si>
    <t>Kandiabou KOULIBALY</t>
  </si>
  <si>
    <t>Bourlaye KEÏTA</t>
  </si>
  <si>
    <t>Sagaba oulen KOULIBALY</t>
  </si>
  <si>
    <t>Nerica 4 et 19, sweta, ADRAO</t>
  </si>
  <si>
    <t>Namissa SANGARÉ</t>
  </si>
  <si>
    <t>Kade Bangoura</t>
  </si>
  <si>
    <t>Hadja yarie Sylla</t>
  </si>
  <si>
    <t>Massaraka</t>
  </si>
  <si>
    <t>Assatou Diallo</t>
  </si>
  <si>
    <t>Sita camara</t>
  </si>
  <si>
    <t>Makoto</t>
  </si>
  <si>
    <t>Salifou Sylla</t>
  </si>
  <si>
    <t>Cherif Bah</t>
  </si>
  <si>
    <t>Alymane camara</t>
  </si>
  <si>
    <t>Alseni camara</t>
  </si>
  <si>
    <t>Man camara</t>
  </si>
  <si>
    <t>Sory Koulibaly</t>
  </si>
  <si>
    <t>Moctar Sylla</t>
  </si>
  <si>
    <t>Mamoudou Diallo</t>
  </si>
  <si>
    <t>Djenabou kouyaté</t>
  </si>
  <si>
    <t>Mariame savané</t>
  </si>
  <si>
    <t>Abdoulaye condé</t>
  </si>
  <si>
    <t>Hassane oulare</t>
  </si>
  <si>
    <t>Sekou toure</t>
  </si>
  <si>
    <t>Djaka Keita</t>
  </si>
  <si>
    <t>Tidanké kante</t>
  </si>
  <si>
    <t>Ibrahima Doumbouya</t>
  </si>
  <si>
    <t>Adama oury Diallo</t>
  </si>
  <si>
    <t>Ousmane camara</t>
  </si>
  <si>
    <t>Kouroussa</t>
  </si>
  <si>
    <t>Wassabada</t>
  </si>
  <si>
    <t>Cisséla</t>
  </si>
  <si>
    <t>Bagnain</t>
  </si>
  <si>
    <t>Les producteurs sont déjà prêts pour l'opération</t>
  </si>
  <si>
    <t>Ibrahima Kalil Fofana</t>
  </si>
  <si>
    <t>Brema -malony</t>
  </si>
  <si>
    <t>Brema-malony</t>
  </si>
  <si>
    <t>Mamady dialo</t>
  </si>
  <si>
    <t>Badja</t>
  </si>
  <si>
    <t>Mauris</t>
  </si>
  <si>
    <t>Ibrahima dabo</t>
  </si>
  <si>
    <t>El. Mory Camara</t>
  </si>
  <si>
    <t>Sanguiana</t>
  </si>
  <si>
    <t>Noumez Camara</t>
  </si>
  <si>
    <t>Sadou Camara</t>
  </si>
  <si>
    <t>Mami Condé</t>
  </si>
  <si>
    <t>Kiniéro</t>
  </si>
  <si>
    <t>Nankein</t>
  </si>
  <si>
    <t>CEKA 90</t>
  </si>
  <si>
    <t>Diaty Conde</t>
  </si>
  <si>
    <t>Ibrahima dort Conde</t>
  </si>
  <si>
    <t>Kouroussa Centre</t>
  </si>
  <si>
    <t>Kabine Keita</t>
  </si>
  <si>
    <t>El. Doubany Touré</t>
  </si>
  <si>
    <t>Bakary Traoré</t>
  </si>
  <si>
    <t>Jaune _jaune</t>
  </si>
  <si>
    <t>Moussa conde</t>
  </si>
  <si>
    <t>Alpha Oumar Mansare</t>
  </si>
  <si>
    <t>Sory balen sanoh</t>
  </si>
  <si>
    <t>Almamy Aguibou Diallo</t>
  </si>
  <si>
    <t>Sadjo Kaba</t>
  </si>
  <si>
    <t>Naby laye Sylla</t>
  </si>
  <si>
    <t>Faya</t>
  </si>
  <si>
    <t>Manque criant de tracteur</t>
  </si>
  <si>
    <t>Fana soumah</t>
  </si>
  <si>
    <t>Fanayah</t>
  </si>
  <si>
    <t>Manque de tracteur</t>
  </si>
  <si>
    <t>Mamadou Oury Barry</t>
  </si>
  <si>
    <t>Kankama</t>
  </si>
  <si>
    <t>Ck21</t>
  </si>
  <si>
    <t>Nèma Robert Mamy</t>
  </si>
  <si>
    <t>Oumar Camara</t>
  </si>
  <si>
    <t>Houssainatou Diallo</t>
  </si>
  <si>
    <t>Fodé Cissé</t>
  </si>
  <si>
    <t>Kaba kourouma</t>
  </si>
  <si>
    <t>Kalou Conde</t>
  </si>
  <si>
    <t>ELH Cissé</t>
  </si>
  <si>
    <t>Mory vice Camara</t>
  </si>
  <si>
    <t>Famoudou Conde</t>
  </si>
  <si>
    <t>Simba edouare loua</t>
  </si>
  <si>
    <t>Laye kaba kourouma</t>
  </si>
  <si>
    <t>Dame Camara</t>
  </si>
  <si>
    <t>Kissikelamalo</t>
  </si>
  <si>
    <t>Bonko vieux Camara</t>
  </si>
  <si>
    <t>Sangbe Laye Camara</t>
  </si>
  <si>
    <t>Fodé savane</t>
  </si>
  <si>
    <t>Karfalla Kante</t>
  </si>
  <si>
    <t>Sire Mansare</t>
  </si>
  <si>
    <t>Baba Camara</t>
  </si>
  <si>
    <t>Tout commence</t>
  </si>
  <si>
    <t>Balla Mansare</t>
  </si>
  <si>
    <t>Fodé Alseny savane</t>
  </si>
  <si>
    <t>Aly Keita</t>
  </si>
  <si>
    <t>Mohamed kaba</t>
  </si>
  <si>
    <t>Petel</t>
  </si>
  <si>
    <t>Tenemba Mansare</t>
  </si>
  <si>
    <t>Yakounba Keita</t>
  </si>
  <si>
    <t>Niebé</t>
  </si>
  <si>
    <t>Mamadou Mansare</t>
  </si>
  <si>
    <t>Boubacar Mansare</t>
  </si>
  <si>
    <t>Mamadou loin Mansare</t>
  </si>
  <si>
    <t>Mamadou kissia Sow</t>
  </si>
  <si>
    <t>Kissimale</t>
  </si>
  <si>
    <t>Kaolack</t>
  </si>
  <si>
    <t>Madame Sylla</t>
  </si>
  <si>
    <t>Seny Mansare</t>
  </si>
  <si>
    <t>Oudy kaba</t>
  </si>
  <si>
    <t>Karamo Saly Camara</t>
  </si>
  <si>
    <t>Ck 21</t>
  </si>
  <si>
    <t>Lamine Soumah</t>
  </si>
  <si>
    <t>Sano Condé</t>
  </si>
  <si>
    <t>Coyah</t>
  </si>
  <si>
    <t>Manéah</t>
  </si>
  <si>
    <t>Aboubacar Camara</t>
  </si>
  <si>
    <t>Kouriya</t>
  </si>
  <si>
    <t>Ousmane Tangaly Balde</t>
  </si>
  <si>
    <t>Abdoul Karim Nabé</t>
  </si>
  <si>
    <t>c'est dans Tanéné</t>
  </si>
  <si>
    <t>Monsieur Keïta</t>
  </si>
  <si>
    <t>tous les producteurs visent sur le mois de mai et juin pour les labours</t>
  </si>
  <si>
    <t>Dpae Condé</t>
  </si>
  <si>
    <t>C'est l'association des cadres dela Dpae</t>
  </si>
  <si>
    <t>Hasmiou bangoura</t>
  </si>
  <si>
    <t>Massarka</t>
  </si>
  <si>
    <t>Yola Sylla</t>
  </si>
  <si>
    <t>Aboubacar Bayp</t>
  </si>
  <si>
    <t>Seidouba Sylla</t>
  </si>
  <si>
    <t>Hawa Bangoura</t>
  </si>
  <si>
    <t>J' ignore</t>
  </si>
  <si>
    <t>Yamoussa Bangoura</t>
  </si>
  <si>
    <t>Mbapeya</t>
  </si>
  <si>
    <t>Faber Bangoura</t>
  </si>
  <si>
    <t>Mamadiba Koulibaly</t>
  </si>
  <si>
    <t>Condé Hawa</t>
  </si>
  <si>
    <t>8GOU002T</t>
  </si>
  <si>
    <t>Byli Camara</t>
  </si>
  <si>
    <t>Fodé conté</t>
  </si>
  <si>
    <t>Balanta</t>
  </si>
  <si>
    <t>Isiaga Sylla</t>
  </si>
  <si>
    <t>Wandera kantambadouno</t>
  </si>
  <si>
    <t>Nongoa</t>
  </si>
  <si>
    <t>8GOU001T</t>
  </si>
  <si>
    <t>Guéckédou centre</t>
  </si>
  <si>
    <t>Joseph kourouma</t>
  </si>
  <si>
    <t>8GOU003T</t>
  </si>
  <si>
    <t>Nouhan kante</t>
  </si>
  <si>
    <t>Diassadou</t>
  </si>
  <si>
    <t>Lamina Sylla</t>
  </si>
  <si>
    <t>Kindia</t>
  </si>
  <si>
    <t>TOURE Ousmane</t>
  </si>
  <si>
    <t>Friguiagbé</t>
  </si>
  <si>
    <t>Rien</t>
  </si>
  <si>
    <t>Realisable</t>
  </si>
  <si>
    <t>Boubacar Gueme Bah</t>
  </si>
  <si>
    <t>Adama Camara</t>
  </si>
  <si>
    <t>Sokourala</t>
  </si>
  <si>
    <t>Alpha Mansare</t>
  </si>
  <si>
    <t>SOW Talhatou</t>
  </si>
  <si>
    <t>Lynsan</t>
  </si>
  <si>
    <t>Faisable</t>
  </si>
  <si>
    <t>Aissatou Mansare</t>
  </si>
  <si>
    <t>Lamina Camara</t>
  </si>
  <si>
    <t>Moumini</t>
  </si>
  <si>
    <t>Alseny Touré</t>
  </si>
  <si>
    <t>Diaraye Mansare</t>
  </si>
  <si>
    <t>Noumba Camara</t>
  </si>
  <si>
    <t>Boubacar dindeya sow</t>
  </si>
  <si>
    <t>CAMARA Abou foret (chambre )</t>
  </si>
  <si>
    <t>Coyady ,Kawlaka</t>
  </si>
  <si>
    <t>Momo bangoura</t>
  </si>
  <si>
    <t>CISSOKO Saikou Oumar</t>
  </si>
  <si>
    <t>Mamadou Sidibé</t>
  </si>
  <si>
    <t>Mamadi Keira</t>
  </si>
  <si>
    <t>Bolodou</t>
  </si>
  <si>
    <t>Maïmouna doumbouya</t>
  </si>
  <si>
    <t>Maréla</t>
  </si>
  <si>
    <t>Malien</t>
  </si>
  <si>
    <t>Famar Traoré</t>
  </si>
  <si>
    <t>Faranah Centre</t>
  </si>
  <si>
    <t>6FAH005T</t>
  </si>
  <si>
    <t>Mamady sanoh</t>
  </si>
  <si>
    <t>Mr Priyank</t>
  </si>
  <si>
    <t>c'est une association dans Tanéné</t>
  </si>
  <si>
    <t>Koulibaly Alpha Santina</t>
  </si>
  <si>
    <t>tout les producteurs demandent à étre programmés pour Mai_Juin</t>
  </si>
  <si>
    <t>Gnaama bah</t>
  </si>
  <si>
    <t>6DYE002T</t>
  </si>
  <si>
    <t>Pierre Kamano</t>
  </si>
  <si>
    <t>Firawa</t>
  </si>
  <si>
    <t>Dondian</t>
  </si>
  <si>
    <t>6KOU001T</t>
  </si>
  <si>
    <t>Gabriel Diawara</t>
  </si>
  <si>
    <t>Worodou</t>
  </si>
  <si>
    <t>6KOU003T</t>
  </si>
  <si>
    <t>Sidiki oulare</t>
  </si>
  <si>
    <t>CK 90 CK 90</t>
  </si>
  <si>
    <t>Kongola</t>
  </si>
  <si>
    <t>Lamine CAMARA</t>
  </si>
  <si>
    <t>Saladou</t>
  </si>
  <si>
    <t>Ck90,Nerica 19</t>
  </si>
  <si>
    <t>Mauriche Kamano</t>
  </si>
  <si>
    <t>Broadou</t>
  </si>
  <si>
    <t>Joseph Mansare</t>
  </si>
  <si>
    <t>niandan</t>
  </si>
  <si>
    <t>Laye Djiguibanin KEITA</t>
  </si>
  <si>
    <t>Pecta</t>
  </si>
  <si>
    <t>Lanfia Bérété</t>
  </si>
  <si>
    <t>Benjamin Mara</t>
  </si>
  <si>
    <t>Massakondou</t>
  </si>
  <si>
    <t>Frédéric CeCe Théa</t>
  </si>
  <si>
    <t>Niandan</t>
  </si>
  <si>
    <t>Mamoudou Magassouba</t>
  </si>
  <si>
    <t>Nelika</t>
  </si>
  <si>
    <t>Bakary condé</t>
  </si>
  <si>
    <t>Woulaba condé</t>
  </si>
  <si>
    <t>7KAN003T</t>
  </si>
  <si>
    <t>Yafore mansare</t>
  </si>
  <si>
    <t>Limanya</t>
  </si>
  <si>
    <t>Lamarana Diallo</t>
  </si>
  <si>
    <t>Thierno Mamadou Aliou Barry</t>
  </si>
  <si>
    <t>Kegneko</t>
  </si>
  <si>
    <t>Alpha Oumar Barry</t>
  </si>
  <si>
    <t>Thierno Abdoulaye Barry</t>
  </si>
  <si>
    <t>Mamadou Kana Diallo</t>
  </si>
  <si>
    <t>ELH Amadou Oury Diallo</t>
  </si>
  <si>
    <t>Amadou Sadjo Diallo</t>
  </si>
  <si>
    <t>Alpha Boubacar Diallo</t>
  </si>
  <si>
    <t>ELH Oumar Barry</t>
  </si>
  <si>
    <t>Elh Mamadou Diallo</t>
  </si>
  <si>
    <t>Thierno kourouma</t>
  </si>
  <si>
    <t>Thierno Mouctar Barry</t>
  </si>
  <si>
    <t>Alphadjo Barry</t>
  </si>
  <si>
    <t>Thierno Mamadou Diallo</t>
  </si>
  <si>
    <t>Beyla ville</t>
  </si>
  <si>
    <t>Abou Balladou</t>
  </si>
  <si>
    <t>Moussa Traore</t>
  </si>
  <si>
    <t>Malogbeni</t>
  </si>
  <si>
    <t>8BLLA005T</t>
  </si>
  <si>
    <t>Sidiky kourouma</t>
  </si>
  <si>
    <t>Laye Soko Camara</t>
  </si>
  <si>
    <t>Kaba Sangaré</t>
  </si>
  <si>
    <t>Karim Camara</t>
  </si>
  <si>
    <t>Fara N'lonana Kamano</t>
  </si>
  <si>
    <t>Dafini</t>
  </si>
  <si>
    <t>Sékou Doubate</t>
  </si>
  <si>
    <t>Laye Camara</t>
  </si>
  <si>
    <t>Ousoumane Mara</t>
  </si>
  <si>
    <t>Karosabany</t>
  </si>
  <si>
    <t>Mètre 6</t>
  </si>
  <si>
    <t>Alseny karamoko cissé</t>
  </si>
  <si>
    <t>Imourana Traore</t>
  </si>
  <si>
    <t>Alia soumah</t>
  </si>
  <si>
    <t>N'Dema</t>
  </si>
  <si>
    <t>Aboubacar Conde</t>
  </si>
  <si>
    <t>Kassia Konaté</t>
  </si>
  <si>
    <t>Namory Camara</t>
  </si>
  <si>
    <t>Lanceï Keita</t>
  </si>
  <si>
    <t>CEKASOKA</t>
  </si>
  <si>
    <t>Fodé 2 Camara</t>
  </si>
  <si>
    <t>Mamoudou watra</t>
  </si>
  <si>
    <t>Toumbourouka</t>
  </si>
  <si>
    <t>Sékou Fanta Keita</t>
  </si>
  <si>
    <t>Daouda kourouma</t>
  </si>
  <si>
    <t>Soïta</t>
  </si>
  <si>
    <t>Saâ Noël tolno</t>
  </si>
  <si>
    <t>Aboubacar Soumah</t>
  </si>
  <si>
    <t>Sidiky Touré</t>
  </si>
  <si>
    <t>Nzérékoré</t>
  </si>
  <si>
    <t>Kouanka centre</t>
  </si>
  <si>
    <t>Famo camara</t>
  </si>
  <si>
    <t>riz</t>
  </si>
  <si>
    <t>Mohamed Kone</t>
  </si>
  <si>
    <t>8NRE002T</t>
  </si>
  <si>
    <t>Kouankan centre</t>
  </si>
  <si>
    <t>Kassan sidiki</t>
  </si>
  <si>
    <t>Kouanka</t>
  </si>
  <si>
    <t>Lonceny camara</t>
  </si>
  <si>
    <t>haricot rouge</t>
  </si>
  <si>
    <t>haricot</t>
  </si>
  <si>
    <t>Haricot</t>
  </si>
  <si>
    <t>Lamine Kourouma</t>
  </si>
  <si>
    <t>Gbenikorou</t>
  </si>
  <si>
    <t>Sinè CONDÉ</t>
  </si>
  <si>
    <t>Moussa KOULIBALY</t>
  </si>
  <si>
    <t>Kidi Doumbouya</t>
  </si>
  <si>
    <t>Bourlaye Koulibaly</t>
  </si>
  <si>
    <t>Sweta, Ck90</t>
  </si>
  <si>
    <t>Ck</t>
  </si>
  <si>
    <t>Berema Traoré</t>
  </si>
  <si>
    <t>Konkokele 2</t>
  </si>
  <si>
    <t>Tadymory KOULIBALY</t>
  </si>
  <si>
    <t>ADRAO, Nerica</t>
  </si>
  <si>
    <t>Samou KOULIBALY</t>
  </si>
  <si>
    <t>Zoumana Oulen Diakité</t>
  </si>
  <si>
    <t>Ciné Diallo</t>
  </si>
  <si>
    <t>Dadoumani malo, nenken</t>
  </si>
  <si>
    <t>Siaka SOUMAORO</t>
  </si>
  <si>
    <t>Nerica 19 et 4</t>
  </si>
  <si>
    <t>Dadoumani malo, sweta</t>
  </si>
  <si>
    <t>Nerica 19 , Ck90</t>
  </si>
  <si>
    <t>Sidiki Keïta</t>
  </si>
  <si>
    <t>Augustin Faya kantambadouno</t>
  </si>
  <si>
    <t>Mamadi Kaba</t>
  </si>
  <si>
    <t>Kaniye</t>
  </si>
  <si>
    <t>Maneah</t>
  </si>
  <si>
    <t>Issagha kaba</t>
  </si>
  <si>
    <t>Wonkifong</t>
  </si>
  <si>
    <t>Sédouya( kakossa )</t>
  </si>
  <si>
    <t>12/05/0202</t>
  </si>
  <si>
    <t>Respect de calendrier agricol</t>
  </si>
  <si>
    <t>Abou KOULIBALY</t>
  </si>
  <si>
    <t>Maïs coton</t>
  </si>
  <si>
    <t>7SRI006T</t>
  </si>
  <si>
    <t>Cheik Ahmed fadiga</t>
  </si>
  <si>
    <t>Varieté amelioré ck 90</t>
  </si>
  <si>
    <t>Oriza glaberima</t>
  </si>
  <si>
    <t>Respect du calendrier agricol par rapport au montant versé</t>
  </si>
  <si>
    <t>Mamadi cissé</t>
  </si>
  <si>
    <t>Songoyah</t>
  </si>
  <si>
    <t>Sayon soumah</t>
  </si>
  <si>
    <t>Manque de pulveriseur</t>
  </si>
  <si>
    <t>Mamadou bailo Diallo</t>
  </si>
  <si>
    <t>Modibo Keïta</t>
  </si>
  <si>
    <t>Dadoumani malo</t>
  </si>
  <si>
    <t>ElhMamadou Diallo</t>
  </si>
  <si>
    <t>Daba KEÏTA</t>
  </si>
  <si>
    <t>Satigui SANGARÉ</t>
  </si>
  <si>
    <t>Tchokotchoko, nenken</t>
  </si>
  <si>
    <t>Adama SOUMAORO</t>
  </si>
  <si>
    <t>Ck90, Nerica</t>
  </si>
  <si>
    <t>Bourley KEÏTA</t>
  </si>
  <si>
    <t>Nouhan KANTÉ</t>
  </si>
  <si>
    <t>Yakouba condé</t>
  </si>
  <si>
    <t>Yaya Keïta</t>
  </si>
  <si>
    <t>52, nenken, Nerica</t>
  </si>
  <si>
    <t>Seydoua</t>
  </si>
  <si>
    <t>Daouda KOULIBALY</t>
  </si>
  <si>
    <t>Sweta, Nerica</t>
  </si>
  <si>
    <t>Amara KOULIBALY</t>
  </si>
  <si>
    <t>52, nenken, kaolac</t>
  </si>
  <si>
    <t>Nerica 19, Nerica 4,nenken</t>
  </si>
  <si>
    <t>Sadan sékou Koulibaly</t>
  </si>
  <si>
    <t>Tchokotchoko, dadoumani malo</t>
  </si>
  <si>
    <t>Damankodo Moussa KOULIBALY</t>
  </si>
  <si>
    <t>Cours du bloc</t>
  </si>
  <si>
    <t>Diakaria KOULIBALY</t>
  </si>
  <si>
    <t>Mory DOUMBOUYA</t>
  </si>
  <si>
    <t>Sweta , Nerica 19</t>
  </si>
  <si>
    <t>Semaine</t>
  </si>
  <si>
    <t>Étiquettes de lignes</t>
  </si>
  <si>
    <t>Total général</t>
  </si>
  <si>
    <t>Somme de Superficie demandée pour le labour</t>
  </si>
  <si>
    <t>Nombre de Superficie demandée pour le labour</t>
  </si>
  <si>
    <t>(Plusieurs éléments)</t>
  </si>
  <si>
    <t>Basse Guinée</t>
  </si>
  <si>
    <t>Moyenne Guinee</t>
  </si>
  <si>
    <t>Pita</t>
  </si>
  <si>
    <t>Koundara</t>
  </si>
  <si>
    <t>Koubia</t>
  </si>
  <si>
    <t>Haute Guinee</t>
  </si>
  <si>
    <t>Guinee Forestiere</t>
  </si>
  <si>
    <t>Yomou</t>
  </si>
  <si>
    <t>Région</t>
  </si>
  <si>
    <t>CPA</t>
  </si>
  <si>
    <t>Tougué</t>
  </si>
  <si>
    <t>Enregistrés (prodcteurs)</t>
  </si>
  <si>
    <t>payés à S-1 (hectare)</t>
  </si>
  <si>
    <t>payés à S (hectare)</t>
  </si>
  <si>
    <t>payés (prodcteurs)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</si>
  <si>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</si>
  <si>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</si>
  <si>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</si>
  <si>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</si>
  <si>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</si>
  <si>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</si>
  <si>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</si>
  <si>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</si>
  <si>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</si>
  <si>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</si>
  <si>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S4</t>
  </si>
  <si>
    <t>S5</t>
  </si>
  <si>
    <t>S6</t>
  </si>
  <si>
    <t>S7</t>
  </si>
  <si>
    <t>S8</t>
  </si>
  <si>
    <t>S9</t>
  </si>
  <si>
    <t>(vide)</t>
  </si>
  <si>
    <t>S04</t>
  </si>
  <si>
    <t>S05</t>
  </si>
  <si>
    <t>S06</t>
  </si>
  <si>
    <t>S07</t>
  </si>
  <si>
    <t>S08</t>
  </si>
  <si>
    <t>S09</t>
  </si>
  <si>
    <t>ha labouré</t>
  </si>
  <si>
    <t>ha labouré cumulé</t>
  </si>
  <si>
    <t>Numéro Orange Money du superviseur</t>
  </si>
  <si>
    <t>Conducteur</t>
  </si>
  <si>
    <t>Numéro Orange Money du conducteur</t>
  </si>
  <si>
    <t>S52</t>
  </si>
  <si>
    <t>S20</t>
  </si>
  <si>
    <t>3BKE001T</t>
  </si>
  <si>
    <t>3BKE002T</t>
  </si>
  <si>
    <t>6DLA002T</t>
  </si>
  <si>
    <t>s</t>
  </si>
  <si>
    <t>7KSA004T</t>
  </si>
  <si>
    <t>7MNA008T</t>
  </si>
  <si>
    <t>4MOU001T</t>
  </si>
  <si>
    <t>8BLA014T</t>
  </si>
  <si>
    <t>8BLA005T</t>
  </si>
  <si>
    <t>6DLA001T</t>
  </si>
  <si>
    <t>7KSA006T</t>
  </si>
  <si>
    <t>BARRY Amafou Saikou</t>
  </si>
  <si>
    <t>Kindia Centre</t>
  </si>
  <si>
    <t>2KIA003T</t>
  </si>
  <si>
    <t>SYLLS Mamadouba</t>
  </si>
  <si>
    <t>COYADY ,SEYDOUBA</t>
  </si>
  <si>
    <t>RIEN</t>
  </si>
  <si>
    <t>Hinla fofana</t>
  </si>
  <si>
    <t>SYLLA ABOUBACAR</t>
  </si>
  <si>
    <t>Kawlaka ,Coyady</t>
  </si>
  <si>
    <t>Sans</t>
  </si>
  <si>
    <t>Abdoulaye camara</t>
  </si>
  <si>
    <t>Alpha moussa Barry</t>
  </si>
  <si>
    <t>Association diabakaniani</t>
  </si>
  <si>
    <t>Mohamed Laye Toure</t>
  </si>
  <si>
    <t>Madina Oula</t>
  </si>
  <si>
    <t>CK 801</t>
  </si>
  <si>
    <t>Possible</t>
  </si>
  <si>
    <t>Fatoumata Barry</t>
  </si>
  <si>
    <t>Bagou bah</t>
  </si>
  <si>
    <t>Dôgôssari</t>
  </si>
  <si>
    <t>Moussa sanoh</t>
  </si>
  <si>
    <t>Kaïra savané</t>
  </si>
  <si>
    <t>Lansana tounkara</t>
  </si>
  <si>
    <t>Hadja siré tounkara</t>
  </si>
  <si>
    <t>Yaya tounkara</t>
  </si>
  <si>
    <t>Mamadou bouba tounkara</t>
  </si>
  <si>
    <t>Fodé Mamoudou tounkara</t>
  </si>
  <si>
    <t>Laye Babila Fofana</t>
  </si>
  <si>
    <t>Aboubacar Mbady soumah</t>
  </si>
  <si>
    <t>Man</t>
  </si>
  <si>
    <t>Elhadj Mbemba camara</t>
  </si>
  <si>
    <t>Fodé Touré</t>
  </si>
  <si>
    <t>J</t>
  </si>
  <si>
    <t>Manque criand de tracteur</t>
  </si>
  <si>
    <t>Ousmane valdo</t>
  </si>
  <si>
    <t>Mohamed Lato Bangoura</t>
  </si>
  <si>
    <t>Abdoulaye Fidel camara</t>
  </si>
  <si>
    <t>Alia rivé Touré</t>
  </si>
  <si>
    <t>Alia 2 Touré</t>
  </si>
  <si>
    <t>Mohamed camara</t>
  </si>
  <si>
    <t>Karamo solo Touré</t>
  </si>
  <si>
    <t>Sangban kourouma</t>
  </si>
  <si>
    <t>Dissigbè</t>
  </si>
  <si>
    <t>Facinet Bangoura</t>
  </si>
  <si>
    <t>Lanciné Camara</t>
  </si>
  <si>
    <t>Nounkè Keita</t>
  </si>
  <si>
    <t>Amara soumah</t>
  </si>
  <si>
    <t>Cc15</t>
  </si>
  <si>
    <t>Kanada Keita</t>
  </si>
  <si>
    <t>Namory Keita</t>
  </si>
  <si>
    <t>Bakary Keita</t>
  </si>
  <si>
    <t>Souleymane Keita</t>
  </si>
  <si>
    <t>Billy Keita</t>
  </si>
  <si>
    <t>Abdoul gadri Diallo</t>
  </si>
  <si>
    <t>Kondjan Keita</t>
  </si>
  <si>
    <t>Sorry Keita</t>
  </si>
  <si>
    <t>Salou kourouma</t>
  </si>
  <si>
    <t>Youssouf Keita</t>
  </si>
  <si>
    <t>Ansoumane Keita</t>
  </si>
  <si>
    <t>Kaman Keita</t>
  </si>
  <si>
    <t>Lanciné Keita</t>
  </si>
  <si>
    <t>Doubany Keita</t>
  </si>
  <si>
    <t>Sékou Keita</t>
  </si>
  <si>
    <t>Ameliorer</t>
  </si>
  <si>
    <t>Elhadji Mohamed Bérété</t>
  </si>
  <si>
    <t>Koragbangna</t>
  </si>
  <si>
    <t>Faya mamadouno</t>
  </si>
  <si>
    <t>N19</t>
  </si>
  <si>
    <t>Ninkadou</t>
  </si>
  <si>
    <t>Egeune Camara</t>
  </si>
  <si>
    <t>Kondjan</t>
  </si>
  <si>
    <t>Mamata camara</t>
  </si>
  <si>
    <t>Adama soumah</t>
  </si>
  <si>
    <t>2FAH005T</t>
  </si>
  <si>
    <t>Direction Préfectorale de l'Agriculture et de l Élevage de Lola</t>
  </si>
  <si>
    <t>Eugène Delamou</t>
  </si>
  <si>
    <t>Wania</t>
  </si>
  <si>
    <t>Jogbassi</t>
  </si>
  <si>
    <t>Namory Kante</t>
  </si>
  <si>
    <t>Maloba</t>
  </si>
  <si>
    <t>Younoussa camara</t>
  </si>
  <si>
    <t>Kakossa</t>
  </si>
  <si>
    <t>2FAH002T</t>
  </si>
  <si>
    <t>Elhadj Sékou DIAKITÉ</t>
  </si>
  <si>
    <t>Brema Camara</t>
  </si>
  <si>
    <t>Moussa sacko</t>
  </si>
  <si>
    <t>Mory Doumbouya</t>
  </si>
  <si>
    <t>Fodé Traoré</t>
  </si>
  <si>
    <t>Lancine Cissé</t>
  </si>
  <si>
    <t>SADOU DIALLO</t>
  </si>
  <si>
    <t>Ck98</t>
  </si>
  <si>
    <t>Fodé Konaté</t>
  </si>
  <si>
    <t>Yomba kourouma</t>
  </si>
  <si>
    <t>Samory Djoufini moussagbe</t>
  </si>
  <si>
    <t>Sékouba Cissé</t>
  </si>
  <si>
    <t>SADIO KONDJIRA</t>
  </si>
  <si>
    <t>Lonceny bamba</t>
  </si>
  <si>
    <t>Fara nitan tolno</t>
  </si>
  <si>
    <t>Centre ville</t>
  </si>
  <si>
    <t>Sanoussy Cissé</t>
  </si>
  <si>
    <t>Totolaa</t>
  </si>
  <si>
    <t>Centre ville Coyah</t>
  </si>
  <si>
    <t>Thierno Mamadou Oury Diallo</t>
  </si>
  <si>
    <t>Varieté local</t>
  </si>
  <si>
    <t>Yegueti oriza belatima</t>
  </si>
  <si>
    <t>Morlaye Kouyaté</t>
  </si>
  <si>
    <t>Kèdjan Keita</t>
  </si>
  <si>
    <t>C'est dans village à 6km de Banora mais dans siguiri 100 et quelques kilomètres de centre ville de siguiri.</t>
  </si>
  <si>
    <t>Mamadi Fofana</t>
  </si>
  <si>
    <t>Aboubacar Sidiki MAGASSOUBA</t>
  </si>
  <si>
    <t>LONCENY CAMARA</t>
  </si>
  <si>
    <t>Idrissa Sylla</t>
  </si>
  <si>
    <t>Karifa MAGASSOUBA</t>
  </si>
  <si>
    <t>Mamadi KOULIBALY</t>
  </si>
  <si>
    <t>Yaya ouléni KOULIBALY</t>
  </si>
  <si>
    <t>Mamadi SAMAKE</t>
  </si>
  <si>
    <t>Sweta, nenken, Nerica</t>
  </si>
  <si>
    <t>Sweta, nenken, Nerica 19</t>
  </si>
  <si>
    <t>Mohamed Lamine souare</t>
  </si>
  <si>
    <t>Jeanine koivogui</t>
  </si>
  <si>
    <t>Kabinet KEITA</t>
  </si>
  <si>
    <t>Korônin Kaba</t>
  </si>
  <si>
    <t>MAÏS</t>
  </si>
  <si>
    <t>Kader Kamano</t>
  </si>
  <si>
    <t>Amadou kade Barry</t>
  </si>
  <si>
    <t>Sidiki camara</t>
  </si>
  <si>
    <t>Riz flottant</t>
  </si>
  <si>
    <t>Moussa sidibé</t>
  </si>
  <si>
    <t>Berema 1 Traoré</t>
  </si>
  <si>
    <t>Abdoulaye kongo Touré</t>
  </si>
  <si>
    <t>Kalou Dioubate</t>
  </si>
  <si>
    <t>Nema</t>
  </si>
  <si>
    <t>Mamadou Aliou Barry</t>
  </si>
  <si>
    <t>Imam jamil Bamgoura</t>
  </si>
  <si>
    <t>Ck-90 et Tokombo</t>
  </si>
  <si>
    <t>Riz et manioc</t>
  </si>
  <si>
    <t>Aliou Barry</t>
  </si>
  <si>
    <t>Mamadi CAMARA</t>
  </si>
  <si>
    <t>Pulvérisage</t>
  </si>
  <si>
    <t>Sény Camara</t>
  </si>
  <si>
    <t>C'est dans la zone de kolaboui</t>
  </si>
  <si>
    <t>Amara cherif</t>
  </si>
  <si>
    <t>Alpha traore</t>
  </si>
  <si>
    <t>Sidiki Camara</t>
  </si>
  <si>
    <t>Péla</t>
  </si>
  <si>
    <t>Oriza S/p</t>
  </si>
  <si>
    <t>Nyankoye Edouard Balamou</t>
  </si>
  <si>
    <t>Céwa Delamou</t>
  </si>
  <si>
    <t>Bowé</t>
  </si>
  <si>
    <t>Fatako</t>
  </si>
  <si>
    <t>Groupement agr..Santa</t>
  </si>
  <si>
    <t>M6</t>
  </si>
  <si>
    <t>Konko</t>
  </si>
  <si>
    <t>Bafon à hydrmorphie permanente</t>
  </si>
  <si>
    <t>Mamadou Aliou Balde</t>
  </si>
  <si>
    <t>5TUE001T</t>
  </si>
  <si>
    <t>Abdourahmane Balde</t>
  </si>
  <si>
    <t>Sol à hydromorphie permanente ( bafon )</t>
  </si>
  <si>
    <t>Thierno Talibé Balde</t>
  </si>
  <si>
    <t>Sol hydrmorphie permanente ( bafon )</t>
  </si>
  <si>
    <t>El.Mamadou Baillo Balde</t>
  </si>
  <si>
    <t>Sol hydrmorphie permanente (bafon)</t>
  </si>
  <si>
    <t>Mamadou Samba Keita</t>
  </si>
  <si>
    <t>Daouda Diallo</t>
  </si>
  <si>
    <t>Groupement de femmes Représenté par Dorcas onivogui</t>
  </si>
  <si>
    <t>Nounké Keita</t>
  </si>
  <si>
    <t>Lanceï Diabaté</t>
  </si>
  <si>
    <t>Manian</t>
  </si>
  <si>
    <t>Noch doussou siné trare</t>
  </si>
  <si>
    <t>Balato</t>
  </si>
  <si>
    <t>Bintoubala</t>
  </si>
  <si>
    <t>Noh doussou siné trore</t>
  </si>
  <si>
    <t>Yakou Bayo</t>
  </si>
  <si>
    <t>kounvini</t>
  </si>
  <si>
    <t>Mixalou Toure</t>
  </si>
  <si>
    <t>Kemo magasin</t>
  </si>
  <si>
    <t>Riz Blanc</t>
  </si>
  <si>
    <t>Mody Majin Barry</t>
  </si>
  <si>
    <t>Sidiki Condé</t>
  </si>
  <si>
    <t>Samiakonko</t>
  </si>
  <si>
    <t>7KSA005T</t>
  </si>
  <si>
    <t>Saran mamoudou Traoré</t>
  </si>
  <si>
    <t>Moriba sossoidouno</t>
  </si>
  <si>
    <t>Tamba Kamano</t>
  </si>
  <si>
    <t>COL. ABDOULAYE CAMARA</t>
  </si>
  <si>
    <t>Amara soumaro</t>
  </si>
  <si>
    <t>7KNE003T</t>
  </si>
  <si>
    <t>Soumaila Traoré</t>
  </si>
  <si>
    <t>Moustapha Diallo</t>
  </si>
  <si>
    <t>Sékou Cissé</t>
  </si>
  <si>
    <t>Seka 93</t>
  </si>
  <si>
    <t>Soumana Camara</t>
  </si>
  <si>
    <t>Ibrahima Kalou Magassouba</t>
  </si>
  <si>
    <t>Sory Dabo</t>
  </si>
  <si>
    <t>C</t>
  </si>
  <si>
    <t>Kaba Keita</t>
  </si>
  <si>
    <t>Kalou Touré</t>
  </si>
  <si>
    <t>Solo Camara</t>
  </si>
  <si>
    <t>DIALLO Mamadou Sanoussy</t>
  </si>
  <si>
    <t>Coyady</t>
  </si>
  <si>
    <t>Karifa camara</t>
  </si>
  <si>
    <t>Kissina</t>
  </si>
  <si>
    <t>Diaty condé</t>
  </si>
  <si>
    <t>kassan sidiki</t>
  </si>
  <si>
    <t>Kanina Abou Diallo</t>
  </si>
  <si>
    <t>Bourley diaby</t>
  </si>
  <si>
    <t>Ibrahima DIAKITÉ</t>
  </si>
  <si>
    <t>Morodou</t>
  </si>
  <si>
    <t>Billimalo, Dissiba</t>
  </si>
  <si>
    <t>Billimalo, Nerica 19</t>
  </si>
  <si>
    <t>Elhadj Kaly Diakité</t>
  </si>
  <si>
    <t>Ck90, sweta</t>
  </si>
  <si>
    <t>Fanta madi Sacko</t>
  </si>
  <si>
    <t>Nenken, Billimalo, Ck90</t>
  </si>
  <si>
    <t>Direction Préfectorale de l'Agriculture et de l'Élevage de Lola</t>
  </si>
  <si>
    <t>Joël Goumou</t>
  </si>
  <si>
    <t>Pèta</t>
  </si>
  <si>
    <t>Ibrahima camara</t>
  </si>
  <si>
    <t>Mohamed Diane</t>
  </si>
  <si>
    <t>Djiba doumbouya</t>
  </si>
  <si>
    <t>Alpha saliou Diallo</t>
  </si>
  <si>
    <t>Commune Urbaine</t>
  </si>
  <si>
    <t>Kaly Diakité</t>
  </si>
  <si>
    <t>Dissiba, nenken</t>
  </si>
  <si>
    <t>Faya Léon bongono</t>
  </si>
  <si>
    <t>Antoine Teliano</t>
  </si>
  <si>
    <t>Nenkin, Nerica19...</t>
  </si>
  <si>
    <t>8BLA009T</t>
  </si>
  <si>
    <t>Mohamed lansana camara</t>
  </si>
  <si>
    <t>Porotokolo</t>
  </si>
  <si>
    <t>Gertrude Lamah</t>
  </si>
  <si>
    <t>zea Mays</t>
  </si>
  <si>
    <t>8LLA001T</t>
  </si>
  <si>
    <t>Elhadj AbdoulSamad Camara</t>
  </si>
  <si>
    <t>Mamadi koroko DIALLO</t>
  </si>
  <si>
    <t>Elhdj Bamba TRAORE</t>
  </si>
  <si>
    <t>Fra Nenkin</t>
  </si>
  <si>
    <t>Alsény Camara</t>
  </si>
  <si>
    <t>2CAH001T</t>
  </si>
  <si>
    <t>S21</t>
  </si>
  <si>
    <t>7SRI002T</t>
  </si>
  <si>
    <t>7MNA005T</t>
  </si>
  <si>
    <t>ALSENY BARRY</t>
  </si>
  <si>
    <t>Wendou M'Bour</t>
  </si>
  <si>
    <t>3GAL004T</t>
  </si>
  <si>
    <t>Blaise Goumou</t>
  </si>
  <si>
    <t>Kélékai</t>
  </si>
  <si>
    <t>Assetou Traoré</t>
  </si>
  <si>
    <t>KNE001T</t>
  </si>
  <si>
    <t>Seka, moussagbe</t>
  </si>
  <si>
    <t>Sékouba oulen Mara</t>
  </si>
  <si>
    <t>Seka 93, djoufini,bangaliba,</t>
  </si>
  <si>
    <t>Seka 93, djoufini, bangaliba</t>
  </si>
  <si>
    <t>Billo Kante</t>
  </si>
  <si>
    <t>Soromaya</t>
  </si>
  <si>
    <t>Djoufini, moussagbe</t>
  </si>
  <si>
    <t>N'faly Fofana</t>
  </si>
  <si>
    <t>7MNA003T</t>
  </si>
  <si>
    <t>Sindiano</t>
  </si>
  <si>
    <t>Mory Keita</t>
  </si>
  <si>
    <t>Petits producteurs</t>
  </si>
  <si>
    <t>Sidiki Kourouma</t>
  </si>
  <si>
    <t>À yomou</t>
  </si>
  <si>
    <t>Oriza S/P</t>
  </si>
  <si>
    <t>6YOU001T</t>
  </si>
  <si>
    <t>Mamadou Hardy Sow</t>
  </si>
  <si>
    <t>Fallou barry</t>
  </si>
  <si>
    <t>Dissiba-oulen</t>
  </si>
  <si>
    <t>Saran Mady sanoh</t>
  </si>
  <si>
    <t>Elh Mamadou bobo Diallo</t>
  </si>
  <si>
    <t>Tin samba</t>
  </si>
  <si>
    <t>Oriza Sativa</t>
  </si>
  <si>
    <t>Cour du bloc administratif de</t>
  </si>
  <si>
    <t>Sékou touraby koulibaly</t>
  </si>
  <si>
    <t>Adrao</t>
  </si>
  <si>
    <t>Cour du bloc administratif</t>
  </si>
  <si>
    <t>Mory Diakité</t>
  </si>
  <si>
    <t>Youssouf bayo</t>
  </si>
  <si>
    <t>Tamba kêlê</t>
  </si>
  <si>
    <t>Elhadj Toumani Diallo</t>
  </si>
  <si>
    <t>Fassiriman konaté</t>
  </si>
  <si>
    <t>7MNA002T</t>
  </si>
  <si>
    <t>Kabinet condé</t>
  </si>
  <si>
    <t>Mamadi 2 condé</t>
  </si>
  <si>
    <t>Thouthou</t>
  </si>
  <si>
    <t>Oury konaté</t>
  </si>
  <si>
    <t>Gueckedou centre</t>
  </si>
  <si>
    <t>Alexandre moussa temedouno</t>
  </si>
  <si>
    <t>Aboubacar Traoré</t>
  </si>
  <si>
    <t>2FA005T</t>
  </si>
  <si>
    <t>Sédiba sylla</t>
  </si>
  <si>
    <t>2FA004T</t>
  </si>
  <si>
    <t>u</t>
  </si>
  <si>
    <t>Oumar Savané</t>
  </si>
  <si>
    <t>ARIES FARMS SARL a Yongoro</t>
  </si>
  <si>
    <t>bagamalé</t>
  </si>
  <si>
    <t>la société ARIES FARMS SARL a versé au total pour le 1er labour 50 hectares. hier pour 12,5 ha et aujourd'hui elle a versé pour 37,5 ha soit pour unt</t>
  </si>
  <si>
    <t>Mohamed sidibé</t>
  </si>
  <si>
    <t>Sori camara</t>
  </si>
  <si>
    <t>Kaba</t>
  </si>
  <si>
    <t>Fanta mady oulare</t>
  </si>
  <si>
    <t>BAH Hadja Laouratou</t>
  </si>
  <si>
    <t>Harico</t>
  </si>
  <si>
    <t>BAH Mohamed</t>
  </si>
  <si>
    <t>Baronne</t>
  </si>
  <si>
    <t>Kabine condé</t>
  </si>
  <si>
    <t>Dr Kanaoussou Guilavogui</t>
  </si>
  <si>
    <t>Fanta Mady MAGASSOUBA</t>
  </si>
  <si>
    <t>Doko</t>
  </si>
  <si>
    <t>Nenken, koroninkaba....</t>
  </si>
  <si>
    <t>Nenkin, koroninkaba...</t>
  </si>
  <si>
    <t>Riz et Maïs</t>
  </si>
  <si>
    <t>Moussa DOUMBOUYA</t>
  </si>
  <si>
    <t>Enregistrement répété par faute de connexion de même producteur</t>
  </si>
  <si>
    <t>Nzérékoré centre</t>
  </si>
  <si>
    <t>MOUSSA LOUA</t>
  </si>
  <si>
    <t>Gouécké</t>
  </si>
  <si>
    <t>Karamo Amadou DIALLO</t>
  </si>
  <si>
    <t>Kondianakoro</t>
  </si>
  <si>
    <t>R19, flottant</t>
  </si>
  <si>
    <t>Mory Diakite</t>
  </si>
  <si>
    <t>Fallou Barry</t>
  </si>
  <si>
    <t>Oumar fofana</t>
  </si>
  <si>
    <t>Tiro</t>
  </si>
  <si>
    <t>Djiby sylla</t>
  </si>
  <si>
    <t>Malogbèdian</t>
  </si>
  <si>
    <t>Youssouf Bayo</t>
  </si>
  <si>
    <t>Seydou Traoré</t>
  </si>
  <si>
    <t>Maïs parta</t>
  </si>
  <si>
    <t>Elhadj toumany Diallo</t>
  </si>
  <si>
    <t>Kaly DIAKITÉ</t>
  </si>
  <si>
    <t>Billy malo</t>
  </si>
  <si>
    <t>Kabinè Diakité</t>
  </si>
  <si>
    <t>Karamo Diakité</t>
  </si>
  <si>
    <t>Nerica 19 et 4, Ck90</t>
  </si>
  <si>
    <t>Nerica et ck</t>
  </si>
  <si>
    <t>Daouda gbèman DIAKITÉ</t>
  </si>
  <si>
    <t>Amadou boss Diakité</t>
  </si>
  <si>
    <t>Billy malo, dissiba</t>
  </si>
  <si>
    <t>Fodé keita</t>
  </si>
  <si>
    <t>Samaka,sonssompolo</t>
  </si>
  <si>
    <t>Samaka,sonsssompolo</t>
  </si>
  <si>
    <t>Mody mahin Barry</t>
  </si>
  <si>
    <t>Laurent pé</t>
  </si>
  <si>
    <t>Roki ta</t>
  </si>
  <si>
    <t>CU</t>
  </si>
  <si>
    <t>Elhadj fodé barry</t>
  </si>
  <si>
    <t>7SRI005T</t>
  </si>
  <si>
    <t>Docteur kana woussou guilavogui</t>
  </si>
  <si>
    <t>Fanta Mady magassouba</t>
  </si>
  <si>
    <t>Bembeya camara</t>
  </si>
  <si>
    <t>Moussa doumbouya</t>
  </si>
  <si>
    <t>Menkè</t>
  </si>
  <si>
    <t>Assa Fanta Camara</t>
  </si>
  <si>
    <t>Balla djouméssy</t>
  </si>
  <si>
    <t>Laye Sangare</t>
  </si>
  <si>
    <t>Kanvaly Doumbouya</t>
  </si>
  <si>
    <t>Mohamed Wattara</t>
  </si>
  <si>
    <t>Bouréma malo ni</t>
  </si>
  <si>
    <t>Bagnè</t>
  </si>
  <si>
    <t>Kansereba Conde</t>
  </si>
  <si>
    <t>CEKA</t>
  </si>
  <si>
    <t>Kansireba Magassouba</t>
  </si>
  <si>
    <t>Fanta Mady Magassouba</t>
  </si>
  <si>
    <t>Kassim Sylla</t>
  </si>
  <si>
    <t>7SRI004T</t>
  </si>
  <si>
    <t>Almamy Traore</t>
  </si>
  <si>
    <t>Direction préfectorale de l’agriculture</t>
  </si>
  <si>
    <t>Elhadj Mohamed bignè camara</t>
  </si>
  <si>
    <t>Aissata Camara</t>
  </si>
  <si>
    <t>Wonkifon</t>
  </si>
  <si>
    <t>Mabinty camara</t>
  </si>
  <si>
    <t>M'Bampeya</t>
  </si>
  <si>
    <t>Laye kelety oulen Diabaté</t>
  </si>
  <si>
    <t>Moussa Touré</t>
  </si>
  <si>
    <t>Fabory Keita</t>
  </si>
  <si>
    <t>Soumaila kourouma</t>
  </si>
  <si>
    <t>Badenba Barry</t>
  </si>
  <si>
    <t>Mamadou Magassouba</t>
  </si>
  <si>
    <t>Commandant Adjoint</t>
  </si>
  <si>
    <t>Sekou mansaré</t>
  </si>
  <si>
    <t>BARRY Boubacar Siddy</t>
  </si>
  <si>
    <t>semaine horodataire</t>
  </si>
  <si>
    <t>Boke</t>
  </si>
  <si>
    <t>Gueckedou</t>
  </si>
  <si>
    <t>Kerouane</t>
  </si>
  <si>
    <t>Dubreka</t>
  </si>
  <si>
    <t>Nzerekore</t>
  </si>
  <si>
    <t>Tougue</t>
  </si>
  <si>
    <t>Dalaba</t>
  </si>
  <si>
    <t>Dixinn</t>
  </si>
  <si>
    <t>Fria</t>
  </si>
  <si>
    <t>Kaloum</t>
  </si>
  <si>
    <t>Labe</t>
  </si>
  <si>
    <t>Lelouma</t>
  </si>
  <si>
    <t>Mali</t>
  </si>
  <si>
    <t>Matam</t>
  </si>
  <si>
    <t>Matoto</t>
  </si>
  <si>
    <t>Ratoma</t>
  </si>
  <si>
    <t>Telimele</t>
  </si>
  <si>
    <t>Type demande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</si>
</sst>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3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22" fontId="2" fillId="0" borderId="3" xfId="0" applyNumberFormat="1" applyFont="1" applyBorder="1" applyAlignment="1">
      <alignment horizontal="right" wrapText="1"/>
    </xf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horizontal="right" wrapText="1"/>
    </xf>
    <xf numFmtId="14" fontId="2" fillId="0" borderId="4" xfId="0" applyNumberFormat="1" applyFont="1" applyBorder="1" applyAlignment="1">
      <alignment horizontal="right" wrapText="1"/>
    </xf>
    <xf numFmtId="14" fontId="2" fillId="0" borderId="4" xfId="0" applyNumberFormat="1" applyFont="1" applyBorder="1" applyAlignment="1">
      <alignment wrapText="1"/>
    </xf>
    <xf numFmtId="0" fontId="2" fillId="2" borderId="4" xfId="0" applyFont="1" applyFill="1" applyBorder="1" applyAlignment="1">
      <alignment wrapText="1"/>
    </xf>
    <xf numFmtId="0" fontId="2" fillId="2" borderId="4" xfId="0" applyFont="1" applyFill="1" applyBorder="1" applyAlignment="1">
      <alignment horizontal="right" wrapText="1"/>
    </xf>
    <xf numFmtId="0" fontId="3" fillId="0" borderId="4" xfId="0" applyFont="1" applyBorder="1" applyAlignment="1">
      <alignment wrapText="1"/>
    </xf>
    <xf numFmtId="22" fontId="2" fillId="0" borderId="5" xfId="0" applyNumberFormat="1" applyFont="1" applyBorder="1" applyAlignment="1">
      <alignment horizontal="right" wrapText="1"/>
    </xf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right" wrapText="1"/>
    </xf>
    <xf numFmtId="14" fontId="2" fillId="0" borderId="5" xfId="0" applyNumberFormat="1" applyFont="1" applyBorder="1" applyAlignment="1">
      <alignment horizontal="right" wrapText="1"/>
    </xf>
    <xf numFmtId="22" fontId="2" fillId="0" borderId="6" xfId="0" applyNumberFormat="1" applyFont="1" applyBorder="1" applyAlignment="1">
      <alignment horizontal="right" wrapText="1"/>
    </xf>
    <xf numFmtId="0" fontId="2" fillId="0" borderId="6" xfId="0" applyFont="1" applyBorder="1" applyAlignment="1">
      <alignment wrapText="1"/>
    </xf>
    <xf numFmtId="0" fontId="2" fillId="0" borderId="6" xfId="0" applyFont="1" applyBorder="1" applyAlignment="1">
      <alignment horizontal="right" wrapText="1"/>
    </xf>
    <xf numFmtId="14" fontId="2" fillId="0" borderId="6" xfId="0" applyNumberFormat="1" applyFont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7" xfId="0" applyBorder="1"/>
    <xf numFmtId="0" fontId="0" fillId="0" borderId="7" xfId="0" applyBorder="1" applyAlignment="1">
      <alignment horizontal="left"/>
    </xf>
    <xf numFmtId="0" fontId="0" fillId="0" borderId="0" xfId="0" applyAlignment="1">
      <alignment vertical="center"/>
    </xf>
    <xf numFmtId="0" fontId="0" fillId="5" borderId="7" xfId="0" applyFill="1" applyBorder="1"/>
    <xf numFmtId="0" fontId="1" fillId="3" borderId="1" xfId="0" applyFont="1" applyFill="1" applyBorder="1" applyAlignment="1">
      <alignment vertical="center" wrapText="1"/>
    </xf>
    <xf numFmtId="14" fontId="2" fillId="2" borderId="4" xfId="0" applyNumberFormat="1" applyFont="1" applyFill="1" applyBorder="1" applyAlignment="1">
      <alignment horizontal="right" wrapText="1"/>
    </xf>
    <xf numFmtId="14" fontId="2" fillId="0" borderId="11" xfId="0" applyNumberFormat="1" applyFont="1" applyBorder="1" applyAlignment="1">
      <alignment horizontal="right" wrapText="1"/>
    </xf>
    <xf numFmtId="0" fontId="1" fillId="3" borderId="2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Producteurs enregistrés Vs payé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Synthèse!$C$1</c:f>
              <c:strCache>
                <c:ptCount val="1"/>
                <c:pt idx="0">
                  <c:v>Enregistrés (prodcteurs)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Synthèse!$A$2:$B$28</c:f>
              <c:multiLvlStrCache>
                <c:ptCount val="27"/>
                <c:lvl>
                  <c:pt idx="0">
                    <c:v>Kindia</c:v>
                  </c:pt>
                  <c:pt idx="1">
                    <c:v>Coyah</c:v>
                  </c:pt>
                  <c:pt idx="2">
                    <c:v>Boffa</c:v>
                  </c:pt>
                  <c:pt idx="3">
                    <c:v>Dubréka</c:v>
                  </c:pt>
                  <c:pt idx="4">
                    <c:v>Forécariah</c:v>
                  </c:pt>
                  <c:pt idx="5">
                    <c:v>Boké</c:v>
                  </c:pt>
                  <c:pt idx="6">
                    <c:v>Mamou</c:v>
                  </c:pt>
                  <c:pt idx="7">
                    <c:v>Pita</c:v>
                  </c:pt>
                  <c:pt idx="8">
                    <c:v>Koundara</c:v>
                  </c:pt>
                  <c:pt idx="9">
                    <c:v>Koubia</c:v>
                  </c:pt>
                  <c:pt idx="10">
                    <c:v>Gaoual</c:v>
                  </c:pt>
                  <c:pt idx="11">
                    <c:v>Tougué</c:v>
                  </c:pt>
                  <c:pt idx="12">
                    <c:v>Kankan</c:v>
                  </c:pt>
                  <c:pt idx="13">
                    <c:v>Kouroussa</c:v>
                  </c:pt>
                  <c:pt idx="14">
                    <c:v>Mandiana</c:v>
                  </c:pt>
                  <c:pt idx="15">
                    <c:v>Kérouané</c:v>
                  </c:pt>
                  <c:pt idx="16">
                    <c:v>Dabola</c:v>
                  </c:pt>
                  <c:pt idx="17">
                    <c:v>Siguiri</c:v>
                  </c:pt>
                  <c:pt idx="18">
                    <c:v>Faranah</c:v>
                  </c:pt>
                  <c:pt idx="19">
                    <c:v>Dinguiraye</c:v>
                  </c:pt>
                  <c:pt idx="20">
                    <c:v>Beyla</c:v>
                  </c:pt>
                  <c:pt idx="21">
                    <c:v>Nzérékoré</c:v>
                  </c:pt>
                  <c:pt idx="22">
                    <c:v>Yomou</c:v>
                  </c:pt>
                  <c:pt idx="23">
                    <c:v>Kissidougou</c:v>
                  </c:pt>
                  <c:pt idx="24">
                    <c:v>Guéckédou</c:v>
                  </c:pt>
                  <c:pt idx="25">
                    <c:v>Macenta</c:v>
                  </c:pt>
                  <c:pt idx="26">
                    <c:v>Lola</c:v>
                  </c:pt>
                </c:lvl>
                <c:lvl>
                  <c:pt idx="0">
                    <c:v>Basse Guinée</c:v>
                  </c:pt>
                  <c:pt idx="6">
                    <c:v>Moyenne Guinee</c:v>
                  </c:pt>
                  <c:pt idx="12">
                    <c:v>Haute Guinee</c:v>
                  </c:pt>
                  <c:pt idx="20">
                    <c:v>Guinee Forestiere</c:v>
                  </c:pt>
                </c:lvl>
              </c:multiLvlStrCache>
            </c:multiLvlStrRef>
          </c:cat>
          <c:val>
            <c:numRef>
              <c:f>Synthèse!$C$2:$C$28</c:f>
              <c:numCache>
                <c:formatCode>General</c:formatCode>
                <c:ptCount val="27"/>
                <c:pt idx="0">
                  <c:v>10</c:v>
                </c:pt>
                <c:pt idx="1">
                  <c:v>18</c:v>
                </c:pt>
                <c:pt idx="2">
                  <c:v>40</c:v>
                </c:pt>
                <c:pt idx="3">
                  <c:v>39</c:v>
                </c:pt>
                <c:pt idx="4">
                  <c:v>84</c:v>
                </c:pt>
                <c:pt idx="5">
                  <c:v>80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16</c:v>
                </c:pt>
                <c:pt idx="12">
                  <c:v>261</c:v>
                </c:pt>
                <c:pt idx="13">
                  <c:v>105</c:v>
                </c:pt>
                <c:pt idx="14">
                  <c:v>106</c:v>
                </c:pt>
                <c:pt idx="15">
                  <c:v>389</c:v>
                </c:pt>
                <c:pt idx="16">
                  <c:v>68</c:v>
                </c:pt>
                <c:pt idx="17">
                  <c:v>259</c:v>
                </c:pt>
                <c:pt idx="18">
                  <c:v>96</c:v>
                </c:pt>
                <c:pt idx="19">
                  <c:v>52.5</c:v>
                </c:pt>
                <c:pt idx="20">
                  <c:v>216</c:v>
                </c:pt>
                <c:pt idx="21">
                  <c:v>7</c:v>
                </c:pt>
                <c:pt idx="22">
                  <c:v>1</c:v>
                </c:pt>
                <c:pt idx="23">
                  <c:v>106</c:v>
                </c:pt>
                <c:pt idx="24">
                  <c:v>143</c:v>
                </c:pt>
                <c:pt idx="25">
                  <c:v>181</c:v>
                </c:pt>
                <c:pt idx="26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0-4F5A-947C-27CA91CF8778}"/>
            </c:ext>
          </c:extLst>
        </c:ser>
        <c:ser>
          <c:idx val="1"/>
          <c:order val="1"/>
          <c:tx>
            <c:strRef>
              <c:f>Synthèse!$D$1</c:f>
              <c:strCache>
                <c:ptCount val="1"/>
                <c:pt idx="0">
                  <c:v>payés (prodcteurs)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Synthèse!$A$2:$B$28</c:f>
              <c:multiLvlStrCache>
                <c:ptCount val="27"/>
                <c:lvl>
                  <c:pt idx="0">
                    <c:v>Kindia</c:v>
                  </c:pt>
                  <c:pt idx="1">
                    <c:v>Coyah</c:v>
                  </c:pt>
                  <c:pt idx="2">
                    <c:v>Boffa</c:v>
                  </c:pt>
                  <c:pt idx="3">
                    <c:v>Dubréka</c:v>
                  </c:pt>
                  <c:pt idx="4">
                    <c:v>Forécariah</c:v>
                  </c:pt>
                  <c:pt idx="5">
                    <c:v>Boké</c:v>
                  </c:pt>
                  <c:pt idx="6">
                    <c:v>Mamou</c:v>
                  </c:pt>
                  <c:pt idx="7">
                    <c:v>Pita</c:v>
                  </c:pt>
                  <c:pt idx="8">
                    <c:v>Koundara</c:v>
                  </c:pt>
                  <c:pt idx="9">
                    <c:v>Koubia</c:v>
                  </c:pt>
                  <c:pt idx="10">
                    <c:v>Gaoual</c:v>
                  </c:pt>
                  <c:pt idx="11">
                    <c:v>Tougué</c:v>
                  </c:pt>
                  <c:pt idx="12">
                    <c:v>Kankan</c:v>
                  </c:pt>
                  <c:pt idx="13">
                    <c:v>Kouroussa</c:v>
                  </c:pt>
                  <c:pt idx="14">
                    <c:v>Mandiana</c:v>
                  </c:pt>
                  <c:pt idx="15">
                    <c:v>Kérouané</c:v>
                  </c:pt>
                  <c:pt idx="16">
                    <c:v>Dabola</c:v>
                  </c:pt>
                  <c:pt idx="17">
                    <c:v>Siguiri</c:v>
                  </c:pt>
                  <c:pt idx="18">
                    <c:v>Faranah</c:v>
                  </c:pt>
                  <c:pt idx="19">
                    <c:v>Dinguiraye</c:v>
                  </c:pt>
                  <c:pt idx="20">
                    <c:v>Beyla</c:v>
                  </c:pt>
                  <c:pt idx="21">
                    <c:v>Nzérékoré</c:v>
                  </c:pt>
                  <c:pt idx="22">
                    <c:v>Yomou</c:v>
                  </c:pt>
                  <c:pt idx="23">
                    <c:v>Kissidougou</c:v>
                  </c:pt>
                  <c:pt idx="24">
                    <c:v>Guéckédou</c:v>
                  </c:pt>
                  <c:pt idx="25">
                    <c:v>Macenta</c:v>
                  </c:pt>
                  <c:pt idx="26">
                    <c:v>Lola</c:v>
                  </c:pt>
                </c:lvl>
                <c:lvl>
                  <c:pt idx="0">
                    <c:v>Basse Guinée</c:v>
                  </c:pt>
                  <c:pt idx="6">
                    <c:v>Moyenne Guinee</c:v>
                  </c:pt>
                  <c:pt idx="12">
                    <c:v>Haute Guinee</c:v>
                  </c:pt>
                  <c:pt idx="20">
                    <c:v>Guinee Forestiere</c:v>
                  </c:pt>
                </c:lvl>
              </c:multiLvlStrCache>
            </c:multiLvlStrRef>
          </c:cat>
          <c:val>
            <c:numRef>
              <c:f>Synthèse!$D$2:$D$28</c:f>
              <c:numCache>
                <c:formatCode>General</c:formatCode>
                <c:ptCount val="27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23</c:v>
                </c:pt>
                <c:pt idx="4">
                  <c:v>20</c:v>
                </c:pt>
                <c:pt idx="5">
                  <c:v>4</c:v>
                </c:pt>
                <c:pt idx="6">
                  <c:v>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37</c:v>
                </c:pt>
                <c:pt idx="13">
                  <c:v>7</c:v>
                </c:pt>
                <c:pt idx="14">
                  <c:v>11</c:v>
                </c:pt>
                <c:pt idx="15">
                  <c:v>90</c:v>
                </c:pt>
                <c:pt idx="16">
                  <c:v>9</c:v>
                </c:pt>
                <c:pt idx="17">
                  <c:v>42</c:v>
                </c:pt>
                <c:pt idx="18">
                  <c:v>11</c:v>
                </c:pt>
                <c:pt idx="19">
                  <c:v>15</c:v>
                </c:pt>
                <c:pt idx="20">
                  <c:v>24</c:v>
                </c:pt>
                <c:pt idx="21">
                  <c:v>3</c:v>
                </c:pt>
                <c:pt idx="22">
                  <c:v>1</c:v>
                </c:pt>
                <c:pt idx="23">
                  <c:v>22</c:v>
                </c:pt>
                <c:pt idx="24">
                  <c:v>48</c:v>
                </c:pt>
                <c:pt idx="25">
                  <c:v>37</c:v>
                </c:pt>
                <c:pt idx="2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0-4F5A-947C-27CA91CF87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852076015"/>
        <c:axId val="1852076847"/>
      </c:barChart>
      <c:catAx>
        <c:axId val="185207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2076847"/>
        <c:crosses val="autoZero"/>
        <c:auto val="1"/>
        <c:lblAlgn val="ctr"/>
        <c:lblOffset val="100"/>
        <c:noMultiLvlLbl val="0"/>
      </c:catAx>
      <c:valAx>
        <c:axId val="185207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207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hectares</a:t>
            </a:r>
            <a:r>
              <a:rPr lang="fr-FR" baseline="0"/>
              <a:t>  payés S-1 Vs 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Synthèse!$E$1</c:f>
              <c:strCache>
                <c:ptCount val="1"/>
                <c:pt idx="0">
                  <c:v>payés à S-1 (hectare)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Synthèse!$A$2:$B$28</c:f>
              <c:multiLvlStrCache>
                <c:ptCount val="27"/>
                <c:lvl>
                  <c:pt idx="0">
                    <c:v>Kindia</c:v>
                  </c:pt>
                  <c:pt idx="1">
                    <c:v>Coyah</c:v>
                  </c:pt>
                  <c:pt idx="2">
                    <c:v>Boffa</c:v>
                  </c:pt>
                  <c:pt idx="3">
                    <c:v>Dubréka</c:v>
                  </c:pt>
                  <c:pt idx="4">
                    <c:v>Forécariah</c:v>
                  </c:pt>
                  <c:pt idx="5">
                    <c:v>Boké</c:v>
                  </c:pt>
                  <c:pt idx="6">
                    <c:v>Mamou</c:v>
                  </c:pt>
                  <c:pt idx="7">
                    <c:v>Pita</c:v>
                  </c:pt>
                  <c:pt idx="8">
                    <c:v>Koundara</c:v>
                  </c:pt>
                  <c:pt idx="9">
                    <c:v>Koubia</c:v>
                  </c:pt>
                  <c:pt idx="10">
                    <c:v>Gaoual</c:v>
                  </c:pt>
                  <c:pt idx="11">
                    <c:v>Tougué</c:v>
                  </c:pt>
                  <c:pt idx="12">
                    <c:v>Kankan</c:v>
                  </c:pt>
                  <c:pt idx="13">
                    <c:v>Kouroussa</c:v>
                  </c:pt>
                  <c:pt idx="14">
                    <c:v>Mandiana</c:v>
                  </c:pt>
                  <c:pt idx="15">
                    <c:v>Kérouané</c:v>
                  </c:pt>
                  <c:pt idx="16">
                    <c:v>Dabola</c:v>
                  </c:pt>
                  <c:pt idx="17">
                    <c:v>Siguiri</c:v>
                  </c:pt>
                  <c:pt idx="18">
                    <c:v>Faranah</c:v>
                  </c:pt>
                  <c:pt idx="19">
                    <c:v>Dinguiraye</c:v>
                  </c:pt>
                  <c:pt idx="20">
                    <c:v>Beyla</c:v>
                  </c:pt>
                  <c:pt idx="21">
                    <c:v>Nzérékoré</c:v>
                  </c:pt>
                  <c:pt idx="22">
                    <c:v>Yomou</c:v>
                  </c:pt>
                  <c:pt idx="23">
                    <c:v>Kissidougou</c:v>
                  </c:pt>
                  <c:pt idx="24">
                    <c:v>Guéckédou</c:v>
                  </c:pt>
                  <c:pt idx="25">
                    <c:v>Macenta</c:v>
                  </c:pt>
                  <c:pt idx="26">
                    <c:v>Lola</c:v>
                  </c:pt>
                </c:lvl>
                <c:lvl>
                  <c:pt idx="0">
                    <c:v>Basse Guinée</c:v>
                  </c:pt>
                  <c:pt idx="6">
                    <c:v>Moyenne Guinee</c:v>
                  </c:pt>
                  <c:pt idx="12">
                    <c:v>Haute Guinee</c:v>
                  </c:pt>
                  <c:pt idx="20">
                    <c:v>Guinee Forestiere</c:v>
                  </c:pt>
                </c:lvl>
              </c:multiLvlStrCache>
            </c:multiLvlStrRef>
          </c:cat>
          <c:val>
            <c:numRef>
              <c:f>Synthèse!$E$2:$E$28</c:f>
              <c:numCache>
                <c:formatCode>General</c:formatCode>
                <c:ptCount val="27"/>
                <c:pt idx="0">
                  <c:v>0</c:v>
                </c:pt>
                <c:pt idx="1">
                  <c:v>8</c:v>
                </c:pt>
                <c:pt idx="2">
                  <c:v>40</c:v>
                </c:pt>
                <c:pt idx="3">
                  <c:v>31</c:v>
                </c:pt>
                <c:pt idx="4">
                  <c:v>51</c:v>
                </c:pt>
                <c:pt idx="5">
                  <c:v>0</c:v>
                </c:pt>
                <c:pt idx="6">
                  <c:v>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241</c:v>
                </c:pt>
                <c:pt idx="13">
                  <c:v>19</c:v>
                </c:pt>
                <c:pt idx="14">
                  <c:v>49</c:v>
                </c:pt>
                <c:pt idx="15">
                  <c:v>277</c:v>
                </c:pt>
                <c:pt idx="16">
                  <c:v>16</c:v>
                </c:pt>
                <c:pt idx="17">
                  <c:v>167.5</c:v>
                </c:pt>
                <c:pt idx="18">
                  <c:v>67</c:v>
                </c:pt>
                <c:pt idx="19">
                  <c:v>47.5</c:v>
                </c:pt>
                <c:pt idx="20">
                  <c:v>161</c:v>
                </c:pt>
                <c:pt idx="21">
                  <c:v>7</c:v>
                </c:pt>
                <c:pt idx="22">
                  <c:v>0</c:v>
                </c:pt>
                <c:pt idx="23">
                  <c:v>106</c:v>
                </c:pt>
                <c:pt idx="24">
                  <c:v>124</c:v>
                </c:pt>
                <c:pt idx="25">
                  <c:v>176</c:v>
                </c:pt>
                <c:pt idx="26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A-4C06-AB71-3738CAF6B924}"/>
            </c:ext>
          </c:extLst>
        </c:ser>
        <c:ser>
          <c:idx val="1"/>
          <c:order val="1"/>
          <c:tx>
            <c:strRef>
              <c:f>Synthèse!$F$1</c:f>
              <c:strCache>
                <c:ptCount val="1"/>
                <c:pt idx="0">
                  <c:v>payés à S (hectare)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Synthèse!$A$2:$B$28</c:f>
              <c:multiLvlStrCache>
                <c:ptCount val="27"/>
                <c:lvl>
                  <c:pt idx="0">
                    <c:v>Kindia</c:v>
                  </c:pt>
                  <c:pt idx="1">
                    <c:v>Coyah</c:v>
                  </c:pt>
                  <c:pt idx="2">
                    <c:v>Boffa</c:v>
                  </c:pt>
                  <c:pt idx="3">
                    <c:v>Dubréka</c:v>
                  </c:pt>
                  <c:pt idx="4">
                    <c:v>Forécariah</c:v>
                  </c:pt>
                  <c:pt idx="5">
                    <c:v>Boké</c:v>
                  </c:pt>
                  <c:pt idx="6">
                    <c:v>Mamou</c:v>
                  </c:pt>
                  <c:pt idx="7">
                    <c:v>Pita</c:v>
                  </c:pt>
                  <c:pt idx="8">
                    <c:v>Koundara</c:v>
                  </c:pt>
                  <c:pt idx="9">
                    <c:v>Koubia</c:v>
                  </c:pt>
                  <c:pt idx="10">
                    <c:v>Gaoual</c:v>
                  </c:pt>
                  <c:pt idx="11">
                    <c:v>Tougué</c:v>
                  </c:pt>
                  <c:pt idx="12">
                    <c:v>Kankan</c:v>
                  </c:pt>
                  <c:pt idx="13">
                    <c:v>Kouroussa</c:v>
                  </c:pt>
                  <c:pt idx="14">
                    <c:v>Mandiana</c:v>
                  </c:pt>
                  <c:pt idx="15">
                    <c:v>Kérouané</c:v>
                  </c:pt>
                  <c:pt idx="16">
                    <c:v>Dabola</c:v>
                  </c:pt>
                  <c:pt idx="17">
                    <c:v>Siguiri</c:v>
                  </c:pt>
                  <c:pt idx="18">
                    <c:v>Faranah</c:v>
                  </c:pt>
                  <c:pt idx="19">
                    <c:v>Dinguiraye</c:v>
                  </c:pt>
                  <c:pt idx="20">
                    <c:v>Beyla</c:v>
                  </c:pt>
                  <c:pt idx="21">
                    <c:v>Nzérékoré</c:v>
                  </c:pt>
                  <c:pt idx="22">
                    <c:v>Yomou</c:v>
                  </c:pt>
                  <c:pt idx="23">
                    <c:v>Kissidougou</c:v>
                  </c:pt>
                  <c:pt idx="24">
                    <c:v>Guéckédou</c:v>
                  </c:pt>
                  <c:pt idx="25">
                    <c:v>Macenta</c:v>
                  </c:pt>
                  <c:pt idx="26">
                    <c:v>Lola</c:v>
                  </c:pt>
                </c:lvl>
                <c:lvl>
                  <c:pt idx="0">
                    <c:v>Basse Guinée</c:v>
                  </c:pt>
                  <c:pt idx="6">
                    <c:v>Moyenne Guinee</c:v>
                  </c:pt>
                  <c:pt idx="12">
                    <c:v>Haute Guinee</c:v>
                  </c:pt>
                  <c:pt idx="20">
                    <c:v>Guinee Forestiere</c:v>
                  </c:pt>
                </c:lvl>
              </c:multiLvlStrCache>
            </c:multiLvlStrRef>
          </c:cat>
          <c:val>
            <c:numRef>
              <c:f>Synthèse!$F$2:$F$28</c:f>
              <c:numCache>
                <c:formatCode>General</c:formatCode>
                <c:ptCount val="27"/>
                <c:pt idx="0">
                  <c:v>10</c:v>
                </c:pt>
                <c:pt idx="1">
                  <c:v>8</c:v>
                </c:pt>
                <c:pt idx="2">
                  <c:v>40</c:v>
                </c:pt>
                <c:pt idx="3">
                  <c:v>39</c:v>
                </c:pt>
                <c:pt idx="4">
                  <c:v>84</c:v>
                </c:pt>
                <c:pt idx="5">
                  <c:v>42.5</c:v>
                </c:pt>
                <c:pt idx="6">
                  <c:v>40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16</c:v>
                </c:pt>
                <c:pt idx="12">
                  <c:v>261</c:v>
                </c:pt>
                <c:pt idx="13">
                  <c:v>105</c:v>
                </c:pt>
                <c:pt idx="14">
                  <c:v>106</c:v>
                </c:pt>
                <c:pt idx="15">
                  <c:v>389</c:v>
                </c:pt>
                <c:pt idx="16">
                  <c:v>63</c:v>
                </c:pt>
                <c:pt idx="17">
                  <c:v>240</c:v>
                </c:pt>
                <c:pt idx="18">
                  <c:v>96</c:v>
                </c:pt>
                <c:pt idx="19">
                  <c:v>52.5</c:v>
                </c:pt>
                <c:pt idx="20">
                  <c:v>216</c:v>
                </c:pt>
                <c:pt idx="21">
                  <c:v>7</c:v>
                </c:pt>
                <c:pt idx="22">
                  <c:v>1</c:v>
                </c:pt>
                <c:pt idx="23">
                  <c:v>106</c:v>
                </c:pt>
                <c:pt idx="24">
                  <c:v>143</c:v>
                </c:pt>
                <c:pt idx="25">
                  <c:v>181</c:v>
                </c:pt>
                <c:pt idx="26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A-4C06-AB71-3738CAF6B92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840183295"/>
        <c:axId val="1840180799"/>
      </c:barChart>
      <c:catAx>
        <c:axId val="184018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0180799"/>
        <c:crosses val="autoZero"/>
        <c:auto val="1"/>
        <c:lblAlgn val="ctr"/>
        <c:lblOffset val="100"/>
        <c:noMultiLvlLbl val="0"/>
      </c:catAx>
      <c:valAx>
        <c:axId val="184018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0183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hectare labouré en cumulé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Synthèse!$D$31</c:f>
              <c:strCache>
                <c:ptCount val="1"/>
                <c:pt idx="0">
                  <c:v>ha labouré cumulé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5"/>
              <c:layout>
                <c:manualLayout>
                  <c:x val="-7.8245383233598378E-2"/>
                  <c:y val="-2.263790036597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C2-4DE4-B351-6FBA3E60395C}"/>
                </c:ext>
              </c:extLst>
            </c:dLbl>
            <c:dLbl>
              <c:idx val="16"/>
              <c:layout>
                <c:manualLayout>
                  <c:x val="-2.4686998300967773E-2"/>
                  <c:y val="-4.32458377645807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C2-4DE4-B351-6FBA3E6039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Synthèse!$B$32:$B$48</c:f>
              <c:strCache>
                <c:ptCount val="17"/>
                <c:pt idx="0">
                  <c:v>S04</c:v>
                </c:pt>
                <c:pt idx="1">
                  <c:v>S05</c:v>
                </c:pt>
                <c:pt idx="2">
                  <c:v>S06</c:v>
                </c:pt>
                <c:pt idx="3">
                  <c:v>S07</c:v>
                </c:pt>
                <c:pt idx="4">
                  <c:v>S08</c:v>
                </c:pt>
                <c:pt idx="5">
                  <c:v>S09</c:v>
                </c:pt>
                <c:pt idx="6">
                  <c:v>S10</c:v>
                </c:pt>
                <c:pt idx="7">
                  <c:v>S11</c:v>
                </c:pt>
                <c:pt idx="8">
                  <c:v>S12</c:v>
                </c:pt>
                <c:pt idx="9">
                  <c:v>S13</c:v>
                </c:pt>
                <c:pt idx="10">
                  <c:v>S14</c:v>
                </c:pt>
                <c:pt idx="11">
                  <c:v>S15</c:v>
                </c:pt>
                <c:pt idx="12">
                  <c:v>S16</c:v>
                </c:pt>
                <c:pt idx="13">
                  <c:v>S17</c:v>
                </c:pt>
                <c:pt idx="14">
                  <c:v>S18</c:v>
                </c:pt>
                <c:pt idx="15">
                  <c:v>S19</c:v>
                </c:pt>
                <c:pt idx="16">
                  <c:v>S20</c:v>
                </c:pt>
              </c:strCache>
            </c:strRef>
          </c:cat>
          <c:val>
            <c:numRef>
              <c:f>Synthèse!$D$32:$D$48</c:f>
              <c:numCache>
                <c:formatCode>General</c:formatCode>
                <c:ptCount val="17"/>
                <c:pt idx="0">
                  <c:v>17.5</c:v>
                </c:pt>
                <c:pt idx="1">
                  <c:v>38.5</c:v>
                </c:pt>
                <c:pt idx="2">
                  <c:v>42.5</c:v>
                </c:pt>
                <c:pt idx="3">
                  <c:v>72.5</c:v>
                </c:pt>
                <c:pt idx="4">
                  <c:v>126</c:v>
                </c:pt>
                <c:pt idx="5">
                  <c:v>149</c:v>
                </c:pt>
                <c:pt idx="6">
                  <c:v>166</c:v>
                </c:pt>
                <c:pt idx="7">
                  <c:v>170</c:v>
                </c:pt>
                <c:pt idx="8">
                  <c:v>256</c:v>
                </c:pt>
                <c:pt idx="9">
                  <c:v>322.5</c:v>
                </c:pt>
                <c:pt idx="10">
                  <c:v>407.5</c:v>
                </c:pt>
                <c:pt idx="11">
                  <c:v>482.5</c:v>
                </c:pt>
                <c:pt idx="12">
                  <c:v>500.5</c:v>
                </c:pt>
                <c:pt idx="13">
                  <c:v>705.5</c:v>
                </c:pt>
                <c:pt idx="14">
                  <c:v>1205.5</c:v>
                </c:pt>
                <c:pt idx="15">
                  <c:v>1638.5</c:v>
                </c:pt>
                <c:pt idx="16">
                  <c:v>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2-4DE4-B351-6FBA3E60395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8782719"/>
        <c:axId val="2078786047"/>
      </c:lineChart>
      <c:catAx>
        <c:axId val="2078782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8786047"/>
        <c:crosses val="autoZero"/>
        <c:auto val="1"/>
        <c:lblAlgn val="ctr"/>
        <c:lblOffset val="100"/>
        <c:noMultiLvlLbl val="0"/>
      </c:catAx>
      <c:valAx>
        <c:axId val="207878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878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 labouré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Synthèse!$C$31</c:f>
              <c:strCache>
                <c:ptCount val="1"/>
                <c:pt idx="0">
                  <c:v>ha labouré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Synthèse!$B$32:$B$48</c:f>
              <c:strCache>
                <c:ptCount val="17"/>
                <c:pt idx="0">
                  <c:v>S04</c:v>
                </c:pt>
                <c:pt idx="1">
                  <c:v>S05</c:v>
                </c:pt>
                <c:pt idx="2">
                  <c:v>S06</c:v>
                </c:pt>
                <c:pt idx="3">
                  <c:v>S07</c:v>
                </c:pt>
                <c:pt idx="4">
                  <c:v>S08</c:v>
                </c:pt>
                <c:pt idx="5">
                  <c:v>S09</c:v>
                </c:pt>
                <c:pt idx="6">
                  <c:v>S10</c:v>
                </c:pt>
                <c:pt idx="7">
                  <c:v>S11</c:v>
                </c:pt>
                <c:pt idx="8">
                  <c:v>S12</c:v>
                </c:pt>
                <c:pt idx="9">
                  <c:v>S13</c:v>
                </c:pt>
                <c:pt idx="10">
                  <c:v>S14</c:v>
                </c:pt>
                <c:pt idx="11">
                  <c:v>S15</c:v>
                </c:pt>
                <c:pt idx="12">
                  <c:v>S16</c:v>
                </c:pt>
                <c:pt idx="13">
                  <c:v>S17</c:v>
                </c:pt>
                <c:pt idx="14">
                  <c:v>S18</c:v>
                </c:pt>
                <c:pt idx="15">
                  <c:v>S19</c:v>
                </c:pt>
                <c:pt idx="16">
                  <c:v>S20</c:v>
                </c:pt>
              </c:strCache>
            </c:strRef>
          </c:cat>
          <c:val>
            <c:numRef>
              <c:f>Synthèse!$C$32:$C$48</c:f>
              <c:numCache>
                <c:formatCode>General</c:formatCode>
                <c:ptCount val="17"/>
                <c:pt idx="0">
                  <c:v>17.5</c:v>
                </c:pt>
                <c:pt idx="1">
                  <c:v>21</c:v>
                </c:pt>
                <c:pt idx="2">
                  <c:v>4</c:v>
                </c:pt>
                <c:pt idx="3">
                  <c:v>30</c:v>
                </c:pt>
                <c:pt idx="4">
                  <c:v>53.5</c:v>
                </c:pt>
                <c:pt idx="5">
                  <c:v>23</c:v>
                </c:pt>
                <c:pt idx="6">
                  <c:v>17</c:v>
                </c:pt>
                <c:pt idx="7">
                  <c:v>4</c:v>
                </c:pt>
                <c:pt idx="8">
                  <c:v>86</c:v>
                </c:pt>
                <c:pt idx="9">
                  <c:v>66.5</c:v>
                </c:pt>
                <c:pt idx="10">
                  <c:v>85</c:v>
                </c:pt>
                <c:pt idx="11">
                  <c:v>75</c:v>
                </c:pt>
                <c:pt idx="12">
                  <c:v>18</c:v>
                </c:pt>
                <c:pt idx="13">
                  <c:v>205</c:v>
                </c:pt>
                <c:pt idx="14">
                  <c:v>500</c:v>
                </c:pt>
                <c:pt idx="15">
                  <c:v>433</c:v>
                </c:pt>
                <c:pt idx="16">
                  <c:v>652.5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90-486A-83F6-33FCB8C32C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8748367"/>
        <c:axId val="38736303"/>
      </c:barChart>
      <c:catAx>
        <c:axId val="3874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736303"/>
        <c:crosses val="autoZero"/>
        <c:auto val="1"/>
        <c:lblAlgn val="ctr"/>
        <c:lblOffset val="100"/>
        <c:noMultiLvlLbl val="0"/>
      </c:catAx>
      <c:valAx>
        <c:axId val="387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748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Feuil7!$F$3</c:f>
              <c:strCache>
                <c:ptCount val="1"/>
                <c:pt idx="0">
                  <c:v>ha labouré cumulé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Feuil7!$D$4:$D$20</c:f>
              <c:strCache>
                <c:ptCount val="17"/>
                <c:pt idx="0">
                  <c:v>S04</c:v>
                </c:pt>
                <c:pt idx="1">
                  <c:v>S05</c:v>
                </c:pt>
                <c:pt idx="2">
                  <c:v>S06</c:v>
                </c:pt>
                <c:pt idx="3">
                  <c:v>S07</c:v>
                </c:pt>
                <c:pt idx="4">
                  <c:v>S08</c:v>
                </c:pt>
                <c:pt idx="5">
                  <c:v>S09</c:v>
                </c:pt>
                <c:pt idx="6">
                  <c:v>S10</c:v>
                </c:pt>
                <c:pt idx="7">
                  <c:v>S11</c:v>
                </c:pt>
                <c:pt idx="8">
                  <c:v>S12</c:v>
                </c:pt>
                <c:pt idx="9">
                  <c:v>S13</c:v>
                </c:pt>
                <c:pt idx="10">
                  <c:v>S14</c:v>
                </c:pt>
                <c:pt idx="11">
                  <c:v>S15</c:v>
                </c:pt>
                <c:pt idx="12">
                  <c:v>S16</c:v>
                </c:pt>
                <c:pt idx="13">
                  <c:v>S17</c:v>
                </c:pt>
                <c:pt idx="14">
                  <c:v>S18</c:v>
                </c:pt>
                <c:pt idx="15">
                  <c:v>S19</c:v>
                </c:pt>
                <c:pt idx="16">
                  <c:v>S20</c:v>
                </c:pt>
              </c:strCache>
            </c:strRef>
          </c:cat>
          <c:val>
            <c:numRef>
              <c:f>Feuil7!$F$4:$F$20</c:f>
              <c:numCache>
                <c:formatCode>General</c:formatCode>
                <c:ptCount val="17"/>
                <c:pt idx="0">
                  <c:v>17.5</c:v>
                </c:pt>
                <c:pt idx="1">
                  <c:v>38.5</c:v>
                </c:pt>
                <c:pt idx="2">
                  <c:v>42.5</c:v>
                </c:pt>
                <c:pt idx="3">
                  <c:v>72.5</c:v>
                </c:pt>
                <c:pt idx="4">
                  <c:v>126</c:v>
                </c:pt>
                <c:pt idx="5">
                  <c:v>149</c:v>
                </c:pt>
                <c:pt idx="6">
                  <c:v>166</c:v>
                </c:pt>
                <c:pt idx="7">
                  <c:v>170</c:v>
                </c:pt>
                <c:pt idx="8">
                  <c:v>256</c:v>
                </c:pt>
                <c:pt idx="9">
                  <c:v>322.5</c:v>
                </c:pt>
                <c:pt idx="10">
                  <c:v>407.5</c:v>
                </c:pt>
                <c:pt idx="11">
                  <c:v>482.5</c:v>
                </c:pt>
                <c:pt idx="12">
                  <c:v>500.5</c:v>
                </c:pt>
                <c:pt idx="13">
                  <c:v>705.5</c:v>
                </c:pt>
                <c:pt idx="14">
                  <c:v>1205.5</c:v>
                </c:pt>
                <c:pt idx="15">
                  <c:v>1638.5</c:v>
                </c:pt>
                <c:pt idx="16">
                  <c:v>2291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E-4EB8-B677-C267B0EAF9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7803567"/>
        <c:axId val="1687800239"/>
      </c:lineChart>
      <c:catAx>
        <c:axId val="168780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7800239"/>
        <c:crosses val="autoZero"/>
        <c:auto val="1"/>
        <c:lblAlgn val="ctr"/>
        <c:lblOffset val="100"/>
        <c:noMultiLvlLbl val="0"/>
      </c:catAx>
      <c:valAx>
        <c:axId val="168780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780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5</xdr:row>
          <xdr:rowOff>9525</xdr:rowOff>
        </xdr:from>
        <xdr:to>
          <xdr:col>4</xdr:col>
          <xdr:colOff>180975</xdr:colOff>
          <xdr:row>7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 de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5</xdr:row>
          <xdr:rowOff>9525</xdr:rowOff>
        </xdr:from>
        <xdr:to>
          <xdr:col>6</xdr:col>
          <xdr:colOff>590550</xdr:colOff>
          <xdr:row>7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Synthèse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5</xdr:row>
          <xdr:rowOff>0</xdr:rowOff>
        </xdr:from>
        <xdr:to>
          <xdr:col>9</xdr:col>
          <xdr:colOff>247650</xdr:colOff>
          <xdr:row>7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Producteurs payés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10</xdr:row>
          <xdr:rowOff>133350</xdr:rowOff>
        </xdr:from>
        <xdr:to>
          <xdr:col>4</xdr:col>
          <xdr:colOff>247650</xdr:colOff>
          <xdr:row>13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Hectares payés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10</xdr:row>
          <xdr:rowOff>66675</xdr:rowOff>
        </xdr:from>
        <xdr:to>
          <xdr:col>6</xdr:col>
          <xdr:colOff>609600</xdr:colOff>
          <xdr:row>13</xdr:row>
          <xdr:rowOff>47625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10</xdr:row>
          <xdr:rowOff>66675</xdr:rowOff>
        </xdr:from>
        <xdr:to>
          <xdr:col>9</xdr:col>
          <xdr:colOff>342900</xdr:colOff>
          <xdr:row>13</xdr:row>
          <xdr:rowOff>47625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Labour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0</xdr:row>
      <xdr:rowOff>133350</xdr:rowOff>
    </xdr:from>
    <xdr:to>
      <xdr:col>23</xdr:col>
      <xdr:colOff>190500</xdr:colOff>
      <xdr:row>13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76199</xdr:colOff>
      <xdr:row>13</xdr:row>
      <xdr:rowOff>104775</xdr:rowOff>
    </xdr:from>
    <xdr:to>
      <xdr:col>25</xdr:col>
      <xdr:colOff>371475</xdr:colOff>
      <xdr:row>27</xdr:row>
      <xdr:rowOff>180975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485774</xdr:colOff>
      <xdr:row>28</xdr:row>
      <xdr:rowOff>171450</xdr:rowOff>
    </xdr:from>
    <xdr:to>
      <xdr:col>13</xdr:col>
      <xdr:colOff>123825</xdr:colOff>
      <xdr:row>45</xdr:row>
      <xdr:rowOff>14287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85724</xdr:colOff>
      <xdr:row>29</xdr:row>
      <xdr:rowOff>185736</xdr:rowOff>
    </xdr:from>
    <xdr:to>
      <xdr:col>21</xdr:col>
      <xdr:colOff>285749</xdr:colOff>
      <xdr:row>45</xdr:row>
      <xdr:rowOff>114299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733425</xdr:colOff>
      <xdr:row>3</xdr:row>
      <xdr:rowOff>138112</xdr:rowOff>
    </xdr:from>
    <xdr:to>
      <xdr:col>15</xdr:col>
      <xdr:colOff>85725</xdr:colOff>
      <xdr:row>18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GARE" refreshedDate="45069.767170254629" createdVersion="7" refreshedVersion="7" minRefreshableVersion="3" recordCount="4003" xr:uid="{729C92DD-3274-4BBD-9BBD-1DB7B547B99D}">
  <cacheSource type="worksheet">
    <worksheetSource ref="A1:Z1048576" sheet="Base de données"/>
  </cacheSource>
  <cacheFields count="26">
    <cacheField name="Horodateur" numFmtId="0">
      <sharedItems containsNonDate="0" containsDate="1" containsString="0" containsBlank="1" minDate="2023-01-10T21:43:39" maxDate="2023-05-23T15:22:47"/>
    </cacheField>
    <cacheField name="Préfecture" numFmtId="0">
      <sharedItems containsBlank="1"/>
    </cacheField>
    <cacheField name="Localisation de la base logistique de votre CPA" numFmtId="0">
      <sharedItems containsBlank="1" containsMixedTypes="1" containsNumber="1" containsInteger="1" minValue="2" maxValue="2"/>
    </cacheField>
    <cacheField name="Quel est le type de demande ?" numFmtId="0">
      <sharedItems containsBlank="1"/>
    </cacheField>
    <cacheField name="Prénom et nom du producteur ou nom de l'entreprise" numFmtId="0">
      <sharedItems containsBlank="1"/>
    </cacheField>
    <cacheField name="Numéro de téléphone du producteur" numFmtId="0">
      <sharedItems containsString="0" containsBlank="1" containsNumber="1" containsInteger="1" minValue="0" maxValue="6284199966"/>
    </cacheField>
    <cacheField name="2eme numéro du téléphone du producteur" numFmtId="0">
      <sharedItems containsString="0" containsBlank="1" containsNumber="1" containsInteger="1" minValue="0" maxValue="669461548"/>
    </cacheField>
    <cacheField name="Localisation du champ" numFmtId="0">
      <sharedItems containsBlank="1"/>
    </cacheField>
    <cacheField name="Estimation (en KM) de la distance entre le champ et la base logistique du CPA" numFmtId="0">
      <sharedItems containsString="0" containsBlank="1" containsNumber="1" containsInteger="1" minValue="1" maxValue="11411"/>
    </cacheField>
    <cacheField name="Type d'opération" numFmtId="0">
      <sharedItems containsBlank="1"/>
    </cacheField>
    <cacheField name="Estimation du nombre d'hectares à déchaumer, labourer ou pulvériser pour le producteur" numFmtId="0">
      <sharedItems containsBlank="1" containsMixedTypes="1" containsNumber="1" minValue="0.5" maxValue="1847.5"/>
    </cacheField>
    <cacheField name="Quel est le nom LOCAL de la variété de culture que le producteur compte cultiver sur ce champ ?" numFmtId="0">
      <sharedItems containsBlank="1" containsMixedTypes="1" containsNumber="1" containsInteger="1" minValue="0" maxValue="0"/>
    </cacheField>
    <cacheField name="Nom scientifique ou conventionnel de la variété de culture" numFmtId="0">
      <sharedItems containsBlank="1" containsMixedTypes="1" containsNumber="1" containsInteger="1" minValue="0" maxValue="5"/>
    </cacheField>
    <cacheField name="Quel est le cycle végétatif la variété de riz concerné?" numFmtId="0">
      <sharedItems containsBlank="1"/>
    </cacheField>
    <cacheField name="Date est la date prévue pour l'opération?" numFmtId="0">
      <sharedItems containsDate="1" containsBlank="1" containsMixedTypes="1" minDate="2022-01-15T00:00:00" maxDate="2024-03-17T00:00:00"/>
    </cacheField>
    <cacheField name="Observation" numFmtId="0">
      <sharedItems containsBlank="1"/>
    </cacheField>
    <cacheField name="Chef du CPA" numFmtId="0">
      <sharedItems containsBlank="1"/>
    </cacheField>
    <cacheField name="Type de culture" numFmtId="0">
      <sharedItems containsBlank="1"/>
    </cacheField>
    <cacheField name="Statut du labour" numFmtId="0">
      <sharedItems containsBlank="1" count="2">
        <m/>
        <s v="En cours"/>
      </sharedItems>
    </cacheField>
    <cacheField name="Superficie demandée pour le labour" numFmtId="0">
      <sharedItems containsString="0" containsBlank="1" containsNumber="1" minValue="1" maxValue="1066.5"/>
    </cacheField>
    <cacheField name="Date de demande" numFmtId="0">
      <sharedItems containsNonDate="0" containsDate="1" containsString="0" containsBlank="1" minDate="2023-01-24T00:00:00" maxDate="2023-05-24T00:00:00"/>
    </cacheField>
    <cacheField name="Semaine" numFmtId="0">
      <sharedItems containsBlank="1" count="23">
        <s v="S52"/>
        <s v="S4"/>
        <s v="S7"/>
        <s v="S5"/>
        <s v="S20"/>
        <s v="S8"/>
        <s v="S6"/>
        <s v="S12"/>
        <s v="S9"/>
        <s v="S10"/>
        <s v="S13"/>
        <s v="S11"/>
        <s v="S14"/>
        <s v="S15"/>
        <s v="S16"/>
        <s v="S17"/>
        <s v="S19"/>
        <s v="S18"/>
        <s v="S21"/>
        <m/>
        <s v="S0" u="1"/>
        <e v="#VALUE!" u="1"/>
        <s v="S22" u="1"/>
      </sharedItems>
    </cacheField>
    <cacheField name="Numéro de parc du Tracteur" numFmtId="0">
      <sharedItems containsBlank="1"/>
    </cacheField>
    <cacheField name="Superviseur" numFmtId="0">
      <sharedItems containsNonDate="0" containsString="0" containsBlank="1"/>
    </cacheField>
    <cacheField name="Numéro Orange Money du superviseur" numFmtId="0">
      <sharedItems containsNonDate="0" containsString="0" containsBlank="1"/>
    </cacheField>
    <cacheField name="Conducteu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NGARE" refreshedDate="45069.767172916669" createdVersion="7" refreshedVersion="7" minRefreshableVersion="3" recordCount="4003" xr:uid="{60344886-052E-487A-9EFA-AA4E8FD77636}">
  <cacheSource type="worksheet">
    <worksheetSource ref="A1:AD1048576" sheet="Base de données"/>
  </cacheSource>
  <cacheFields count="30">
    <cacheField name="Horodateur" numFmtId="0">
      <sharedItems containsNonDate="0" containsDate="1" containsString="0" containsBlank="1" minDate="2023-01-10T21:43:39" maxDate="2023-05-23T15:22:47"/>
    </cacheField>
    <cacheField name="Préfecture" numFmtId="0">
      <sharedItems containsBlank="1" count="25">
        <s v="Macenta"/>
        <s v="Siguiri"/>
        <s v="Kankan"/>
        <s v="Mamou"/>
        <s v="Boké"/>
        <s v="Guéckédou"/>
        <s v="Dinguiraye"/>
        <s v="Mandiana"/>
        <s v="Beyla"/>
        <s v="Forécariah"/>
        <s v="Kissidougou"/>
        <s v="Kérouané"/>
        <s v="Dubréka"/>
        <s v="Faranah"/>
        <s v="Boffa"/>
        <s v="Lola"/>
        <s v="Dabola"/>
        <s v="Gaoual"/>
        <s v="Kouroussa"/>
        <s v="Coyah"/>
        <s v="Kindia"/>
        <s v="Nzérékoré"/>
        <s v="Yomou"/>
        <s v="Tougué"/>
        <m/>
      </sharedItems>
    </cacheField>
    <cacheField name="Localisation de la base logistique de votre CPA" numFmtId="0">
      <sharedItems containsBlank="1" containsMixedTypes="1" containsNumber="1" containsInteger="1" minValue="2" maxValue="2"/>
    </cacheField>
    <cacheField name="Quel est le type de demande ?" numFmtId="0">
      <sharedItems containsBlank="1"/>
    </cacheField>
    <cacheField name="Prénom et nom du producteur ou nom de l'entreprise" numFmtId="0">
      <sharedItems containsBlank="1"/>
    </cacheField>
    <cacheField name="Numéro de téléphone du producteur" numFmtId="0">
      <sharedItems containsString="0" containsBlank="1" containsNumber="1" containsInteger="1" minValue="0" maxValue="6284199966"/>
    </cacheField>
    <cacheField name="2eme numéro du téléphone du producteur" numFmtId="0">
      <sharedItems containsString="0" containsBlank="1" containsNumber="1" containsInteger="1" minValue="0" maxValue="669461548"/>
    </cacheField>
    <cacheField name="Localisation du champ" numFmtId="0">
      <sharedItems containsBlank="1"/>
    </cacheField>
    <cacheField name="Estimation (en KM) de la distance entre le champ et la base logistique du CPA" numFmtId="0">
      <sharedItems containsString="0" containsBlank="1" containsNumber="1" containsInteger="1" minValue="1" maxValue="11411"/>
    </cacheField>
    <cacheField name="Type d'opération" numFmtId="0">
      <sharedItems containsBlank="1"/>
    </cacheField>
    <cacheField name="Estimation du nombre d'hectares à déchaumer, labourer ou pulvériser pour le producteur" numFmtId="0">
      <sharedItems containsBlank="1" containsMixedTypes="1" containsNumber="1" minValue="0.5" maxValue="1847.5"/>
    </cacheField>
    <cacheField name="Quel est le nom LOCAL de la variété de culture que le producteur compte cultiver sur ce champ ?" numFmtId="0">
      <sharedItems containsBlank="1" containsMixedTypes="1" containsNumber="1" containsInteger="1" minValue="0" maxValue="0"/>
    </cacheField>
    <cacheField name="Nom scientifique ou conventionnel de la variété de culture" numFmtId="0">
      <sharedItems containsBlank="1" containsMixedTypes="1" containsNumber="1" containsInteger="1" minValue="0" maxValue="5"/>
    </cacheField>
    <cacheField name="Quel est le cycle végétatif la variété de riz concerné?" numFmtId="0">
      <sharedItems containsBlank="1"/>
    </cacheField>
    <cacheField name="Date est la date prévue pour l'opération?" numFmtId="0">
      <sharedItems containsDate="1" containsBlank="1" containsMixedTypes="1" minDate="2022-01-15T00:00:00" maxDate="2024-03-17T00:00:00"/>
    </cacheField>
    <cacheField name="Observation" numFmtId="0">
      <sharedItems containsBlank="1"/>
    </cacheField>
    <cacheField name="Chef du CPA" numFmtId="0">
      <sharedItems containsBlank="1"/>
    </cacheField>
    <cacheField name="Type de culture" numFmtId="0">
      <sharedItems containsBlank="1"/>
    </cacheField>
    <cacheField name="Statut du labour" numFmtId="0">
      <sharedItems containsBlank="1" count="2">
        <m/>
        <s v="En cours"/>
      </sharedItems>
    </cacheField>
    <cacheField name="Superficie demandée pour le labour" numFmtId="0">
      <sharedItems containsString="0" containsBlank="1" containsNumber="1" minValue="1" maxValue="1066.5"/>
    </cacheField>
    <cacheField name="Date de demande" numFmtId="0">
      <sharedItems containsNonDate="0" containsDate="1" containsString="0" containsBlank="1" minDate="2023-01-24T00:00:00" maxDate="2023-05-24T00:00:00"/>
    </cacheField>
    <cacheField name="Semaine" numFmtId="0">
      <sharedItems containsBlank="1" count="21">
        <s v="S52"/>
        <s v="S4"/>
        <s v="S7"/>
        <s v="S5"/>
        <s v="S20"/>
        <s v="S8"/>
        <s v="S6"/>
        <s v="S12"/>
        <s v="S9"/>
        <s v="S10"/>
        <s v="S13"/>
        <s v="S11"/>
        <s v="S14"/>
        <s v="S15"/>
        <s v="S16"/>
        <s v="S17"/>
        <s v="S19"/>
        <s v="S18"/>
        <s v="S21"/>
        <m/>
        <s v="S22" u="1"/>
      </sharedItems>
    </cacheField>
    <cacheField name="Numéro de parc du Tracteur" numFmtId="0">
      <sharedItems containsBlank="1"/>
    </cacheField>
    <cacheField name="Superviseur" numFmtId="0">
      <sharedItems containsNonDate="0" containsString="0" containsBlank="1"/>
    </cacheField>
    <cacheField name="Numéro Orange Money du superviseur" numFmtId="0">
      <sharedItems containsNonDate="0" containsString="0" containsBlank="1"/>
    </cacheField>
    <cacheField name="Conducteur" numFmtId="0">
      <sharedItems containsNonDate="0" containsString="0" containsBlank="1"/>
    </cacheField>
    <cacheField name="Numéro Orange Money du conducteur" numFmtId="0">
      <sharedItems containsNonDate="0" containsString="0" containsBlank="1"/>
    </cacheField>
    <cacheField name="Commentaire" numFmtId="0">
      <sharedItems containsNonDate="0" containsString="0" containsBlank="1"/>
    </cacheField>
    <cacheField name="Filtre" numFmtId="0">
      <sharedItems containsBlank="1"/>
    </cacheField>
    <cacheField name="semaine horodataire" numFmtId="0">
      <sharedItems containsString="0" containsBlank="1" containsNumber="1" containsInteger="1" minValue="2" maxValue="21" count="21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3">
  <r>
    <d v="2023-01-10T21:43:39"/>
    <s v="Macenta"/>
    <s v="Direction préfectorale de l'agriculture et de l'élevage de Macenta"/>
    <s v="Collectif"/>
    <s v="Association des agronomes retraités pour le développement de Macenta"/>
    <n v="622671405"/>
    <n v="622715005"/>
    <s v="Macenta Centre"/>
    <n v="12"/>
    <s v="Déchaumage"/>
    <n v="15"/>
    <s v="Abou"/>
    <s v="Oriza sativa"/>
    <s v="5 mois"/>
    <d v="2023-01-25T00:00:00"/>
    <s v="Pas"/>
    <s v="Alexandre Kpoghomou"/>
    <s v="Riz"/>
    <x v="0"/>
    <m/>
    <m/>
    <x v="0"/>
    <m/>
    <m/>
    <m/>
    <m/>
  </r>
  <r>
    <d v="2023-01-10T21:49:31"/>
    <s v="Macenta"/>
    <s v="Direction préfectorale de l'agriculture et de l'élevage de Macenta"/>
    <s v="Collectif"/>
    <s v="Entreprise guinéenne de production agricole (EGUIPA )"/>
    <n v="620655190"/>
    <m/>
    <s v="Macenta Centre"/>
    <n v="15"/>
    <s v="Labour - uniquement"/>
    <n v="5"/>
    <s v="Champs de piment"/>
    <s v="Petit piment"/>
    <s v="9 mois"/>
    <d v="2023-01-28T00:00:00"/>
    <s v="Pas"/>
    <s v="Alexandre Kpoghomou"/>
    <s v="Petit piment"/>
    <x v="0"/>
    <m/>
    <m/>
    <x v="0"/>
    <m/>
    <m/>
    <m/>
    <m/>
  </r>
  <r>
    <d v="2023-01-10T21:55:47"/>
    <s v="Macenta"/>
    <s v="Direction préfectorale de l'agriculture et de l'élevage de Macenta"/>
    <s v="Individuel"/>
    <s v="François inapogui"/>
    <n v="621479659"/>
    <m/>
    <s v="Macenta Centre"/>
    <n v="10"/>
    <s v="Déchaumage"/>
    <n v="15"/>
    <s v="Abou"/>
    <s v="Oriza sativa"/>
    <s v="5 mois"/>
    <d v="2023-01-30T00:00:00"/>
    <s v="Pas"/>
    <s v="Alexandre Kpoghomou"/>
    <s v="Riz"/>
    <x v="0"/>
    <m/>
    <m/>
    <x v="0"/>
    <m/>
    <m/>
    <m/>
    <m/>
  </r>
  <r>
    <d v="2023-01-10T22:00:52"/>
    <s v="Macenta"/>
    <s v="Direction préfectorale de l'agriculture et de l'élevage de Macenta"/>
    <s v="Individuel"/>
    <s v="Daouda Keita"/>
    <n v="622016575"/>
    <m/>
    <s v="Kouankan"/>
    <n v="70"/>
    <s v="Labour - uniquement"/>
    <n v="20"/>
    <s v="Samaka"/>
    <s v="Oriza sativa"/>
    <s v="4 mois"/>
    <d v="2023-02-10T00:00:00"/>
    <s v="Pas"/>
    <s v="Alexandre Kpoghomou"/>
    <s v="Riz"/>
    <x v="0"/>
    <m/>
    <m/>
    <x v="0"/>
    <m/>
    <m/>
    <m/>
    <m/>
  </r>
  <r>
    <d v="2023-01-10T22:05:36"/>
    <s v="Macenta"/>
    <s v="Direction préfectorale de l'agriculture et de l'élevage de Macenta"/>
    <s v="Individuel"/>
    <s v="Damas tonguino"/>
    <n v="622564008"/>
    <m/>
    <s v="Ourémai"/>
    <n v="12"/>
    <s v="Labour - uniquement"/>
    <n v="10"/>
    <s v="Chinoiba"/>
    <s v="Oriza sativa"/>
    <s v="5 mois"/>
    <d v="2023-02-15T00:00:00"/>
    <s v="Pas"/>
    <s v="Alexandre Kpoghomou"/>
    <s v="Riz"/>
    <x v="0"/>
    <m/>
    <m/>
    <x v="0"/>
    <m/>
    <m/>
    <m/>
    <m/>
  </r>
  <r>
    <d v="2023-01-10T22:08:51"/>
    <s v="Macenta"/>
    <s v="Direction préfectorale de l'agriculture et de l'élevage de Macenta"/>
    <s v="Individuel"/>
    <s v="Lanciné Diallo"/>
    <n v="621573030"/>
    <m/>
    <s v="Kouankan"/>
    <n v="83"/>
    <s v="Déchaumage"/>
    <n v="20"/>
    <s v="Djoukeme"/>
    <s v="Oriza sativa"/>
    <s v="5 mois"/>
    <d v="2023-01-15T00:00:00"/>
    <s v="Pas"/>
    <s v="Alexandre Kpoghomou"/>
    <s v="Riz"/>
    <x v="0"/>
    <m/>
    <m/>
    <x v="0"/>
    <m/>
    <m/>
    <m/>
    <m/>
  </r>
  <r>
    <d v="2023-01-12T10:57:49"/>
    <s v="Siguiri"/>
    <s v="Siguiri"/>
    <s v="Individuel"/>
    <s v="Kaba DOUMBOUYA"/>
    <n v="622865492"/>
    <m/>
    <s v="Bankon"/>
    <n v="35"/>
    <s v="Déchaumage"/>
    <n v="5"/>
    <s v="Nenkin"/>
    <s v="Nenkin"/>
    <s v="3 mois"/>
    <d v="2022-01-15T00:00:00"/>
    <m/>
    <s v="Nanamoudou ll Magassouba"/>
    <s v="Riz"/>
    <x v="1"/>
    <n v="5"/>
    <d v="2023-01-24T00:00:00"/>
    <x v="1"/>
    <m/>
    <m/>
    <m/>
    <m/>
  </r>
  <r>
    <d v="2023-01-12T11:01:02"/>
    <s v="Siguiri"/>
    <s v="Siguiri"/>
    <s v="Individuel"/>
    <s v="Kaba KEITA"/>
    <n v="628255406"/>
    <m/>
    <s v="Siguiri Centre"/>
    <n v="3"/>
    <s v="Déchaumage"/>
    <n v="1"/>
    <s v="Nerica19"/>
    <s v="Nerica19"/>
    <s v="4 mois"/>
    <d v="2022-01-15T00:00:00"/>
    <m/>
    <s v="Nanamoudou ll Magassouba"/>
    <s v="Riz"/>
    <x v="0"/>
    <m/>
    <m/>
    <x v="0"/>
    <m/>
    <m/>
    <m/>
    <m/>
  </r>
  <r>
    <d v="2023-01-12T11:06:31"/>
    <s v="Siguiri"/>
    <s v="Siguiri"/>
    <s v="Individuel"/>
    <s v="Mamoudou CONDE"/>
    <n v="622680135"/>
    <m/>
    <s v="Siguiri Centre"/>
    <n v="2"/>
    <s v="Labour - uniquement"/>
    <n v="1"/>
    <s v="Cultures maraîchère"/>
    <s v="Culture maraîchère"/>
    <s v="4 mois"/>
    <d v="2022-01-15T00:00:00"/>
    <m/>
    <s v="Nanamoudou ll Magassouba"/>
    <s v="Culture maraichère"/>
    <x v="0"/>
    <m/>
    <m/>
    <x v="0"/>
    <m/>
    <m/>
    <m/>
    <m/>
  </r>
  <r>
    <d v="2023-01-12T11:10:55"/>
    <s v="Siguiri"/>
    <s v="Siguiri"/>
    <s v="Collectif"/>
    <s v="Daman Keita"/>
    <n v="624056044"/>
    <m/>
    <s v="Kintinian"/>
    <n v="60"/>
    <s v="Déchaumage"/>
    <n v="20"/>
    <s v="Nenkin, Nerica19, Chinois...."/>
    <s v="Nenkin, Nerica19, chinois"/>
    <s v="5 mois"/>
    <d v="2022-01-15T00:00:00"/>
    <m/>
    <s v="Nanamoudou ll Magassouba"/>
    <s v="Riz"/>
    <x v="0"/>
    <m/>
    <m/>
    <x v="0"/>
    <m/>
    <m/>
    <m/>
    <m/>
  </r>
  <r>
    <d v="2023-01-12T11:42:01"/>
    <s v="Siguiri"/>
    <s v="Siguiri"/>
    <s v="Individuel"/>
    <s v="Elhdj Fode Barry"/>
    <n v="628305638"/>
    <m/>
    <s v="Siguiri Centre"/>
    <n v="2"/>
    <s v="Déchaumage"/>
    <n v="4"/>
    <s v="Chinois"/>
    <s v="Chinois"/>
    <s v="5 mois"/>
    <d v="2022-01-16T00:00:00"/>
    <m/>
    <s v="Nanamoudou ll Magassouba"/>
    <s v="Riz"/>
    <x v="1"/>
    <n v="5.5"/>
    <d v="2023-01-24T00:00:00"/>
    <x v="1"/>
    <m/>
    <m/>
    <m/>
    <m/>
  </r>
  <r>
    <d v="2023-01-12T11:46:13"/>
    <s v="Siguiri"/>
    <s v="Siguiri"/>
    <s v="Individuel"/>
    <s v="Lamine Diallo"/>
    <n v="628309993"/>
    <m/>
    <s v="Siguiri Centre"/>
    <n v="2"/>
    <s v="Déchaumage"/>
    <n v="4"/>
    <s v="Nenkin"/>
    <s v="Nenkin"/>
    <s v="3 mois"/>
    <d v="2022-01-15T00:00:00"/>
    <m/>
    <s v="Nanamoudou ll Magassouba"/>
    <s v="Riz"/>
    <x v="0"/>
    <m/>
    <m/>
    <x v="0"/>
    <m/>
    <m/>
    <m/>
    <m/>
  </r>
  <r>
    <d v="2023-01-12T12:56:48"/>
    <s v="Siguiri"/>
    <s v="Siguiri"/>
    <s v="Collectif"/>
    <s v="Sindian TRAORE"/>
    <n v="628729355"/>
    <m/>
    <s v="Kiniébakoura"/>
    <n v="15"/>
    <s v="Déchaumage"/>
    <n v="10"/>
    <s v="Nerica19, Nenkin, Dissi...."/>
    <s v="Nerica19, Nenkin, Dissi"/>
    <s v="4 mois"/>
    <d v="2023-01-15T00:00:00"/>
    <m/>
    <s v="Nanamoudou ll Magassouba"/>
    <s v="Riz"/>
    <x v="0"/>
    <m/>
    <m/>
    <x v="0"/>
    <m/>
    <m/>
    <m/>
    <m/>
  </r>
  <r>
    <d v="2023-01-12T16:54:49"/>
    <s v="Kankan"/>
    <s v="Bordeaux"/>
    <s v="Individuel"/>
    <s v="N'FALY Berete"/>
    <n v="621362961"/>
    <n v="0"/>
    <s v="Bate-Nafadji"/>
    <n v="95"/>
    <s v="Déchaumage"/>
    <n v="2"/>
    <s v="Gbintirima"/>
    <s v="Variété tardive"/>
    <s v="4 mois"/>
    <d v="2023-01-12T00:00:00"/>
    <s v="Petit producteur"/>
    <s v="Moussa Alamako Keita"/>
    <s v="Riz"/>
    <x v="0"/>
    <m/>
    <m/>
    <x v="0"/>
    <m/>
    <m/>
    <m/>
    <m/>
  </r>
  <r>
    <d v="2023-01-12T17:07:22"/>
    <s v="Kankan"/>
    <s v="Bordeaux"/>
    <s v="Individuel"/>
    <s v="Biridjan Keita"/>
    <n v="628717030"/>
    <n v="0"/>
    <s v="Bate-Nafadji"/>
    <n v="95"/>
    <s v="Déchaumage"/>
    <n v="3"/>
    <s v="Nenkenba"/>
    <s v="Variété locale"/>
    <s v="6 mois"/>
    <d v="2023-01-15T00:00:00"/>
    <s v="Petit producteur"/>
    <s v="Moussa Alamako Keita"/>
    <s v="Riz"/>
    <x v="0"/>
    <m/>
    <m/>
    <x v="0"/>
    <m/>
    <m/>
    <m/>
    <m/>
  </r>
  <r>
    <d v="2023-01-12T17:24:25"/>
    <s v="Kankan"/>
    <s v="Bordeaux"/>
    <s v="Collectif"/>
    <s v="Taliby kaba"/>
    <n v="622611665"/>
    <n v="0"/>
    <s v="Moribayah"/>
    <n v="95"/>
    <s v="Labour - uniquement"/>
    <n v="30"/>
    <s v="Ck90"/>
    <s v="Variété améliorée"/>
    <s v="4 mois"/>
    <d v="2023-01-15T00:00:00"/>
    <s v="Pas urgent"/>
    <s v="Moussa Alamako Keita"/>
    <s v="Riz"/>
    <x v="0"/>
    <m/>
    <m/>
    <x v="0"/>
    <m/>
    <m/>
    <m/>
    <m/>
  </r>
  <r>
    <d v="2023-01-12T17:31:02"/>
    <s v="Siguiri"/>
    <s v="Siguiri"/>
    <s v="Individuel"/>
    <s v="Mamady Kaba CAMARA"/>
    <n v="622151010"/>
    <m/>
    <s v="Siguiri Centre"/>
    <n v="5"/>
    <s v="Labour - uniquement"/>
    <n v="8"/>
    <s v="Banankou"/>
    <s v="Manioc"/>
    <s v="3 mois"/>
    <d v="2023-01-15T00:00:00"/>
    <m/>
    <s v="Nanamoudou ll Magassouba"/>
    <s v="Manioc"/>
    <x v="0"/>
    <m/>
    <m/>
    <x v="0"/>
    <m/>
    <m/>
    <m/>
    <m/>
  </r>
  <r>
    <d v="2023-01-15T14:48:42"/>
    <s v="Siguiri"/>
    <s v="Siguiri"/>
    <s v="Individuel"/>
    <s v="Almamy Sylla"/>
    <n v="622636385"/>
    <m/>
    <s v="Kiniébakoura"/>
    <n v="15"/>
    <s v="Déchaumage"/>
    <n v="3"/>
    <s v="Nenkin"/>
    <s v="Nenkin"/>
    <s v="3 mois"/>
    <d v="2023-01-15T00:00:00"/>
    <m/>
    <s v="Nanamoudou ll Magassouba"/>
    <s v="Riz"/>
    <x v="0"/>
    <m/>
    <m/>
    <x v="0"/>
    <m/>
    <m/>
    <m/>
    <m/>
  </r>
  <r>
    <d v="2023-01-16T11:05:56"/>
    <s v="Macenta"/>
    <s v="Direction préfectorale de l'agriculture et de l'élevage de Macenta"/>
    <s v="Collectif"/>
    <s v="Association des agronomes retraités pour le développement de Macenta"/>
    <n v="622671405"/>
    <n v="622715005"/>
    <s v="Macenta Centre"/>
    <n v="12"/>
    <s v="Déchaumage"/>
    <n v="15"/>
    <s v="Chinoiba"/>
    <s v="Oriza sativa"/>
    <s v="5 mois"/>
    <d v="2023-01-16T00:00:00"/>
    <s v="Pas"/>
    <s v="Alexandre Kpoghomou"/>
    <s v="Riz"/>
    <x v="0"/>
    <m/>
    <m/>
    <x v="0"/>
    <m/>
    <m/>
    <m/>
    <m/>
  </r>
  <r>
    <d v="2023-01-16T11:11:49"/>
    <s v="Macenta"/>
    <s v="Direction préfectorale de l'agriculture et de l'élevage de Macenta"/>
    <s v="Collectif"/>
    <s v="Entreprise guinéenne de production agricole EGUIPA"/>
    <n v="620655190"/>
    <m/>
    <s v="Macenta Centre"/>
    <n v="12"/>
    <s v="Labour + Pulvérisation"/>
    <n v="5"/>
    <s v="Le petit piment"/>
    <s v="Petit piment"/>
    <s v="4 mois"/>
    <d v="2023-01-13T00:00:00"/>
    <s v="Pas"/>
    <s v="Alexandre Kpoghomou"/>
    <s v="Culture maraichère"/>
    <x v="0"/>
    <m/>
    <m/>
    <x v="0"/>
    <m/>
    <m/>
    <m/>
    <m/>
  </r>
  <r>
    <d v="2023-01-16T11:29:42"/>
    <s v="Siguiri"/>
    <s v="Siguiri"/>
    <s v="Collectif"/>
    <s v="Solo TRAORE"/>
    <n v="628304701"/>
    <m/>
    <s v="Bankon"/>
    <n v="30"/>
    <s v="Déchaumage"/>
    <n v="10"/>
    <s v="Nenkin, Djoukeme"/>
    <s v="Nenkin, Dioukeme"/>
    <s v="3 mois"/>
    <d v="2023-01-17T00:00:00"/>
    <m/>
    <s v="Nanamoudou ll Magassouba"/>
    <s v="Riz"/>
    <x v="0"/>
    <m/>
    <m/>
    <x v="0"/>
    <m/>
    <m/>
    <m/>
    <m/>
  </r>
  <r>
    <d v="2023-01-16T11:31:29"/>
    <s v="Macenta"/>
    <s v="Direction préfectorale de l'agriculture et de l'élevage de Macenta"/>
    <s v="Individuel"/>
    <s v="François inapogui"/>
    <n v="621479659"/>
    <m/>
    <s v="Macenta Centre"/>
    <n v="10"/>
    <s v="Déchaumage"/>
    <n v="10"/>
    <s v="Abou"/>
    <s v="Oriza sativa"/>
    <s v="4 mois"/>
    <d v="2023-01-27T00:00:00"/>
    <s v="Pas"/>
    <s v="Alexandre Kpoghomou"/>
    <s v="Riz"/>
    <x v="0"/>
    <m/>
    <m/>
    <x v="0"/>
    <m/>
    <m/>
    <m/>
    <m/>
  </r>
  <r>
    <d v="2023-01-16T11:36:37"/>
    <s v="Macenta"/>
    <s v="Direction préfectorale de l'agriculture et de l'élevage de Macenta"/>
    <s v="Individuel"/>
    <s v="Daouda Keita"/>
    <n v="622016575"/>
    <m/>
    <s v="Kouankan"/>
    <n v="65"/>
    <s v="Labour + Pulvérisation"/>
    <n v="20"/>
    <s v="Djoukeme"/>
    <s v="Oriza sativa"/>
    <s v="4 mois"/>
    <d v="2023-02-15T00:00:00"/>
    <s v="Pas"/>
    <s v="Alexandre Kpoghomou"/>
    <s v="Riz"/>
    <x v="0"/>
    <m/>
    <m/>
    <x v="0"/>
    <m/>
    <m/>
    <m/>
    <m/>
  </r>
  <r>
    <d v="2023-01-16T11:43:53"/>
    <s v="Siguiri"/>
    <s v="Siguiri"/>
    <s v="Collectif"/>
    <s v="Mamady DOUMBOUYA"/>
    <n v="622324657"/>
    <m/>
    <s v="Bankon"/>
    <n v="35"/>
    <s v="Déchaumage"/>
    <n v="7"/>
    <s v="Kaolaka"/>
    <s v="Kaolaka"/>
    <s v="4 mois"/>
    <d v="2023-01-17T00:00:00"/>
    <m/>
    <s v="Nanamoudou ll Magassouba"/>
    <s v="Riz"/>
    <x v="1"/>
    <n v="7"/>
    <d v="2023-01-24T00:00:00"/>
    <x v="1"/>
    <m/>
    <m/>
    <m/>
    <m/>
  </r>
  <r>
    <d v="2023-01-16T11:44:47"/>
    <s v="Macenta"/>
    <s v="Direction préfectorale de l'agriculture et de l'élevage de Macenta"/>
    <s v="Individuel"/>
    <s v="Damas tonguino"/>
    <n v="622586487"/>
    <m/>
    <s v="Ourémai"/>
    <n v="15"/>
    <s v="Labour + Pulvérisation"/>
    <n v="10"/>
    <s v="Abou"/>
    <s v="Oriza sativa"/>
    <s v="5 mois"/>
    <d v="2023-02-17T00:00:00"/>
    <s v="Pas"/>
    <s v="Alexandre Kpoghomou"/>
    <s v="Riz"/>
    <x v="0"/>
    <m/>
    <m/>
    <x v="0"/>
    <m/>
    <m/>
    <m/>
    <m/>
  </r>
  <r>
    <d v="2023-01-16T12:31:36"/>
    <s v="Macenta"/>
    <s v="Direction préfectorale de l'agriculture et de l'élevage de Macenta"/>
    <s v="Individuel"/>
    <s v="Jean Beavogui"/>
    <n v="622820437"/>
    <m/>
    <s v="Macenta Centre"/>
    <n v="9"/>
    <s v="Labour + Pulvérisation"/>
    <n v="3"/>
    <s v="Chinoiba"/>
    <s v="Oriza sativa"/>
    <s v="4 mois"/>
    <d v="2023-01-30T00:00:00"/>
    <s v="Pas"/>
    <s v="Alexandre Kpoghomou"/>
    <s v="Riz"/>
    <x v="1"/>
    <n v="4"/>
    <d v="2023-02-13T00:00:00"/>
    <x v="2"/>
    <m/>
    <m/>
    <m/>
    <m/>
  </r>
  <r>
    <d v="2023-01-16T12:36:48"/>
    <s v="Macenta"/>
    <s v="Direction préfectorale de l'agriculture et de l'élevage de Macenta"/>
    <s v="Individuel"/>
    <s v="Patricia Akoï Mara"/>
    <n v="622820437"/>
    <m/>
    <s v="Daro"/>
    <n v="27"/>
    <s v="Labour + Pulvérisation"/>
    <n v="3"/>
    <s v="Samaka"/>
    <s v="Oriza sativa"/>
    <s v="5 mois"/>
    <d v="2023-01-31T00:00:00"/>
    <s v="Pas"/>
    <s v="Alexandre Kpoghomou"/>
    <s v="Riz"/>
    <x v="0"/>
    <m/>
    <m/>
    <x v="0"/>
    <m/>
    <m/>
    <m/>
    <m/>
  </r>
  <r>
    <d v="2023-01-16T12:44:10"/>
    <s v="Macenta"/>
    <s v="Direction préfectorale de l'agriculture et de l'élevage de Macenta"/>
    <s v="Collectif"/>
    <s v="OPAPE organisation pour la promotion agro-pastorale et environnement"/>
    <n v="623332108"/>
    <n v="622836757"/>
    <s v="Macenta Centre"/>
    <n v="27"/>
    <s v="Labour + Pulvérisation"/>
    <n v="15"/>
    <s v="Djoukeme et chinoiba"/>
    <s v="Oriza sativa"/>
    <s v="5 mois"/>
    <d v="2023-02-15T00:00:00"/>
    <s v="Pas"/>
    <s v="Alexandre Kpoghomou"/>
    <s v="Riz"/>
    <x v="0"/>
    <m/>
    <m/>
    <x v="0"/>
    <m/>
    <m/>
    <m/>
    <m/>
  </r>
  <r>
    <d v="2023-01-16T12:47:24"/>
    <s v="Macenta"/>
    <s v="Direction préfectorale de l'agriculture et de l'élevage de Macenta"/>
    <s v="Individuel"/>
    <s v="Mohamed kourouma"/>
    <n v="620108977"/>
    <m/>
    <s v="Macenta Centre"/>
    <n v="9"/>
    <s v="Déchaumage"/>
    <n v="3"/>
    <s v="Chinoiba"/>
    <s v="Oriza sativa"/>
    <s v="5 mois"/>
    <d v="2023-01-30T00:00:00"/>
    <s v="Pas"/>
    <s v="Alexandre Kpoghomou"/>
    <s v="Riz"/>
    <x v="0"/>
    <m/>
    <m/>
    <x v="0"/>
    <m/>
    <m/>
    <m/>
    <m/>
  </r>
  <r>
    <d v="2023-01-17T14:49:58"/>
    <s v="Mamou"/>
    <s v="Petel Mamou"/>
    <s v="Collectif"/>
    <s v="Mouctar Barry"/>
    <n v="628016732"/>
    <m/>
    <s v="Soyah"/>
    <n v="15"/>
    <s v="Labour - uniquement"/>
    <n v="6"/>
    <s v="Kalya"/>
    <s v="CK 90"/>
    <s v="4 mois"/>
    <d v="2023-11-25T00:00:00"/>
    <s v="Tout va bien pour le moment"/>
    <s v="Mamadouba Camara"/>
    <s v="Riz"/>
    <x v="1"/>
    <n v="6"/>
    <d v="2023-01-30T00:00:00"/>
    <x v="3"/>
    <m/>
    <m/>
    <m/>
    <m/>
  </r>
  <r>
    <d v="2023-01-17T20:43:26"/>
    <s v="Boké"/>
    <s v="boké centre"/>
    <s v="Individuel"/>
    <s v="el karamba Guirarssy"/>
    <n v="624774769"/>
    <n v="0"/>
    <s v="Kolaboui"/>
    <n v="37"/>
    <s v="Labour + Pulvérisation"/>
    <n v="150"/>
    <s v="djoumou kémé"/>
    <s v="connais pas le nom d'abord"/>
    <s v="4 mois"/>
    <d v="2023-02-15T00:00:00"/>
    <s v="il doit faire le 1er labour d'abord"/>
    <s v="Elhadj Souaré Mamadou Dian"/>
    <s v="Riz"/>
    <x v="1"/>
    <n v="25"/>
    <d v="2023-05-17T00:00:00"/>
    <x v="4"/>
    <s v="3BKE001T"/>
    <m/>
    <m/>
    <m/>
  </r>
  <r>
    <d v="2023-01-19T09:33:54"/>
    <s v="Macenta"/>
    <s v="Direction préfectorale de l'agriculture et de l'élevage de Macenta"/>
    <s v="Individuel"/>
    <s v="Mohamed Bignè FOFANA"/>
    <n v="622091928"/>
    <m/>
    <s v="Macenta Centre"/>
    <n v="12"/>
    <s v="Pulvérisation - uniquement"/>
    <n v="50"/>
    <s v="Abou, djoukeme et CK 90"/>
    <s v="Oriza sativa"/>
    <s v="5 mois"/>
    <d v="2023-03-15T00:00:00"/>
    <s v="Pas"/>
    <s v="Alexandre Kpoghomou"/>
    <s v="Riz"/>
    <x v="0"/>
    <m/>
    <m/>
    <x v="0"/>
    <m/>
    <m/>
    <m/>
    <m/>
  </r>
  <r>
    <d v="2023-01-19T09:43:45"/>
    <s v="Macenta"/>
    <s v="Direction préfectorale de l'agriculture et de l'élevage de Macenta"/>
    <s v="Individuel"/>
    <s v="Mamadi Bereté"/>
    <n v="622833153"/>
    <m/>
    <s v="Kouankan"/>
    <n v="90"/>
    <s v="Labour + Pulvérisation"/>
    <n v="4"/>
    <s v="Jogbacie"/>
    <s v="Oriza sativa"/>
    <s v="5 mois"/>
    <d v="2023-03-15T00:00:00"/>
    <s v="Pas"/>
    <s v="Alexandre Kpoghomou"/>
    <s v="Riz"/>
    <x v="0"/>
    <m/>
    <m/>
    <x v="0"/>
    <m/>
    <m/>
    <m/>
    <m/>
  </r>
  <r>
    <d v="2023-01-19T10:10:57"/>
    <s v="Macenta"/>
    <s v="Direction préfectorale de l'agriculture et de l'élevage de Macenta"/>
    <s v="Individuel"/>
    <s v="Bangaly Camara"/>
    <n v="628823310"/>
    <m/>
    <s v="Macenta Centre"/>
    <n v="8"/>
    <s v="Labour + Pulvérisation"/>
    <n v="6"/>
    <s v="Djoukeme"/>
    <s v="Oriza sativa"/>
    <s v="5 mois"/>
    <d v="2023-02-05T00:00:00"/>
    <s v="Pas"/>
    <s v="Alexandre Kpoghomou"/>
    <s v="Riz"/>
    <x v="0"/>
    <m/>
    <m/>
    <x v="0"/>
    <m/>
    <m/>
    <m/>
    <m/>
  </r>
  <r>
    <d v="2023-01-19T10:21:23"/>
    <s v="Macenta"/>
    <s v="Direction préfectorale de l'agriculture et de l'élevage de Macenta"/>
    <s v="Individuel"/>
    <s v="Bangaly Camara"/>
    <n v="628823310"/>
    <m/>
    <s v="Macenta Centre"/>
    <n v="8"/>
    <s v="Labour + Pulvérisation"/>
    <n v="6"/>
    <s v="Djoukeme"/>
    <s v="Oriza sativa"/>
    <s v="5 mois"/>
    <d v="2023-03-05T00:00:00"/>
    <s v="Pas"/>
    <s v="Alexandre Kpoghomou"/>
    <s v="Riz"/>
    <x v="0"/>
    <m/>
    <m/>
    <x v="0"/>
    <m/>
    <m/>
    <m/>
    <m/>
  </r>
  <r>
    <d v="2023-01-19T10:30:14"/>
    <s v="Macenta"/>
    <s v="Direction préfectorale de l'agriculture et de l'élevage de Macenta"/>
    <s v="Individuel"/>
    <s v="Youssouf Traoré"/>
    <n v="622885364"/>
    <m/>
    <s v="Kouankan"/>
    <n v="90"/>
    <s v="Labour + Pulvérisation"/>
    <n v="3"/>
    <s v="Jogbacie"/>
    <s v="Oriza sativa"/>
    <s v="5 mois"/>
    <d v="2024-03-16T00:00:00"/>
    <s v="Pas"/>
    <s v="Alexandre Kpoghomou"/>
    <s v="Riz"/>
    <x v="0"/>
    <m/>
    <m/>
    <x v="0"/>
    <m/>
    <m/>
    <m/>
    <m/>
  </r>
  <r>
    <d v="2023-01-19T11:47:08"/>
    <s v="Macenta"/>
    <s v="Direction préfectorale de l'agriculture et de l'élevage de Macenta"/>
    <s v="Individuel"/>
    <s v="Amara Bereté"/>
    <n v="621624679"/>
    <n v="629929091"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23T10:50:28"/>
    <s v="Siguiri"/>
    <s v="Siguiri"/>
    <s v="Individuel"/>
    <s v="Fodé TRAORE"/>
    <n v="628735038"/>
    <m/>
    <s v="Siguiri Centre"/>
    <n v="2"/>
    <s v="Déchaumage"/>
    <n v="2"/>
    <s v="Nenkin"/>
    <s v="Nenkin"/>
    <s v="3 mois"/>
    <d v="2023-01-25T00:00:00"/>
    <m/>
    <s v="Nanamoudou ll Magassouba"/>
    <s v="Riz"/>
    <x v="0"/>
    <m/>
    <m/>
    <x v="0"/>
    <m/>
    <m/>
    <m/>
    <m/>
  </r>
  <r>
    <d v="2023-01-25T10:30:18"/>
    <s v="Macenta"/>
    <s v="Direction préfectorale de l'agriculture et de l'élevage de Macenta"/>
    <s v="Individuel"/>
    <s v="Kouya-Food Supply"/>
    <n v="628827085"/>
    <n v="666776416"/>
    <s v="Macenta Centre"/>
    <n v="22"/>
    <s v="Labour - uniquement"/>
    <n v="12"/>
    <s v="Chinoiba"/>
    <s v="Oriza sativa"/>
    <s v="5 mois"/>
    <d v="2023-02-25T00:00:00"/>
    <s v="Pas"/>
    <s v="Alexandre Kpoghomou"/>
    <s v="Riz"/>
    <x v="0"/>
    <m/>
    <m/>
    <x v="0"/>
    <m/>
    <m/>
    <m/>
    <m/>
  </r>
  <r>
    <d v="2023-01-26T19:42:04"/>
    <s v="Kankan"/>
    <s v="Bordeaux"/>
    <s v="Individuel"/>
    <s v="Djibril Keita"/>
    <n v="622630080"/>
    <n v="0"/>
    <s v="Kobikoro"/>
    <n v="10"/>
    <s v="Déchaumage"/>
    <n v="5"/>
    <s v="Riz laye Namory"/>
    <s v="Variété locale et tardive"/>
    <s v="4 mois"/>
    <d v="2023-01-25T00:00:00"/>
    <s v="Petit producteur"/>
    <s v="Moussa Alamako Keita"/>
    <s v="Riz"/>
    <x v="1"/>
    <n v="4"/>
    <d v="2023-02-03T00:00:00"/>
    <x v="3"/>
    <m/>
    <m/>
    <m/>
    <m/>
  </r>
  <r>
    <d v="2023-01-27T15:43:54"/>
    <s v="Mamou"/>
    <s v="Petel Mamou"/>
    <s v="Individuel"/>
    <s v="Sadio Diallo"/>
    <n v="628911160"/>
    <m/>
    <s v="Soyah"/>
    <n v="15"/>
    <s v="Déchaumage"/>
    <n v="3"/>
    <s v="Seydouba"/>
    <s v="Nerica"/>
    <s v="4 mois"/>
    <d v="2023-12-20T00:00:00"/>
    <s v="Tout ce passe bien"/>
    <s v="Mamadouba Camara"/>
    <s v="Riz"/>
    <x v="1"/>
    <n v="3"/>
    <d v="2023-01-30T00:00:00"/>
    <x v="3"/>
    <m/>
    <m/>
    <m/>
    <m/>
  </r>
  <r>
    <d v="2023-01-28T18:15:50"/>
    <s v="Siguiri"/>
    <s v="Siguiri"/>
    <s v="Individuel"/>
    <s v="Bakary DOUMBOUYA"/>
    <n v="622635327"/>
    <m/>
    <s v="Bankon"/>
    <n v="35"/>
    <s v="Déchaumage"/>
    <n v="5"/>
    <s v="Nenkin"/>
    <s v="Nenkin"/>
    <s v="3 mois"/>
    <d v="2023-01-26T00:00:00"/>
    <m/>
    <s v="Nanamoudou ll Magassouba"/>
    <s v="Riz"/>
    <x v="1"/>
    <n v="5"/>
    <d v="2023-02-20T00:00:00"/>
    <x v="5"/>
    <m/>
    <m/>
    <m/>
    <m/>
  </r>
  <r>
    <d v="2023-01-28T18:19:33"/>
    <s v="Siguiri"/>
    <s v="Siguiri"/>
    <s v="Individuel"/>
    <s v="Aboubacar Sidiki Sangare"/>
    <n v="623430578"/>
    <m/>
    <s v="Siguiri Centre"/>
    <n v="10"/>
    <s v="Déchaumage"/>
    <n v="2"/>
    <s v="Nenkin"/>
    <s v="Nenkin"/>
    <s v="3 mois"/>
    <d v="2023-01-29T00:00:00"/>
    <m/>
    <s v="Nanamoudou ll Magassouba"/>
    <s v="Riz"/>
    <x v="1"/>
    <n v="1.5"/>
    <d v="2023-02-20T00:00:00"/>
    <x v="5"/>
    <m/>
    <m/>
    <m/>
    <m/>
  </r>
  <r>
    <d v="2023-01-28T18:21:37"/>
    <s v="Siguiri"/>
    <s v="Siguiri"/>
    <s v="Individuel"/>
    <s v="Kaba DOUMBOUYA"/>
    <n v="622865492"/>
    <m/>
    <s v="Bankon"/>
    <n v="35"/>
    <s v="Déchaumage"/>
    <n v="2"/>
    <s v="Kaolaka"/>
    <s v="Kaolaka"/>
    <s v="4 mois"/>
    <d v="2023-01-26T00:00:00"/>
    <m/>
    <s v="Nanamoudou ll Magassouba"/>
    <s v="Riz"/>
    <x v="1"/>
    <n v="2"/>
    <d v="2023-02-20T00:00:00"/>
    <x v="5"/>
    <m/>
    <m/>
    <m/>
    <m/>
  </r>
  <r>
    <d v="2023-01-28T18:24:07"/>
    <s v="Siguiri"/>
    <s v="Siguiri"/>
    <s v="Individuel"/>
    <s v="Fode TRAORE"/>
    <n v="628735058"/>
    <m/>
    <s v="Siguiri Centre"/>
    <n v="3"/>
    <s v="Déchaumage"/>
    <n v="2"/>
    <s v="Nerica19"/>
    <s v="Nerica19"/>
    <s v="4 mois"/>
    <d v="2022-01-25T00:00:00"/>
    <m/>
    <s v="Nanamoudou ll Magassouba"/>
    <s v="Riz"/>
    <x v="1"/>
    <n v="4"/>
    <d v="2023-02-20T00:00:00"/>
    <x v="5"/>
    <m/>
    <m/>
    <m/>
    <m/>
  </r>
  <r>
    <d v="2023-01-30T11:16:14"/>
    <s v="Macenta"/>
    <s v="Direction préfectorale de l'agriculture et de l'élevage de Macenta l'élev"/>
    <s v="Individuel"/>
    <s v="Mamadi Camara"/>
    <n v="620342577"/>
    <m/>
    <s v="Kouankan"/>
    <n v="90"/>
    <s v="Labour + Pulvérisation"/>
    <n v="10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1:17:51"/>
    <s v="Boké"/>
    <s v="boké centre"/>
    <s v="Collectif"/>
    <s v="Ousmane Deen Diaby"/>
    <n v="625114036"/>
    <n v="0"/>
    <s v="Tanéné"/>
    <n v="16"/>
    <s v="Labour + Pulvérisation"/>
    <n v="100"/>
    <s v="non"/>
    <s v="non"/>
    <s v="3 mois"/>
    <d v="2023-02-28T00:00:00"/>
    <s v="c'est un champ collectif on ne connait pas la variété d abord."/>
    <s v="Elhadj Souaré Mamadou Dian"/>
    <s v="Riz"/>
    <x v="0"/>
    <m/>
    <m/>
    <x v="0"/>
    <m/>
    <m/>
    <m/>
    <m/>
  </r>
  <r>
    <d v="2023-01-30T11:27:41"/>
    <s v="Macenta"/>
    <s v="Direction préfectorale de l'agriculture et de l'élevage de Macenta"/>
    <s v="Individuel"/>
    <s v="Sékou kourouma"/>
    <n v="629110871"/>
    <m/>
    <s v="Kouankan"/>
    <n v="90"/>
    <s v="Labour + Pulvérisation"/>
    <n v="5"/>
    <s v="Moribanara"/>
    <s v="Oriza sativa"/>
    <s v="5 mois"/>
    <d v="2023-03-15T00:00:00"/>
    <s v="Pas"/>
    <s v="Alexandre Kpoghomou"/>
    <s v="Riz"/>
    <x v="0"/>
    <m/>
    <m/>
    <x v="0"/>
    <m/>
    <m/>
    <m/>
    <m/>
  </r>
  <r>
    <d v="2023-01-30T11:36:08"/>
    <s v="Macenta"/>
    <s v="Direction préfectorale de l'agriculture et de l'élevage de Macenta"/>
    <s v="Individuel"/>
    <s v="Mamadi Camara"/>
    <n v="622064433"/>
    <m/>
    <s v="Kouankan"/>
    <n v="90"/>
    <s v="Labour + Pulvérisation"/>
    <n v="4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1:45:44"/>
    <s v="Macenta"/>
    <s v="Direction préfectorale de l'agriculture et de l'élevage de Macenta"/>
    <s v="Individuel"/>
    <s v="Vakaba Camara"/>
    <n v="62265369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1:50:58"/>
    <s v="Macenta"/>
    <s v="Direction préfectorale de l'agriculture et de l'élevage de Macenta"/>
    <s v="Individuel"/>
    <s v="Sékou Camara"/>
    <n v="621072814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1:55:27"/>
    <s v="Macenta"/>
    <s v="Direction préfectorale de l'agriculture et de l'élevage de Macenta"/>
    <s v="Individuel"/>
    <s v="Djakouba Camara"/>
    <n v="624064434"/>
    <m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01:14"/>
    <s v="Macenta"/>
    <s v="Direction préfectorale de l'agriculture et de l'élevage de Macenta"/>
    <s v="Individuel"/>
    <s v="Makoura Valy kourouma"/>
    <n v="621835187"/>
    <n v="623291491"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05:50"/>
    <s v="Macenta"/>
    <s v="Direction préfectorale de l'agriculture et de l'élevage de Macenta"/>
    <s v="Individuel"/>
    <s v="Magnaba Mamadi Camara"/>
    <n v="624832253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09:26"/>
    <s v="Macenta"/>
    <s v="Direction préfectorale de l'agriculture et de l'élevage de Macenta"/>
    <s v="Individuel"/>
    <s v="N faly Camara"/>
    <n v="628721768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2:13:11"/>
    <s v="Macenta"/>
    <s v="Direction préfectorale de l'agriculture et de l'élevage de Macenta"/>
    <s v="Individuel"/>
    <s v="Kemo Condé"/>
    <n v="62035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19:42"/>
    <s v="Macenta"/>
    <s v="Direction préfectorale de l'agriculture et de l'élevage de Macenta"/>
    <s v="Individuel"/>
    <s v="Mafarima Kourouma"/>
    <n v="623356162"/>
    <m/>
    <s v="Kouankan"/>
    <n v="90"/>
    <s v="Labour + Pulvérisation"/>
    <n v="4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26:02"/>
    <s v="Macenta"/>
    <s v="Direction préfectorale de l'agriculture et de l'élevage de Macenta"/>
    <s v="Individuel"/>
    <s v="Moussa Kourouma"/>
    <n v="611623324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2:33:22"/>
    <s v="Macenta"/>
    <s v="Direction préfectorale de l'agriculture et de l'élevage de Macenta"/>
    <s v="Individuel"/>
    <s v="Sidiki kourouma Makour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2:40:35"/>
    <s v="Macenta"/>
    <s v="Direction préfectorale de l'agriculture et de l'élevage de Macenta"/>
    <s v="Individuel"/>
    <s v="Mousoukoura Laye Camara"/>
    <n v="620342577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2:49:51"/>
    <s v="Macenta"/>
    <s v="Direction préfectorale de l'agriculture et de l'élevage de Macenta"/>
    <s v="Individuel"/>
    <s v="Aly kourouma"/>
    <n v="62762875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2:55:36"/>
    <s v="Macenta"/>
    <s v="Direction préfectorale de l'agriculture et de l'élevage de Macenta"/>
    <s v="Individuel"/>
    <s v="Bore Sidiki Keita"/>
    <n v="627628753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3:00:29"/>
    <s v="Macenta"/>
    <s v="Direction préfectorale de l'agriculture et de l'élevage de Macenta"/>
    <s v="Individuel"/>
    <s v="Amara Bakino Camara"/>
    <n v="622950709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3:04:14"/>
    <s v="Macenta"/>
    <s v="Direction préfectorale de l'agriculture et de l'élevage de Macenta"/>
    <s v="Individuel"/>
    <s v="Mory Camara"/>
    <n v="622060358"/>
    <m/>
    <s v="Kouankan"/>
    <n v="90"/>
    <s v="Labour + Pulvérisation"/>
    <n v="7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3:10:40"/>
    <s v="Macenta"/>
    <s v="Direction préfectorale de l'agriculture et de l'élevage de Macenta"/>
    <s v="Individuel"/>
    <s v="Matenin Sidiki Keita"/>
    <n v="622356014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3:14:36"/>
    <s v="Macenta"/>
    <s v="Direction préfectorale de l'agriculture et de l'élevage de Macenta"/>
    <s v="Individuel"/>
    <s v="Mamadi kourouma"/>
    <n v="626922544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0T13:18:11"/>
    <s v="Macenta"/>
    <s v="Direction préfectorale de l'agriculture et de l'élevage de Macenta"/>
    <s v="Individuel"/>
    <s v="Mateneke Sidiki kourouma"/>
    <n v="624581369"/>
    <m/>
    <s v="Kouankan"/>
    <n v="90"/>
    <s v="Labour + Pulvérisation"/>
    <n v="6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3:22:01"/>
    <s v="Macenta"/>
    <s v="Direction préfectorale de l'agriculture et de l'élevage de Macenta"/>
    <s v="Individuel"/>
    <s v="Boï Mamadi Konaté"/>
    <n v="61181320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3:26:14"/>
    <s v="Macenta"/>
    <s v="Direction préfectorale de l'agriculture et de l'élevage de Macenta"/>
    <s v="Individuel"/>
    <s v="Fatta Lanciné Kane"/>
    <n v="62034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0T13:29:57"/>
    <s v="Macenta"/>
    <s v="Direction préfectorale de l'agriculture et de l'élevage de Macenta"/>
    <s v="Individuel"/>
    <s v="Lanciné Diallo"/>
    <n v="629467493"/>
    <m/>
    <s v="Kouankan"/>
    <n v="90"/>
    <s v="Labour + Pulvérisation"/>
    <n v="4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05:35"/>
    <s v="Macenta"/>
    <s v="Direction préfectorale de l'agriculture et de l'élevage de Macenta"/>
    <s v="Individuel"/>
    <s v="Maboussa Mamadi Condé"/>
    <n v="620342577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08:52"/>
    <s v="Macenta"/>
    <s v="Direction préfectorale de l'agriculture et de l'élevage de Macenta"/>
    <s v="Individuel"/>
    <s v="Amara kané"/>
    <n v="620342577"/>
    <m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18:56"/>
    <s v="Macenta"/>
    <s v="Direction préfectorale de l'agriculture et de l'élevage de Macenta"/>
    <s v="Individuel"/>
    <s v="Bakary Mariame Camara"/>
    <n v="623723285"/>
    <m/>
    <s v="Kouankan"/>
    <n v="90"/>
    <s v="Labour + Pulvérisation"/>
    <n v="5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22:45"/>
    <s v="Macenta"/>
    <s v="Direction préfectorale de l'agriculture et de l'élevage de Macenta"/>
    <s v="Individuel"/>
    <s v="Tougna Moussa kourouma"/>
    <n v="626651825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27:03"/>
    <s v="Macenta"/>
    <s v="Direction préfectorale de l'agriculture et de l'élevage de Macenta"/>
    <s v="Individuel"/>
    <s v="Shaka Moussa Condé"/>
    <n v="620342577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29:52"/>
    <s v="Macenta"/>
    <s v="Direction préfectorale de l'agriculture et de l'élevage de Macenta"/>
    <s v="Individuel"/>
    <s v="Watta Sidiki Keita"/>
    <n v="629516021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32:21"/>
    <s v="Macenta"/>
    <s v="Direction préfectorale de l'agriculture et de l'élevage de Macenta"/>
    <s v="Individuel"/>
    <s v="Mala Laye Camara"/>
    <n v="620211259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34:49"/>
    <s v="Macenta"/>
    <s v="Direction préfectorale de l'agriculture et de l'élevage de Macenta"/>
    <s v="Individuel"/>
    <s v="Mala kourouma"/>
    <n v="62034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37:40"/>
    <s v="Macenta"/>
    <s v="Direction préfectorale de l'agriculture et de l'élevage de Macenta"/>
    <s v="Individuel"/>
    <s v="Mory kourouma"/>
    <n v="620342577"/>
    <m/>
    <s v="Kouankan"/>
    <n v="90"/>
    <s v="Labour + Pulvérisation"/>
    <n v="7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40:36"/>
    <s v="Macenta"/>
    <s v="Direction préfectorale de l'agriculture et de l'élevage de Macenta"/>
    <s v="Individuel"/>
    <s v="Sory Keit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43:04"/>
    <s v="Macenta"/>
    <s v="Direction préfectorale de l'agriculture et de l'élevage de Macenta"/>
    <s v="Individuel"/>
    <s v="Massama Camar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46:16"/>
    <s v="Macenta"/>
    <s v="Direction préfectorale de l'agriculture et de l'élevage de Macenta"/>
    <s v="Individuel"/>
    <s v="Zoumane Bouba Camara"/>
    <n v="625008870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51:30"/>
    <s v="Macenta"/>
    <s v="Direction préfectorale de l'agriculture et de l'élevage de Macenta"/>
    <s v="Individuel"/>
    <s v="Magna Condé et Mamadi Camara"/>
    <n v="620342577"/>
    <m/>
    <s v="Kouankan"/>
    <n v="90"/>
    <s v="Labour + Pulvérisation"/>
    <n v="4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0:55:12"/>
    <s v="Macenta"/>
    <s v="Direction préfectorale de l'agriculture et de l'élevage de Macenta"/>
    <s v="Individuel"/>
    <s v="Mamadi kourouma"/>
    <n v="620342577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0:59:57"/>
    <s v="Macenta"/>
    <s v="Direction préfectorale de l'agriculture et de l'élevage de Macenta"/>
    <s v="Individuel"/>
    <s v="Ousmane Camara"/>
    <n v="62824069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</r>
  <r>
    <d v="2023-01-31T11:02:57"/>
    <s v="Macenta"/>
    <s v="Direction préfectorale de l'agriculture et de l'élevage de Macenta"/>
    <s v="Individuel"/>
    <s v="Sidiki Diakité"/>
    <n v="610548828"/>
    <m/>
    <s v="Kouankan"/>
    <n v="90"/>
    <s v="Labour + Pulvérisation"/>
    <n v="2"/>
    <s v="Djoukeme"/>
    <s v="Oriza sativa"/>
    <s v="5 mois"/>
    <d v="2023-03-15T00:00:00"/>
    <s v="Pas"/>
    <s v="u"/>
    <s v="Riz"/>
    <x v="0"/>
    <m/>
    <m/>
    <x v="0"/>
    <m/>
    <m/>
    <m/>
    <m/>
  </r>
  <r>
    <d v="2023-01-31T11:08:24"/>
    <s v="Macenta"/>
    <s v="Direction préfectorale de l'agriculture et de l'élevage de Macenta"/>
    <s v="Individuel"/>
    <s v="Sassa Moussa Camara"/>
    <n v="620342577"/>
    <m/>
    <s v="Kouankan"/>
    <n v="90"/>
    <s v="Labour + Pulvérisation"/>
    <n v="1"/>
    <s v="Djoukeme"/>
    <s v="Oriza sativa"/>
    <s v="5 mois"/>
    <d v="2023-03-15T00:00:00"/>
    <s v="Pas de"/>
    <s v="Alexandre Kpoghomou"/>
    <s v="Riz"/>
    <x v="0"/>
    <m/>
    <m/>
    <x v="0"/>
    <m/>
    <m/>
    <m/>
    <m/>
  </r>
  <r>
    <d v="2023-01-31T11:11:41"/>
    <s v="Macenta"/>
    <s v="Direction préfectorale de l'agriculture et de l'élevage de Macenta"/>
    <s v="Individuel"/>
    <s v="Fabory komara"/>
    <n v="627423234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1:15:01"/>
    <s v="Macenta"/>
    <s v="Direction préfectorale de l'agriculture et de l'élevage de Macenta"/>
    <s v="Individuel"/>
    <s v="Massan Camara"/>
    <n v="626581586"/>
    <m/>
    <s v="Kouankan"/>
    <n v="90"/>
    <s v="Labour + Pulvérisation"/>
    <n v="3"/>
    <s v="Chinoiba"/>
    <s v="Oriza sativa"/>
    <s v="5 mois"/>
    <d v="2023-02-15T00:00:00"/>
    <s v="Pas"/>
    <s v="Alexandre Kpoghomou"/>
    <s v="Riz"/>
    <x v="0"/>
    <m/>
    <m/>
    <x v="0"/>
    <m/>
    <m/>
    <m/>
    <m/>
  </r>
  <r>
    <d v="2023-01-31T11:20:37"/>
    <s v="Macenta"/>
    <s v="Direction préfectorale de l'agriculture et de l'élevage de Macenta"/>
    <s v="Individuel"/>
    <s v="Gnada Beavogui"/>
    <n v="620645347"/>
    <m/>
    <s v="Ourémai"/>
    <n v="6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</r>
  <r>
    <d v="2023-01-31T13:37:26"/>
    <s v="Macenta"/>
    <s v="Direction préfectorale de l'agriculture et de l'élevage de Macenta"/>
    <s v="Individuel"/>
    <s v="Facely kourouma"/>
    <n v="628612762"/>
    <m/>
    <s v="Macenta Centre"/>
    <n v="10"/>
    <s v="Labour + Pulvérisation"/>
    <n v="25"/>
    <s v="CK90 , chinoiba"/>
    <s v="Oriza sativa"/>
    <s v="5 mois"/>
    <d v="2023-02-25T00:00:00"/>
    <s v="Pas"/>
    <s v="Alexandre Kpoghomou"/>
    <s v="Riz"/>
    <x v="1"/>
    <n v="15"/>
    <d v="2023-02-13T00:00:00"/>
    <x v="2"/>
    <m/>
    <m/>
    <m/>
    <m/>
  </r>
  <r>
    <d v="2023-01-31T17:42:53"/>
    <s v="Siguiri"/>
    <s v="Siguiri"/>
    <s v="Individuel"/>
    <s v="Karamo Dansoko"/>
    <n v="628392953"/>
    <m/>
    <s v="Siguiri Centre"/>
    <n v="5"/>
    <s v="Déchaumage"/>
    <n v="1"/>
    <s v="Nioronka"/>
    <s v="Nioronka"/>
    <s v="6 mois"/>
    <d v="2023-02-01T00:00:00"/>
    <m/>
    <s v="Nanamoudou ll Magassouba"/>
    <s v="Riz"/>
    <x v="1"/>
    <n v="1"/>
    <d v="2023-02-20T00:00:00"/>
    <x v="5"/>
    <m/>
    <m/>
    <m/>
    <m/>
  </r>
  <r>
    <d v="2023-02-02T12:57:25"/>
    <s v="Mamou"/>
    <s v="Petel Mamou"/>
    <s v="Individuel"/>
    <s v="Thierno Ibrahima Diallo"/>
    <n v="624213632"/>
    <m/>
    <s v="Dounet"/>
    <n v="18"/>
    <s v="Labour - uniquement"/>
    <n v="0.5"/>
    <s v="Kobokobo"/>
    <s v="Kalenda"/>
    <s v="6 mois"/>
    <d v="2023-05-28T00:00:00"/>
    <s v="Tout ce passe bien pour le moment"/>
    <s v="Mamadouba Camara"/>
    <s v="Culture maraichère"/>
    <x v="0"/>
    <m/>
    <m/>
    <x v="0"/>
    <m/>
    <m/>
    <m/>
    <m/>
  </r>
  <r>
    <d v="2023-02-03T15:40:59"/>
    <s v="Kankan"/>
    <s v="Bordeaux"/>
    <s v="Individuel"/>
    <s v="Sere Moussa Keita"/>
    <n v="622993813"/>
    <n v="0"/>
    <s v="Bate-Nafadji"/>
    <n v="95"/>
    <s v="Déchaumage"/>
    <n v="3"/>
    <s v="Nenkenba"/>
    <s v="Variété locale et tardive"/>
    <s v="6 mois"/>
    <d v="2023-01-17T00:00:00"/>
    <s v="Petit producteur"/>
    <s v="Moussa Alamako Keita"/>
    <s v="Riz"/>
    <x v="1"/>
    <n v="3"/>
    <d v="2023-02-03T00:00:00"/>
    <x v="3"/>
    <m/>
    <m/>
    <m/>
    <m/>
  </r>
  <r>
    <d v="2023-02-03T15:45:30"/>
    <s v="Kankan"/>
    <s v="Bordeaux"/>
    <s v="Individuel"/>
    <s v="Bily Diawara"/>
    <n v="628391086"/>
    <n v="0"/>
    <s v="Bate-Nafadji"/>
    <n v="95"/>
    <s v="Déchaumage"/>
    <n v="1"/>
    <s v="Nenkenba"/>
    <s v="Variété tardive et locale"/>
    <s v="6 mois"/>
    <d v="2023-01-20T00:00:00"/>
    <s v="Petit producteur"/>
    <s v="Moussa Alamako Keita"/>
    <s v="Riz"/>
    <x v="1"/>
    <n v="1"/>
    <d v="2023-02-03T00:00:00"/>
    <x v="3"/>
    <m/>
    <m/>
    <m/>
    <m/>
  </r>
  <r>
    <d v="2023-02-03T15:49:50"/>
    <s v="Kankan"/>
    <s v="Bordeaux"/>
    <s v="Individuel"/>
    <s v="Amara camara"/>
    <n v="628189296"/>
    <n v="0"/>
    <s v="Bate-Nafadji"/>
    <n v="95"/>
    <s v="Déchaumage"/>
    <n v="1"/>
    <s v="Nenkenba"/>
    <s v="Variété tardive et locale"/>
    <s v="6 mois"/>
    <d v="2023-01-23T00:00:00"/>
    <s v="Petit producteur"/>
    <s v="Moussa Alamako Keita"/>
    <s v="Riz"/>
    <x v="1"/>
    <n v="1"/>
    <d v="2023-02-03T00:00:00"/>
    <x v="3"/>
    <m/>
    <m/>
    <m/>
    <m/>
  </r>
  <r>
    <d v="2023-02-03T15:59:11"/>
    <s v="Kankan"/>
    <s v="Bordeaux"/>
    <s v="Individuel"/>
    <s v="Mamadi Keita"/>
    <n v="628189296"/>
    <n v="0"/>
    <s v="Bate-Nafadji"/>
    <n v="95"/>
    <s v="Déchaumage"/>
    <n v="1"/>
    <s v="Nenkenba"/>
    <s v="Variété tardive et locale"/>
    <s v="6 mois"/>
    <d v="2023-01-24T00:00:00"/>
    <s v="Petit producteur"/>
    <s v="Moussa Alamako Keita"/>
    <s v="Riz"/>
    <x v="1"/>
    <n v="1"/>
    <d v="2023-02-03T00:00:00"/>
    <x v="3"/>
    <m/>
    <m/>
    <m/>
    <m/>
  </r>
  <r>
    <d v="2023-02-03T16:04:28"/>
    <s v="Kankan"/>
    <s v="Bordeaux"/>
    <s v="Individuel"/>
    <s v="N'FALY Diawara"/>
    <n v="628717030"/>
    <n v="0"/>
    <s v="Bate-Nafadji"/>
    <n v="95"/>
    <s v="Déchaumage"/>
    <n v="1"/>
    <s v="Nenkenba"/>
    <s v="Variété tardive et locale"/>
    <s v="6 mois"/>
    <d v="2023-01-30T00:00:00"/>
    <s v="Petit producteur"/>
    <s v="Moussa Alamako Keita"/>
    <s v="Riz"/>
    <x v="1"/>
    <n v="1"/>
    <d v="2023-02-03T00:00:00"/>
    <x v="3"/>
    <m/>
    <m/>
    <m/>
    <m/>
  </r>
  <r>
    <d v="2023-02-03T16:08:46"/>
    <s v="Kankan"/>
    <s v="Bordeaux"/>
    <s v="Individuel"/>
    <s v="Lanfia Keita"/>
    <n v="628717030"/>
    <n v="0"/>
    <s v="Bate-Nafadji"/>
    <n v="95"/>
    <s v="Déchaumage"/>
    <n v="2"/>
    <s v="Nenkenba"/>
    <s v="Variété tardive et locale"/>
    <s v="6 mois"/>
    <d v="2023-01-31T00:00:00"/>
    <s v="Petit producteur"/>
    <s v="Moussa Alamako Keita"/>
    <s v="Riz"/>
    <x v="1"/>
    <n v="1"/>
    <d v="2023-02-03T00:00:00"/>
    <x v="3"/>
    <m/>
    <m/>
    <m/>
    <m/>
  </r>
  <r>
    <d v="2023-02-03T16:14:21"/>
    <s v="Kankan"/>
    <s v="Bordeaux"/>
    <s v="Collectif"/>
    <s v="Moussa toure"/>
    <n v="628581868"/>
    <n v="0"/>
    <s v="Bate-Nafadji"/>
    <n v="45"/>
    <s v="Labour - uniquement"/>
    <n v="7"/>
    <s v="Nenken"/>
    <s v="Variété locale"/>
    <s v="4 mois"/>
    <d v="2023-05-10T00:00:00"/>
    <s v="Petit producteur"/>
    <s v="Moussa Alamako Keita"/>
    <s v="Riz"/>
    <x v="0"/>
    <m/>
    <m/>
    <x v="0"/>
    <m/>
    <m/>
    <m/>
    <m/>
  </r>
  <r>
    <d v="2023-02-06T09:34:01"/>
    <s v="Siguiri"/>
    <s v="Siguiri"/>
    <s v="Individuel"/>
    <s v="Fodé TRAORE"/>
    <n v="628735058"/>
    <m/>
    <s v="Siguiri Centre"/>
    <n v="3"/>
    <s v="Déchaumage"/>
    <n v="3"/>
    <s v="Dissibawoulen"/>
    <s v="Dissibawoulen"/>
    <s v="4 mois"/>
    <d v="2023-02-01T00:00:00"/>
    <m/>
    <s v="Nanamoudou ll Magassouba"/>
    <s v="Riz"/>
    <x v="0"/>
    <m/>
    <m/>
    <x v="0"/>
    <m/>
    <m/>
    <m/>
    <m/>
  </r>
  <r>
    <d v="2023-02-06T18:44:35"/>
    <s v="Guéckédou"/>
    <s v="Centre de Gueckédou"/>
    <s v="Individuel"/>
    <s v="Mamady Sanoh"/>
    <n v="622869482"/>
    <m/>
    <s v="Guendembou"/>
    <n v="12"/>
    <s v="Labour - uniquement"/>
    <n v="3"/>
    <s v="Gombo"/>
    <s v="Abelmoschus esculentus"/>
    <s v="3 mois"/>
    <d v="2023-02-08T00:00:00"/>
    <s v="Le producteur veu faire une culture intercalaires (le gombo et l'aubergine)."/>
    <s v="Lamine Condé"/>
    <s v="Culture maraichère"/>
    <x v="1"/>
    <n v="4"/>
    <d v="2023-02-10T00:00:00"/>
    <x v="6"/>
    <m/>
    <m/>
    <m/>
    <m/>
  </r>
  <r>
    <d v="2023-02-09T08:22:57"/>
    <s v="Dinguiraye"/>
    <s v="Dinguiraye centre"/>
    <s v="Individuel"/>
    <s v="yaya savané"/>
    <n v="621322940"/>
    <m/>
    <s v="Banora"/>
    <n v="67"/>
    <s v="Déchaumage"/>
    <n v="8"/>
    <s v="Dissi oulén"/>
    <s v="C'est une variété locale"/>
    <s v="5 mois"/>
    <d v="2023-02-12T00:00:00"/>
    <m/>
    <s v="Mamadou 1 Diallo"/>
    <s v="Riz"/>
    <x v="1"/>
    <n v="8"/>
    <d v="2023-02-13T00:00:00"/>
    <x v="2"/>
    <m/>
    <m/>
    <m/>
    <m/>
  </r>
  <r>
    <d v="2023-02-13T09:57:46"/>
    <s v="Mandiana"/>
    <s v="Bloc Administratif de la préfecture"/>
    <s v="Collectif"/>
    <s v="Groupement Fadimala"/>
    <n v="622384741"/>
    <m/>
    <s v="Dialakoro"/>
    <n v="138"/>
    <s v="Déchaumage"/>
    <n v="50"/>
    <s v="Kamiaka, Nenken, 52"/>
    <s v="Ne connais pas"/>
    <s v="3 mois"/>
    <d v="2023-02-25T00:00:00"/>
    <m/>
    <s v="Nounkè Doumbouya"/>
    <s v="Riz"/>
    <x v="0"/>
    <m/>
    <m/>
    <x v="0"/>
    <m/>
    <m/>
    <m/>
    <m/>
  </r>
  <r>
    <d v="2023-02-13T11:21:12"/>
    <s v="Macenta"/>
    <s v="Direction préfectorale de l'agriculture et de l'élevage de Macenta"/>
    <s v="Individuel"/>
    <s v="Jean Beavogui"/>
    <n v="622501048"/>
    <n v="628406741"/>
    <s v="Macenta Centre"/>
    <n v="12"/>
    <s v="Labour + Pulvérisation"/>
    <n v="4"/>
    <s v="Djoukeme et chinoiba"/>
    <s v="Oriza sativa"/>
    <s v="5 mois"/>
    <d v="2023-02-13T00:00:00"/>
    <s v="Pas"/>
    <s v="Alexandre Kpoghomou"/>
    <s v="Riz"/>
    <x v="1"/>
    <n v="2.5"/>
    <d v="2023-03-22T00:00:00"/>
    <x v="7"/>
    <m/>
    <m/>
    <m/>
    <m/>
  </r>
  <r>
    <d v="2023-02-13T13:51:32"/>
    <s v="Macenta"/>
    <s v="Direction préfectorale de l'agriculture et de l'élevage de Macenta"/>
    <s v="Individuel"/>
    <s v="Esther dopavogui"/>
    <n v="624367136"/>
    <m/>
    <s v="Ourémai"/>
    <n v="11"/>
    <s v="Labour + Pulvérisation"/>
    <n v="1"/>
    <s v="Moribanara"/>
    <s v="Oriza sativa"/>
    <s v="5 mois"/>
    <d v="2023-02-17T00:00:00"/>
    <s v="Pas"/>
    <s v="Alexandre Kpoghomou"/>
    <s v="Riz"/>
    <x v="0"/>
    <m/>
    <m/>
    <x v="0"/>
    <m/>
    <m/>
    <m/>
    <m/>
  </r>
  <r>
    <d v="2023-02-13T19:40:45"/>
    <s v="Guéckédou"/>
    <s v="Centre de Gueckédou"/>
    <s v="Individuel"/>
    <s v="Faya Kamano"/>
    <n v="622559196"/>
    <m/>
    <s v="Guendembou"/>
    <n v="13"/>
    <s v="Labour - uniquement"/>
    <n v="4"/>
    <s v="Mais nom local :Dookorony"/>
    <s v="Gea mais saccharata"/>
    <s v="3 mois"/>
    <d v="2023-02-14T00:00:00"/>
    <m/>
    <s v="Lamine Condé"/>
    <s v="Maïs"/>
    <x v="1"/>
    <n v="3"/>
    <d v="2023-02-20T00:00:00"/>
    <x v="5"/>
    <m/>
    <m/>
    <m/>
    <m/>
  </r>
  <r>
    <d v="2023-02-13T22:09:52"/>
    <s v="Beyla"/>
    <s v="Centre"/>
    <s v="Collectif"/>
    <s v="Abdoulaye SANGARÉ"/>
    <n v="620161706"/>
    <m/>
    <s v="Bossou"/>
    <n v="215"/>
    <s v="Labour + Pulvérisation"/>
    <n v="50"/>
    <s v="Malogbe, Bloky"/>
    <s v="Oryza"/>
    <s v="5 mois"/>
    <d v="2023-10-15T00:00:00"/>
    <s v="Si calendrier agricole est respecté OUI"/>
    <s v="Mohamed Billo Sangare"/>
    <s v="Riz"/>
    <x v="0"/>
    <m/>
    <m/>
    <x v="0"/>
    <m/>
    <m/>
    <m/>
    <m/>
  </r>
  <r>
    <d v="2023-02-13T22:22:40"/>
    <s v="Beyla"/>
    <s v="Centre"/>
    <s v="Individuel"/>
    <s v="NVa Kaba Kourouma"/>
    <n v="623024358"/>
    <m/>
    <s v="Beyla Centre"/>
    <n v="25"/>
    <s v="Labour - uniquement"/>
    <n v="5"/>
    <s v="Perta"/>
    <s v="Zea mays"/>
    <s v="3 mois"/>
    <d v="2023-04-10T00:00:00"/>
    <s v="Possible si calendrier agricole est respecté"/>
    <s v="Mohamed Billo Sangare"/>
    <s v="Maïs"/>
    <x v="0"/>
    <m/>
    <m/>
    <x v="0"/>
    <m/>
    <m/>
    <m/>
    <m/>
  </r>
  <r>
    <d v="2023-02-13T22:31:32"/>
    <s v="Beyla"/>
    <s v="Centre"/>
    <s v="Individuel"/>
    <s v="Elh Keme Sam Kourouma"/>
    <n v="628659814"/>
    <m/>
    <s v="Beyla Centre"/>
    <n v="20"/>
    <s v="Labour - uniquement"/>
    <n v="5"/>
    <s v="Djoukeme"/>
    <s v="Oryza"/>
    <s v="5 mois"/>
    <d v="2023-06-20T00:00:00"/>
    <s v="Possible si calendrier agricole est respecté"/>
    <s v="Mohamed Billo Sangare"/>
    <s v="Riz"/>
    <x v="0"/>
    <m/>
    <m/>
    <x v="0"/>
    <m/>
    <m/>
    <m/>
    <m/>
  </r>
  <r>
    <d v="2023-02-15T16:54:44"/>
    <s v="Beyla"/>
    <s v="Centre"/>
    <s v="Collectif"/>
    <s v="Laye. Albert DORE"/>
    <n v="627137360"/>
    <m/>
    <s v="Guéassou"/>
    <n v="215"/>
    <s v="Labour + Pulvérisation"/>
    <n v="5"/>
    <s v="Malogbe"/>
    <s v="Oryza"/>
    <s v="5 mois"/>
    <d v="2023-02-25T00:00:00"/>
    <s v="La. Pluviométrie du milieu de prête aux labours"/>
    <s v="Mohamed Billo Sangare"/>
    <s v="Riz"/>
    <x v="0"/>
    <m/>
    <m/>
    <x v="0"/>
    <m/>
    <m/>
    <m/>
    <m/>
  </r>
  <r>
    <d v="2023-02-15T21:03:49"/>
    <s v="Beyla"/>
    <s v="Centre"/>
    <s v="Collectif"/>
    <s v="Groupement Agricole Nouvelle Vision GAN V"/>
    <n v="627137360"/>
    <m/>
    <s v="Guéassou"/>
    <n v="215"/>
    <s v="Labour + Pulvérisation"/>
    <n v="5"/>
    <s v="Perta"/>
    <s v="Ses mays"/>
    <s v="4 mois"/>
    <d v="2023-02-25T00:00:00"/>
    <s v="La pluviométrie favorable à débuté là-bas"/>
    <s v="Mohamed Billo Sangare"/>
    <s v="Maïs"/>
    <x v="0"/>
    <m/>
    <m/>
    <x v="0"/>
    <m/>
    <m/>
    <m/>
    <m/>
  </r>
  <r>
    <d v="2023-02-15T21:12:25"/>
    <s v="Beyla"/>
    <s v="Centre"/>
    <s v="Individuel"/>
    <s v="Saadama Laye Donzo"/>
    <n v="650544434"/>
    <m/>
    <s v="Beyla Centre"/>
    <n v="22"/>
    <s v="Labour - uniquement"/>
    <n v="4"/>
    <s v="Djoukeme"/>
    <s v="Oryza"/>
    <s v="5 mois"/>
    <d v="2023-06-17T00:00:00"/>
    <s v="Période favorable"/>
    <s v="Mohamed Billo Sangare"/>
    <s v="Riz"/>
    <x v="0"/>
    <m/>
    <m/>
    <x v="0"/>
    <m/>
    <m/>
    <m/>
    <m/>
  </r>
  <r>
    <d v="2023-02-19T14:49:41"/>
    <s v="Guéckédou"/>
    <s v="Centre de Gueckédou"/>
    <s v="Individuel"/>
    <s v="Sàa Wanalé Milimono"/>
    <n v="622577038"/>
    <m/>
    <s v="Guéckédou Centre"/>
    <n v="5"/>
    <s v="Labour - uniquement"/>
    <n v="3"/>
    <s v="K5"/>
    <s v="Zea maîs"/>
    <s v="3 mois"/>
    <d v="2023-02-20T00:00:00"/>
    <m/>
    <s v="Lamine Condé"/>
    <s v="Maïs"/>
    <x v="1"/>
    <n v="3"/>
    <d v="2023-02-22T00:00:00"/>
    <x v="5"/>
    <m/>
    <m/>
    <m/>
    <m/>
  </r>
  <r>
    <d v="2023-02-19T15:07:03"/>
    <s v="Guéckédou"/>
    <s v="Centre de Gueckédou"/>
    <s v="Collectif"/>
    <s v="Mamady Traoré"/>
    <n v="621683998"/>
    <m/>
    <s v="Guendembou"/>
    <n v="15"/>
    <s v="Labour - uniquement"/>
    <n v="2"/>
    <s v="Yaro"/>
    <s v="Solanum mélongena"/>
    <s v="3 mois"/>
    <d v="2023-03-01T00:00:00"/>
    <m/>
    <s v="Lamine Condé"/>
    <s v="Culture maraichère"/>
    <x v="0"/>
    <m/>
    <m/>
    <x v="0"/>
    <m/>
    <m/>
    <m/>
    <m/>
  </r>
  <r>
    <d v="2023-02-20T11:13:07"/>
    <s v="Siguiri"/>
    <s v="Siguiri"/>
    <s v="Collectif"/>
    <s v="Fode MAGASSOUBA"/>
    <n v="626491118"/>
    <m/>
    <s v="Siguiri Centre"/>
    <n v="8"/>
    <s v="Déchaumage"/>
    <n v="4"/>
    <s v="Dissi"/>
    <s v="Dissi"/>
    <s v="4 mois"/>
    <d v="2023-02-19T00:00:00"/>
    <m/>
    <s v="Nanamoudou ll Magassouba"/>
    <s v="Riz"/>
    <x v="1"/>
    <n v="4"/>
    <d v="2023-02-20T00:00:00"/>
    <x v="5"/>
    <m/>
    <m/>
    <m/>
    <m/>
  </r>
  <r>
    <d v="2023-02-20T11:16:45"/>
    <s v="Siguiri"/>
    <s v="Siguiri"/>
    <s v="Collectif"/>
    <s v="Alpha CAMARA"/>
    <n v="628845822"/>
    <m/>
    <s v="Maléa"/>
    <n v="90"/>
    <s v="Déchaumage"/>
    <n v="20"/>
    <s v="Nenkin, Dissi...."/>
    <s v="Nenkin...."/>
    <s v="4 mois"/>
    <d v="2023-02-19T00:00:00"/>
    <m/>
    <s v="Nanamoudou ll Magassouba"/>
    <s v="Riz"/>
    <x v="1"/>
    <n v="20"/>
    <d v="2023-02-20T00:00:00"/>
    <x v="5"/>
    <m/>
    <m/>
    <m/>
    <m/>
  </r>
  <r>
    <d v="2023-02-21T13:48:12"/>
    <s v="Boké"/>
    <s v="boké centre"/>
    <s v="Collectif"/>
    <s v="el koldougou"/>
    <n v="623486083"/>
    <n v="0"/>
    <s v="Kolaboui"/>
    <n v="35"/>
    <s v="Déchaumage"/>
    <n v="20"/>
    <n v="0"/>
    <n v="0"/>
    <s v="3 mois"/>
    <d v="2023-03-10T00:00:00"/>
    <s v="dans kolaboui"/>
    <s v="Elhadj Souaré Mamadou Dian"/>
    <s v="Riz"/>
    <x v="0"/>
    <m/>
    <m/>
    <x v="0"/>
    <m/>
    <m/>
    <m/>
    <m/>
  </r>
  <r>
    <d v="2023-02-21T13:54:36"/>
    <s v="Boké"/>
    <s v="boké centre"/>
    <s v="Individuel"/>
    <s v="Mariam Doumbouya"/>
    <n v="628000478"/>
    <n v="0"/>
    <s v="Tanéné"/>
    <n v="12"/>
    <s v="Labour - uniquement"/>
    <m/>
    <n v="0"/>
    <n v="0"/>
    <s v="3 mois"/>
    <d v="2023-06-01T00:00:00"/>
    <s v="se trouve dans Tanéné"/>
    <s v="Elhadj Souaré Mamadou Dian"/>
    <s v="Riz"/>
    <x v="0"/>
    <m/>
    <m/>
    <x v="0"/>
    <m/>
    <m/>
    <m/>
    <m/>
  </r>
  <r>
    <d v="2023-02-21T14:00:10"/>
    <s v="Boké"/>
    <s v="boké centre"/>
    <s v="Collectif"/>
    <s v="Groupement Allawaly"/>
    <n v="628156512"/>
    <n v="0"/>
    <s v="Sangaredi"/>
    <n v="60"/>
    <s v="Labour - uniquement"/>
    <n v="45"/>
    <n v="0"/>
    <n v="0"/>
    <s v="4 mois"/>
    <d v="2023-03-15T00:00:00"/>
    <s v="au mois de mars 2023"/>
    <s v="Elhadj Souaré Mamadou Dian"/>
    <s v="Riz"/>
    <x v="0"/>
    <m/>
    <m/>
    <x v="0"/>
    <m/>
    <m/>
    <m/>
    <m/>
  </r>
  <r>
    <d v="2023-02-21T14:05:46"/>
    <s v="Boké"/>
    <s v="boké centre"/>
    <s v="Collectif"/>
    <s v="Groupement Mamadouba Camara"/>
    <n v="628972657"/>
    <n v="0"/>
    <s v="Kolaboui"/>
    <n v="30"/>
    <s v="Labour + Pulvérisation"/>
    <n v="100"/>
    <n v="0"/>
    <n v="0"/>
    <s v="4 mois"/>
    <d v="2023-06-01T00:00:00"/>
    <s v="pour le mois de juin 1ère quinzaine"/>
    <s v="Elhadj Souaré Mamadou Dian"/>
    <s v="Riz"/>
    <x v="0"/>
    <m/>
    <m/>
    <x v="0"/>
    <m/>
    <m/>
    <m/>
    <m/>
  </r>
  <r>
    <d v="2023-02-21T14:10:59"/>
    <s v="Boké"/>
    <s v="boké centre"/>
    <s v="Individuel"/>
    <s v="Mohamed Dia"/>
    <n v="621666431"/>
    <n v="0"/>
    <s v="Tanéné"/>
    <n v="15"/>
    <s v="Labour + Pulvérisation"/>
    <n v="50"/>
    <n v="0"/>
    <n v="0"/>
    <s v="4 mois"/>
    <d v="2023-03-10T00:00:00"/>
    <s v="pour le mois de mars 2023"/>
    <s v="Elhadj Souaré Mamadou Dian"/>
    <s v="Riz"/>
    <x v="0"/>
    <m/>
    <m/>
    <x v="0"/>
    <m/>
    <m/>
    <m/>
    <m/>
  </r>
  <r>
    <d v="2023-02-21T14:40:12"/>
    <s v="Boké"/>
    <s v="boké centre"/>
    <s v="Individuel"/>
    <s v="Mariama Limba Bah"/>
    <n v="625920834"/>
    <n v="0"/>
    <s v="Sangaredi"/>
    <n v="60"/>
    <s v="Labour + Pulvérisation"/>
    <n v="30"/>
    <n v="0"/>
    <n v="0"/>
    <s v="4 mois"/>
    <d v="2023-03-05T00:00:00"/>
    <s v="pour le mois de mars 2023"/>
    <s v="Elhadj Souaré Mamadou Dian"/>
    <s v="Riz"/>
    <x v="0"/>
    <m/>
    <m/>
    <x v="0"/>
    <m/>
    <m/>
    <m/>
    <m/>
  </r>
  <r>
    <d v="2023-02-21T14:44:55"/>
    <s v="Boké"/>
    <s v="boké centre"/>
    <s v="Individuel"/>
    <s v="Lansana Dramé"/>
    <n v="623832792"/>
    <n v="0"/>
    <s v="Tanéné"/>
    <n v="25"/>
    <s v="Labour + Pulvérisation"/>
    <n v="40"/>
    <n v="0"/>
    <n v="0"/>
    <s v="4 mois"/>
    <d v="2023-03-10T00:00:00"/>
    <s v="pour le mois de mars 2023"/>
    <s v="Elhadj Souaré Mamadou Dian"/>
    <s v="Riz"/>
    <x v="0"/>
    <m/>
    <m/>
    <x v="0"/>
    <m/>
    <m/>
    <m/>
    <m/>
  </r>
  <r>
    <d v="2023-02-21T14:49:52"/>
    <s v="Boké"/>
    <s v="boké centre"/>
    <s v="Individuel"/>
    <s v="Alia sampou"/>
    <n v="625763959"/>
    <n v="0"/>
    <s v="Dabiss"/>
    <n v="60"/>
    <s v="Labour + Pulvérisation"/>
    <n v="12"/>
    <n v="0"/>
    <n v="0"/>
    <s v="4 mois"/>
    <d v="2023-02-15T00:00:00"/>
    <s v="pour le mois de mars 2023"/>
    <s v="Elhadj Souaré Mamadou Dian"/>
    <s v="Riz"/>
    <x v="0"/>
    <m/>
    <m/>
    <x v="0"/>
    <m/>
    <m/>
    <m/>
    <m/>
  </r>
  <r>
    <d v="2023-02-21T14:54:22"/>
    <s v="Boké"/>
    <s v="boké centre"/>
    <s v="Individuel"/>
    <s v="Alia Bangoura"/>
    <n v="620231554"/>
    <n v="0"/>
    <s v="Kamsar"/>
    <n v="47"/>
    <s v="Labour + Pulvérisation"/>
    <n v="7"/>
    <n v="0"/>
    <n v="0"/>
    <s v="4 mois"/>
    <d v="2023-06-01T00:00:00"/>
    <s v="dans kamsar à kabogossy"/>
    <s v="Elhadj Souaré Mamadou Dian"/>
    <s v="Riz"/>
    <x v="0"/>
    <m/>
    <m/>
    <x v="0"/>
    <m/>
    <m/>
    <m/>
    <m/>
  </r>
  <r>
    <d v="2023-02-21T14:58:51"/>
    <s v="Boké"/>
    <s v="boké centre"/>
    <s v="Individuel"/>
    <s v="Ousmane Deen Diaby"/>
    <n v="625115036"/>
    <n v="0"/>
    <s v="Tanéné"/>
    <n v="18"/>
    <s v="Labour + Pulvérisation"/>
    <n v="40"/>
    <n v="0"/>
    <n v="0"/>
    <s v="4 mois"/>
    <d v="2023-03-05T00:00:00"/>
    <s v="pour le mois de mars 2023"/>
    <s v="Elhadj Souaré Mamadou Dian"/>
    <s v="Riz"/>
    <x v="0"/>
    <m/>
    <m/>
    <x v="0"/>
    <m/>
    <m/>
    <m/>
    <m/>
  </r>
  <r>
    <d v="2023-02-21T15:06:52"/>
    <s v="Boké"/>
    <s v="boké centre"/>
    <s v="Individuel"/>
    <s v="Abdoulaye Camara"/>
    <n v="622377618"/>
    <n v="0"/>
    <s v="Kanfarandé"/>
    <n v="50"/>
    <s v="Labour + Pulvérisation"/>
    <n v="40"/>
    <n v="0"/>
    <n v="0"/>
    <s v="4 mois"/>
    <d v="2023-03-10T00:00:00"/>
    <s v="pour le mois de mars 2023"/>
    <s v="Elhadj Souaré Mamadou Dian"/>
    <s v="Riz"/>
    <x v="0"/>
    <m/>
    <m/>
    <x v="0"/>
    <m/>
    <m/>
    <m/>
    <m/>
  </r>
  <r>
    <d v="2023-02-21T15:15:04"/>
    <s v="Boké"/>
    <s v="boké centre"/>
    <s v="Individuel"/>
    <s v="Souleymane Souaré"/>
    <n v="623176610"/>
    <n v="0"/>
    <s v="Kanfarandé"/>
    <n v="50"/>
    <s v="Labour + Pulvérisation"/>
    <n v="20"/>
    <s v="non"/>
    <n v="0"/>
    <s v="4 mois"/>
    <d v="2023-06-01T00:00:00"/>
    <s v="au mois de juin 2024"/>
    <s v="Elhadj Souaré Mamadou Dian"/>
    <s v="Riz"/>
    <x v="0"/>
    <m/>
    <m/>
    <x v="0"/>
    <m/>
    <m/>
    <m/>
    <m/>
  </r>
  <r>
    <d v="2023-02-21T15:22:30"/>
    <s v="Boké"/>
    <s v="boké centre"/>
    <s v="Individuel"/>
    <s v="Mamadou Arafan Camara"/>
    <n v="623806610"/>
    <n v="0"/>
    <s v="Kanfarandé"/>
    <n v="50"/>
    <s v="Labour + Pulvérisation"/>
    <n v="30"/>
    <n v="0"/>
    <n v="0"/>
    <s v="4 mois"/>
    <d v="2023-06-01T00:00:00"/>
    <s v="au mois de juin 2023"/>
    <s v="Elhadj Souaré Mamadou Dian"/>
    <s v="Riz"/>
    <x v="0"/>
    <m/>
    <m/>
    <x v="0"/>
    <m/>
    <m/>
    <m/>
    <m/>
  </r>
  <r>
    <d v="2023-02-21T16:20:22"/>
    <s v="Dinguiraye"/>
    <s v="Dinguiraye centre"/>
    <s v="Individuel"/>
    <s v="Sanfan kouyate"/>
    <n v="628779113"/>
    <m/>
    <s v="Banora"/>
    <n v="72"/>
    <s v="Déchaumage"/>
    <n v="5"/>
    <s v="Dissiba-oulén"/>
    <s v="Dissiba-oulén"/>
    <s v="5 mois"/>
    <d v="2023-02-22T00:00:00"/>
    <m/>
    <s v="Mamadou 1 Diallo"/>
    <s v="Riz"/>
    <x v="1"/>
    <n v="5"/>
    <d v="2023-02-21T00:00:00"/>
    <x v="5"/>
    <m/>
    <m/>
    <m/>
    <m/>
  </r>
  <r>
    <d v="2023-02-25T08:09:47"/>
    <s v="Guéckédou"/>
    <s v="Centre de Gueckédou"/>
    <s v="Individuel"/>
    <s v="Baba Cherif"/>
    <n v="621902292"/>
    <m/>
    <s v="Guendembou"/>
    <n v="13"/>
    <s v="Déchaumage"/>
    <n v="5"/>
    <s v="Ck90"/>
    <s v="Inconnu"/>
    <s v="5 mois"/>
    <d v="2023-02-25T00:00:00"/>
    <m/>
    <s v="Lamine Condé"/>
    <s v="Riz"/>
    <x v="1"/>
    <n v="5"/>
    <d v="2023-02-25T00:00:00"/>
    <x v="5"/>
    <m/>
    <m/>
    <m/>
    <m/>
  </r>
  <r>
    <d v="2023-02-25T16:42:06"/>
    <s v="Guéckédou"/>
    <s v="Centre de Gueckédou"/>
    <s v="Individuel"/>
    <s v="Sidy Oularé"/>
    <n v="624468963"/>
    <m/>
    <s v="Guendembou"/>
    <n v="18"/>
    <s v="Labour - uniquement"/>
    <n v="1"/>
    <s v="Doukono"/>
    <s v="Inconnu"/>
    <s v="6 mois"/>
    <d v="2023-02-28T00:00:00"/>
    <m/>
    <s v="Lamine Condé"/>
    <s v="Riz"/>
    <x v="0"/>
    <m/>
    <m/>
    <x v="0"/>
    <m/>
    <m/>
    <m/>
    <m/>
  </r>
  <r>
    <d v="2023-02-26T20:08:26"/>
    <s v="Kankan"/>
    <s v="Bordeaux"/>
    <s v="Individuel"/>
    <s v="Sory Camara"/>
    <n v="622038835"/>
    <n v="0"/>
    <s v="Moribayah"/>
    <n v="95"/>
    <s v="Déchaumage"/>
    <n v="15"/>
    <s v="Bangalyba malo"/>
    <s v="Variété locale"/>
    <s v="6 mois"/>
    <d v="2023-03-03T00:00:00"/>
    <s v="Producteur moins"/>
    <s v="Moussa Alamako Keita"/>
    <s v="Riz"/>
    <x v="1"/>
    <n v="15"/>
    <d v="2023-02-26T00:00:00"/>
    <x v="8"/>
    <m/>
    <m/>
    <m/>
    <m/>
  </r>
  <r>
    <d v="2023-02-28T12:37:31"/>
    <s v="Guéckédou"/>
    <s v="Centre de Gueckédou"/>
    <s v="Individuel"/>
    <s v="Elhadji Sidiky Cherif"/>
    <n v="622549090"/>
    <m/>
    <s v="Guendembou"/>
    <n v="13"/>
    <s v="Déchaumage"/>
    <n v="5"/>
    <s v="Ck 90"/>
    <s v="Inconnu"/>
    <s v="5 mois"/>
    <d v="2023-02-23T00:00:00"/>
    <m/>
    <s v="Lamine Condé"/>
    <s v="Riz"/>
    <x v="1"/>
    <n v="5"/>
    <d v="2023-02-28T00:00:00"/>
    <x v="8"/>
    <m/>
    <m/>
    <m/>
    <m/>
  </r>
  <r>
    <d v="2023-02-28T12:49:31"/>
    <s v="Guéckédou"/>
    <s v="Centre de Gueckédou"/>
    <s v="Individuel"/>
    <s v="Mamady Sanoh"/>
    <n v="622869482"/>
    <m/>
    <s v="Guendembou"/>
    <n v="13"/>
    <s v="Labour - uniquement"/>
    <n v="4"/>
    <s v="Gombo et Aubergine"/>
    <s v="Pour le Gombo : Abelmoschus esculentus ; Pour l'aubergine : Solanum mélongena."/>
    <s v="3 mois"/>
    <d v="2023-02-10T00:00:00"/>
    <m/>
    <s v="Lamine Condé"/>
    <s v="Culture maraichère"/>
    <x v="0"/>
    <m/>
    <m/>
    <x v="0"/>
    <m/>
    <m/>
    <m/>
    <m/>
  </r>
  <r>
    <d v="2023-02-28T13:28:15"/>
    <s v="Guéckédou"/>
    <s v="Centre de Gueckédou"/>
    <s v="Individuel"/>
    <s v="Sàa Wanalé Milimono"/>
    <n v="622577038"/>
    <m/>
    <s v="Guéckédou Centre"/>
    <n v="5"/>
    <s v="Labour - uniquement"/>
    <n v="3"/>
    <s v="K5"/>
    <s v="Zea mais"/>
    <s v="3 mois"/>
    <d v="2023-02-19T00:00:00"/>
    <m/>
    <s v="Lamine Condé"/>
    <s v="Maïs"/>
    <x v="0"/>
    <m/>
    <m/>
    <x v="0"/>
    <m/>
    <m/>
    <m/>
    <m/>
  </r>
  <r>
    <d v="2023-03-01T10:04:30"/>
    <s v="Guéckédou"/>
    <s v="Centre de Gueckédou"/>
    <s v="Individuel"/>
    <s v="Adama Keira"/>
    <n v="624400963"/>
    <m/>
    <s v="Guendembou"/>
    <n v="13"/>
    <s v="Déchaumage"/>
    <n v="3"/>
    <s v="Ck90"/>
    <s v="Inconnu"/>
    <s v="5 mois"/>
    <d v="2023-03-01T00:00:00"/>
    <m/>
    <s v="Lamine Condé"/>
    <s v="Riz"/>
    <x v="1"/>
    <n v="3"/>
    <d v="2023-03-01T00:00:00"/>
    <x v="8"/>
    <m/>
    <m/>
    <m/>
    <m/>
  </r>
  <r>
    <d v="2023-03-01T12:48:41"/>
    <s v="Kankan"/>
    <s v="Bordeaux"/>
    <s v="Individuel"/>
    <s v="Fodé Bangaly condé"/>
    <n v="628045423"/>
    <n v="0"/>
    <s v="Missamana"/>
    <n v="30"/>
    <s v="Labour - uniquement"/>
    <n v="10"/>
    <s v="Ck8o1"/>
    <s v="Variété améliorée"/>
    <s v="4 mois"/>
    <d v="2023-03-26T00:00:00"/>
    <s v="Producteur moins"/>
    <s v="Moussa Alamako Keita"/>
    <s v="Riz"/>
    <x v="0"/>
    <m/>
    <m/>
    <x v="0"/>
    <m/>
    <m/>
    <m/>
    <m/>
  </r>
  <r>
    <d v="2023-03-01T12:55:32"/>
    <s v="Kankan"/>
    <s v="Bordeaux"/>
    <s v="Collectif"/>
    <s v="Amadou DOUMBOUYA"/>
    <n v="621812730"/>
    <n v="0"/>
    <s v="Boula"/>
    <n v="155"/>
    <s v="Labour + Pulvérisation"/>
    <n v="25"/>
    <s v="Kaoulaka"/>
    <s v="Variété locale"/>
    <s v="4 mois"/>
    <d v="2023-05-15T00:00:00"/>
    <s v="Grand producteur"/>
    <s v="Moussa Alamako Keita"/>
    <s v="Riz"/>
    <x v="0"/>
    <m/>
    <m/>
    <x v="0"/>
    <m/>
    <m/>
    <m/>
    <m/>
  </r>
  <r>
    <d v="2023-03-01T13:02:53"/>
    <s v="Kankan"/>
    <s v="Bordeaux"/>
    <s v="Individuel"/>
    <s v="Soulemane Sangare"/>
    <n v="623463992"/>
    <n v="0"/>
    <s v="Koumban"/>
    <n v="80"/>
    <s v="Labour - uniquement"/>
    <n v="25"/>
    <s v="Draponi"/>
    <s v="Variété locale"/>
    <s v="6 mois"/>
    <d v="2023-05-05T00:00:00"/>
    <s v="Grand producteur"/>
    <s v="Moussa Alamako Keita"/>
    <s v="Riz"/>
    <x v="0"/>
    <m/>
    <m/>
    <x v="0"/>
    <m/>
    <m/>
    <m/>
    <m/>
  </r>
  <r>
    <d v="2023-03-01T13:08:34"/>
    <s v="Kankan"/>
    <s v="Bordeaux"/>
    <s v="Collectif"/>
    <s v="Société Agroalimentaire de Guinée"/>
    <n v="610592067"/>
    <n v="0"/>
    <s v="Moribayah"/>
    <n v="100"/>
    <s v="Labour + Pulvérisation"/>
    <n v="50"/>
    <s v="Lanyeri"/>
    <s v="Variété locale"/>
    <s v="6 mois"/>
    <d v="2023-05-10T00:00:00"/>
    <s v="Grand producteur"/>
    <s v="Moussa Alamako Keita"/>
    <s v="Riz"/>
    <x v="0"/>
    <m/>
    <m/>
    <x v="0"/>
    <m/>
    <m/>
    <m/>
    <m/>
  </r>
  <r>
    <d v="2023-03-01T13:14:13"/>
    <s v="Kankan"/>
    <s v="Bordeaux"/>
    <s v="Individuel"/>
    <s v="Moussa Doumbouya"/>
    <n v="621739984"/>
    <n v="0"/>
    <s v="Moribayah"/>
    <n v="95"/>
    <s v="Labour - uniquement"/>
    <n v="10"/>
    <s v="Bangalyba Malo"/>
    <s v="Variété locale"/>
    <s v="6 mois"/>
    <d v="2023-05-25T00:00:00"/>
    <s v="Producteur moins"/>
    <s v="Moussa Alamako Keita"/>
    <s v="Riz"/>
    <x v="0"/>
    <m/>
    <m/>
    <x v="0"/>
    <m/>
    <m/>
    <m/>
    <m/>
  </r>
  <r>
    <d v="2023-03-05T12:53:44"/>
    <s v="Dinguiraye"/>
    <s v="Dinguiraye centre"/>
    <s v="Individuel"/>
    <s v="Mory sanoh"/>
    <n v="622497980"/>
    <m/>
    <s v="Banora"/>
    <n v="67"/>
    <s v="Déchaumage"/>
    <n v="4"/>
    <s v="Dissi"/>
    <s v="Dissi"/>
    <s v="4 mois"/>
    <d v="2023-03-06T00:00:00"/>
    <m/>
    <s v="Mamadou 1 Diallo"/>
    <s v="Riz"/>
    <x v="1"/>
    <n v="4"/>
    <d v="2023-03-05T00:00:00"/>
    <x v="9"/>
    <m/>
    <m/>
    <m/>
    <m/>
  </r>
  <r>
    <d v="2023-03-05T14:21:17"/>
    <s v="Forécariah"/>
    <s v="Centre ville de forecariah (secteur pepinière)"/>
    <s v="Collectif"/>
    <s v="Moussa Diane"/>
    <n v="611143366"/>
    <m/>
    <s v="Farmoriah"/>
    <n v="35"/>
    <s v="Labour - uniquement"/>
    <n v="2"/>
    <s v="Barrone"/>
    <s v="Barrone"/>
    <s v="9 mois"/>
    <d v="2023-03-06T00:00:00"/>
    <m/>
    <s v="Moussa Diakité"/>
    <s v="Ananas"/>
    <x v="1"/>
    <n v="2"/>
    <d v="2023-03-05T00:00:00"/>
    <x v="9"/>
    <m/>
    <m/>
    <m/>
    <m/>
  </r>
  <r>
    <d v="2023-03-05T14:48:23"/>
    <s v="Forécariah"/>
    <s v="Forecariah centre ville (secteur pepinière)"/>
    <s v="Individuel"/>
    <s v="Sekou Toure"/>
    <n v="627225156"/>
    <m/>
    <s v="Alassoya"/>
    <n v="25"/>
    <s v="Labour - uniquement"/>
    <n v="2"/>
    <s v="Kondeyah"/>
    <s v="kondeyah"/>
    <s v="4 mois"/>
    <d v="2023-03-08T00:00:00"/>
    <m/>
    <s v="Moussa Diakité"/>
    <s v="Riz"/>
    <x v="1"/>
    <n v="2"/>
    <d v="2023-03-05T00:00:00"/>
    <x v="9"/>
    <m/>
    <m/>
    <m/>
    <m/>
  </r>
  <r>
    <d v="2023-03-06T10:10:58"/>
    <s v="Siguiri"/>
    <s v="Siguiri"/>
    <s v="Individuel"/>
    <s v="Mamady KEITA"/>
    <n v="621063863"/>
    <m/>
    <s v="Siguiri Centre"/>
    <n v="9"/>
    <s v="Déchaumage"/>
    <n v="7"/>
    <s v="Dissibawoulen"/>
    <s v="Dissibawoulen"/>
    <s v="4 mois"/>
    <d v="2023-03-05T00:00:00"/>
    <m/>
    <s v="Nanamoudou ll Magassouba"/>
    <s v="Riz"/>
    <x v="1"/>
    <n v="7"/>
    <d v="2023-03-05T00:00:00"/>
    <x v="9"/>
    <m/>
    <m/>
    <m/>
    <m/>
  </r>
  <r>
    <d v="2023-03-06T10:13:53"/>
    <s v="Siguiri"/>
    <s v="Siguiri"/>
    <s v="Individuel"/>
    <s v="Fode MAGASSOUBA"/>
    <n v="628022657"/>
    <m/>
    <s v="Siguiri Centre"/>
    <n v="10"/>
    <s v="Déchaumage"/>
    <n v="2"/>
    <s v="Nenkin"/>
    <s v="Nenkin"/>
    <s v="3 mois"/>
    <d v="2023-03-04T00:00:00"/>
    <m/>
    <s v="Nanamoudou ll Magassouba"/>
    <s v="Riz"/>
    <x v="1"/>
    <n v="2"/>
    <d v="2023-03-05T00:00:00"/>
    <x v="9"/>
    <m/>
    <m/>
    <m/>
    <m/>
  </r>
  <r>
    <d v="2023-03-09T11:10:49"/>
    <s v="Siguiri"/>
    <s v="Siguiri"/>
    <s v="Collectif"/>
    <s v="Alpha CAMARA"/>
    <n v="621550643"/>
    <m/>
    <s v="Maléa"/>
    <n v="90"/>
    <s v="Déchaumage"/>
    <n v="10"/>
    <s v="Nenkin, Nerica19, Dioukémé..."/>
    <s v="Nenkin...."/>
    <s v="4 mois"/>
    <d v="2023-03-11T00:00:00"/>
    <m/>
    <s v="Nanamoudou ll Magassouba"/>
    <s v="Riz"/>
    <x v="1"/>
    <n v="10"/>
    <d v="2023-03-29T00:00:00"/>
    <x v="10"/>
    <m/>
    <m/>
    <m/>
    <m/>
  </r>
  <r>
    <d v="2023-03-10T15:15:30"/>
    <s v="Kankan"/>
    <s v="Bordeaux"/>
    <s v="Individuel"/>
    <s v="Mamadi kouyate"/>
    <n v="628729650"/>
    <n v="0"/>
    <s v="Bate-Nafadji"/>
    <n v="95"/>
    <s v="Déchaumage"/>
    <n v="1"/>
    <s v="Nenkemba"/>
    <s v="Variété locale"/>
    <s v="6 mois"/>
    <d v="2023-03-11T00:00:00"/>
    <s v="Petit producteur"/>
    <s v="Moussa Alamako Keita"/>
    <s v="Riz"/>
    <x v="1"/>
    <n v="1"/>
    <d v="2023-03-21T00:00:00"/>
    <x v="7"/>
    <m/>
    <m/>
    <m/>
    <m/>
  </r>
  <r>
    <d v="2023-03-13T12:46:09"/>
    <s v="Macenta"/>
    <s v="Direction préfectorale de l'agriculture et de l'élevage de Macenta"/>
    <s v="Individuel"/>
    <s v="Pauline zoumanigui"/>
    <n v="621775680"/>
    <m/>
    <s v="Ourémai"/>
    <n v="15"/>
    <s v="Labour - uniquement"/>
    <n v="2"/>
    <s v="Djoukeme"/>
    <s v="Oriza sativa"/>
    <s v="5 mois"/>
    <d v="2023-03-21T00:00:00"/>
    <s v="Pas"/>
    <s v="Alexandre Kpoghomou"/>
    <s v="Riz"/>
    <x v="1"/>
    <n v="2"/>
    <d v="2023-03-14T00:00:00"/>
    <x v="11"/>
    <m/>
    <m/>
    <m/>
    <m/>
  </r>
  <r>
    <d v="2023-03-13T13:04:38"/>
    <s v="Guéckédou"/>
    <s v="Centre de Gueckédou"/>
    <s v="Individuel"/>
    <s v="Marie Réné Milimono"/>
    <n v="628436179"/>
    <m/>
    <s v="Guéckédou Centre"/>
    <n v="3"/>
    <s v="Labour - uniquement"/>
    <n v="3"/>
    <s v="Dôcronin"/>
    <s v="Zea mais"/>
    <s v="3 mois"/>
    <d v="2023-02-16T00:00:00"/>
    <m/>
    <s v="Lamine Condé"/>
    <s v="Maïs"/>
    <x v="1"/>
    <n v="3"/>
    <d v="2023-02-16T00:00:00"/>
    <x v="2"/>
    <m/>
    <m/>
    <m/>
    <m/>
  </r>
  <r>
    <d v="2023-03-15T12:50:13"/>
    <s v="Kankan"/>
    <s v="Bordeaux"/>
    <s v="Individuel"/>
    <s v="Abdoulaye Soumah"/>
    <n v="622540775"/>
    <n v="0"/>
    <s v="Moribayah"/>
    <n v="100"/>
    <s v="Labour - uniquement"/>
    <n v="80"/>
    <s v="Forotokolo,Nenken"/>
    <s v="Variété locale"/>
    <s v="6 mois"/>
    <d v="2023-04-05T00:00:00"/>
    <s v="Grand producteur"/>
    <s v="Moussa Alamako Keita"/>
    <s v="Riz"/>
    <x v="0"/>
    <m/>
    <m/>
    <x v="0"/>
    <m/>
    <m/>
    <m/>
    <m/>
  </r>
  <r>
    <d v="2023-03-15T12:59:51"/>
    <s v="Kankan"/>
    <s v="Bordeaux"/>
    <s v="Individuel"/>
    <s v="Mamadi condé"/>
    <n v="628483278"/>
    <n v="0"/>
    <s v="Sabadou-Baranama"/>
    <n v="85"/>
    <s v="Déchaumage"/>
    <n v="10"/>
    <s v="Tchotcho"/>
    <s v="Variété locale"/>
    <s v="6 mois"/>
    <d v="2023-04-19T00:00:00"/>
    <s v="Producteur moins"/>
    <s v="Moussa Alamako Keita"/>
    <s v="Riz"/>
    <x v="1"/>
    <n v="10"/>
    <d v="2023-03-21T00:00:00"/>
    <x v="7"/>
    <m/>
    <m/>
    <m/>
    <m/>
  </r>
  <r>
    <d v="2023-03-15T17:58:56"/>
    <s v="Siguiri"/>
    <s v="Siguiri"/>
    <s v="Individuel"/>
    <s v="Djantoun Mamadi CAMARA"/>
    <n v="624196807"/>
    <m/>
    <s v="Maléa"/>
    <n v="75"/>
    <s v="Déchaumage"/>
    <n v="2"/>
    <s v="Dioukeme"/>
    <s v="Dioukémé"/>
    <s v="5 mois"/>
    <d v="2023-03-19T00:00:00"/>
    <m/>
    <s v="Nanamoudou ll Magassouba"/>
    <s v="Riz"/>
    <x v="1"/>
    <n v="2"/>
    <d v="2023-03-20T00:00:00"/>
    <x v="7"/>
    <m/>
    <m/>
    <m/>
    <m/>
  </r>
  <r>
    <d v="2023-03-15T18:01:51"/>
    <s v="Siguiri"/>
    <s v="Siguiri"/>
    <s v="Individuel"/>
    <s v="Saliou CAMARA"/>
    <n v="629394171"/>
    <m/>
    <s v="Maléa"/>
    <n v="75"/>
    <s v="Déchaumage"/>
    <n v="2"/>
    <s v="Dioukémé"/>
    <s v="Dioukémé"/>
    <s v="5 mois"/>
    <d v="2023-03-20T00:00:00"/>
    <m/>
    <s v="Nanamoudou ll Magassouba"/>
    <s v="Riz"/>
    <x v="1"/>
    <n v="2"/>
    <d v="2023-03-20T00:00:00"/>
    <x v="7"/>
    <m/>
    <m/>
    <m/>
    <m/>
  </r>
  <r>
    <d v="2023-03-17T09:46:10"/>
    <s v="Macenta"/>
    <s v="Direction préfectorale de l'agriculture et de l'élevage de Macenta"/>
    <s v="Individuel"/>
    <s v="Kemo kourouma"/>
    <n v="628612762"/>
    <m/>
    <s v="Macenta Centre"/>
    <n v="8"/>
    <s v="Labour - uniquement"/>
    <n v="2"/>
    <s v="Djoukeme"/>
    <s v="Oriza sativa"/>
    <s v="5 mois"/>
    <d v="2023-03-16T00:00:00"/>
    <s v="Pas"/>
    <s v="Alexandre Kpoghomou"/>
    <s v="Riz"/>
    <x v="1"/>
    <n v="2"/>
    <d v="2023-03-16T00:00:00"/>
    <x v="11"/>
    <m/>
    <m/>
    <m/>
    <m/>
  </r>
  <r>
    <d v="2023-03-19T17:14:31"/>
    <s v="Guéckédou"/>
    <s v="Centre de Gueckédou"/>
    <s v="Individuel"/>
    <s v="Aly kourouma"/>
    <n v="628199581"/>
    <m/>
    <s v="Guéckédou Centre"/>
    <n v="5"/>
    <s v="Labour - uniquement"/>
    <n v="1"/>
    <s v="Abou"/>
    <s v="Inconnu"/>
    <s v="5 mois"/>
    <d v="2023-03-20T00:00:00"/>
    <s v="NB :La superficie à labourée est 1,5 ha."/>
    <s v="Lamine Condé"/>
    <s v="Riz"/>
    <x v="1"/>
    <n v="1.5"/>
    <d v="2023-03-20T00:00:00"/>
    <x v="7"/>
    <m/>
    <m/>
    <m/>
    <m/>
  </r>
  <r>
    <d v="2023-03-20T08:01:01"/>
    <s v="Macenta"/>
    <s v="Direction préfectorale de l'agriculture et de l'élevage de Macenta"/>
    <s v="Individuel"/>
    <s v="Lanciné Diallo"/>
    <n v="621573030"/>
    <m/>
    <s v="Kouankan"/>
    <n v="80"/>
    <s v="Labour - uniquement"/>
    <n v="20"/>
    <s v="Chinoiba et djoukeme"/>
    <s v="Oriza sativa"/>
    <s v="5 mois"/>
    <d v="2023-03-22T00:00:00"/>
    <s v="Pas"/>
    <s v="Alexandre Kpoghomou"/>
    <s v="Riz"/>
    <x v="1"/>
    <n v="10"/>
    <d v="2023-03-20T00:00:00"/>
    <x v="7"/>
    <m/>
    <m/>
    <m/>
    <m/>
  </r>
  <r>
    <d v="2023-03-20T08:07:52"/>
    <s v="Macenta"/>
    <s v="Direction préfectorale de l'agriculture et de l'élevage de Macenta"/>
    <s v="Individuel"/>
    <s v="Zézé kourouma"/>
    <n v="628649465"/>
    <m/>
    <s v="Kouankan"/>
    <n v="80"/>
    <s v="Labour - uniquement"/>
    <n v="5"/>
    <s v="Moribanara"/>
    <s v="Oriza sativa"/>
    <s v="5 mois"/>
    <d v="2023-03-24T00:00:00"/>
    <s v="Pas"/>
    <s v="Alexandre Kpoghomou"/>
    <s v="Riz"/>
    <x v="0"/>
    <m/>
    <m/>
    <x v="0"/>
    <m/>
    <m/>
    <m/>
    <m/>
  </r>
  <r>
    <d v="2023-03-20T11:38:15"/>
    <s v="Macenta"/>
    <s v="Direction préfectorale de l'agriculture et de l'élevage de Macenta"/>
    <s v="Individuel"/>
    <s v="Hadja Simita FOFANA"/>
    <n v="622936183"/>
    <m/>
    <s v="Semgbédou"/>
    <n v="12"/>
    <s v="Labour + Pulvérisation"/>
    <n v="25"/>
    <s v="Samaka"/>
    <s v="Oriza sativa"/>
    <s v="5 mois"/>
    <d v="2023-03-30T00:00:00"/>
    <s v="Pas"/>
    <s v="Alexandre Kpoghomou"/>
    <s v="Riz"/>
    <x v="0"/>
    <m/>
    <m/>
    <x v="0"/>
    <m/>
    <m/>
    <m/>
    <m/>
  </r>
  <r>
    <d v="2023-03-20T17:31:10"/>
    <s v="Siguiri"/>
    <s v="Siguiri"/>
    <s v="Individuel"/>
    <s v="Baba CAMARA"/>
    <n v="622385518"/>
    <m/>
    <s v="Maléa"/>
    <n v="75"/>
    <s v="Déchaumage"/>
    <n v="3"/>
    <s v="Dioukémé"/>
    <s v="Dioukémé"/>
    <s v="5 mois"/>
    <d v="2023-03-17T00:00:00"/>
    <m/>
    <s v="Nanamoudou ll Magassouba"/>
    <s v="Riz"/>
    <x v="1"/>
    <n v="3"/>
    <d v="2023-03-21T00:00:00"/>
    <x v="7"/>
    <m/>
    <m/>
    <m/>
    <m/>
  </r>
  <r>
    <d v="2023-03-20T17:34:24"/>
    <s v="Siguiri"/>
    <s v="Siguiri"/>
    <s v="Individuel"/>
    <s v="Sekou Kourouma"/>
    <n v="610507642"/>
    <m/>
    <s v="Maléa"/>
    <n v="75"/>
    <s v="Déchaumage"/>
    <n v="2"/>
    <s v="Dioukémé"/>
    <s v="Dioukémé"/>
    <s v="5 mois"/>
    <d v="2023-03-18T00:00:00"/>
    <m/>
    <s v="Nanamoudou ll Magassouba"/>
    <s v="Riz"/>
    <x v="1"/>
    <n v="2"/>
    <d v="2023-03-21T00:00:00"/>
    <x v="7"/>
    <m/>
    <m/>
    <m/>
    <m/>
  </r>
  <r>
    <d v="2023-03-20T17:37:12"/>
    <s v="Siguiri"/>
    <s v="Siguiri"/>
    <s v="Individuel"/>
    <s v="Billo Fofana"/>
    <n v="629208918"/>
    <m/>
    <s v="Maléa"/>
    <n v="80"/>
    <s v="Déchaumage"/>
    <n v="3"/>
    <s v="Dioukémé"/>
    <s v="Dioukémé"/>
    <s v="5 mois"/>
    <d v="2023-03-18T00:00:00"/>
    <m/>
    <s v="Nanamoudou ll Magassouba"/>
    <s v="Riz"/>
    <x v="1"/>
    <n v="3"/>
    <d v="2023-03-21T00:00:00"/>
    <x v="7"/>
    <m/>
    <m/>
    <m/>
    <m/>
  </r>
  <r>
    <d v="2023-03-20T17:41:18"/>
    <s v="Siguiri"/>
    <s v="Siguiri"/>
    <s v="Collectif"/>
    <s v="Ansoumane CAMARA"/>
    <n v="628834336"/>
    <m/>
    <s v="Maléa"/>
    <n v="75"/>
    <s v="Déchaumage"/>
    <n v="24"/>
    <s v="Dioukémé, Nenkin, Dissibawoulen...."/>
    <s v="Dioukémé, Nenkin, Dissibawoulen..."/>
    <s v="5 mois"/>
    <d v="2023-03-25T00:00:00"/>
    <m/>
    <s v="Nanamoudou ll Magassouba"/>
    <s v="Riz"/>
    <x v="1"/>
    <n v="24"/>
    <d v="2023-03-21T00:00:00"/>
    <x v="7"/>
    <m/>
    <m/>
    <m/>
    <m/>
  </r>
  <r>
    <d v="2023-03-21T10:26:54"/>
    <s v="Guéckédou"/>
    <s v="Centre de Gueckédou"/>
    <s v="Individuel"/>
    <s v="N'Bemba Moundékeno"/>
    <n v="622042658"/>
    <m/>
    <s v="Guéckédou Centre"/>
    <n v="2"/>
    <s v="Déchaumage"/>
    <n v="2"/>
    <s v="Elyon"/>
    <s v="Inconnu"/>
    <s v="4 mois"/>
    <d v="2023-03-22T00:00:00"/>
    <m/>
    <s v="Lamine Condé"/>
    <s v="Riz"/>
    <x v="1"/>
    <n v="3.5"/>
    <d v="2023-03-21T00:00:00"/>
    <x v="7"/>
    <m/>
    <m/>
    <m/>
    <m/>
  </r>
  <r>
    <d v="2023-03-21T11:01:33"/>
    <s v="Macenta"/>
    <s v="Direction préfectorale de l'agriculture et de l'élevage de Macenta"/>
    <s v="Individuel"/>
    <s v="Esther dopavogui"/>
    <n v="624367136"/>
    <m/>
    <s v="Ourémai"/>
    <n v="12"/>
    <s v="Labour - uniquement"/>
    <n v="1"/>
    <s v="Kpaghaï"/>
    <s v="Oriza sativa"/>
    <s v="5 mois"/>
    <d v="2023-03-17T00:00:00"/>
    <s v="Pas"/>
    <s v="Alexandre Kpoghomou"/>
    <s v="Riz"/>
    <x v="1"/>
    <n v="1"/>
    <d v="2023-03-20T00:00:00"/>
    <x v="7"/>
    <m/>
    <m/>
    <m/>
    <m/>
  </r>
  <r>
    <d v="2023-03-21T11:08:30"/>
    <s v="Macenta"/>
    <s v="Direction préfectorale de l'agriculture et de l'élevage de Macenta"/>
    <s v="Individuel"/>
    <s v="Aly keita"/>
    <n v="628095010"/>
    <m/>
    <s v="Macenta Centre"/>
    <n v="12"/>
    <s v="Labour - uniquement"/>
    <n v="2"/>
    <s v="Malogbè"/>
    <s v="Oriza sativa"/>
    <s v="5 mois"/>
    <d v="2023-03-21T00:00:00"/>
    <s v="Pas"/>
    <s v="Alexandre Kpoghomou"/>
    <s v="Riz"/>
    <x v="1"/>
    <n v="2"/>
    <d v="2023-03-22T00:00:00"/>
    <x v="7"/>
    <m/>
    <m/>
    <m/>
    <m/>
  </r>
  <r>
    <d v="2023-03-21T12:15:49"/>
    <s v="Boké"/>
    <s v="boké centre"/>
    <s v="Individuel"/>
    <s v="Galaï Daniel"/>
    <n v="628193453"/>
    <n v="0"/>
    <s v="Boké Centre"/>
    <n v="12"/>
    <s v="Labour + Pulvérisation"/>
    <n v="6"/>
    <s v="non"/>
    <s v="non"/>
    <s v="4 mois"/>
    <d v="2023-04-01T00:00:00"/>
    <s v="c'est dans la commune urbaine de Boké"/>
    <s v="Elhadj Souaré Mamadou Dian"/>
    <s v="Riz"/>
    <x v="0"/>
    <m/>
    <m/>
    <x v="0"/>
    <m/>
    <m/>
    <m/>
    <m/>
  </r>
  <r>
    <d v="2023-03-21T16:46:24"/>
    <s v="Kissidougou"/>
    <s v="Commune urbaine"/>
    <s v="Individuel"/>
    <s v="Colonel Mamady Camara"/>
    <n v="622588398"/>
    <n v="622588398"/>
    <s v="Sangardo"/>
    <n v="18"/>
    <s v="Déchaumage"/>
    <n v="8"/>
    <s v="CK90"/>
    <s v="CK90"/>
    <s v="5 mois"/>
    <d v="2023-11-20T00:00:00"/>
    <s v="Mansoya"/>
    <s v="Mamady 2 Camara"/>
    <s v="Riz"/>
    <x v="0"/>
    <m/>
    <m/>
    <x v="0"/>
    <m/>
    <m/>
    <m/>
    <m/>
  </r>
  <r>
    <d v="2023-03-22T12:40:08"/>
    <s v="Guéckédou"/>
    <s v="Centre de Gueckédou"/>
    <s v="Individuel"/>
    <s v="Mamady Fofana"/>
    <n v="620940903"/>
    <m/>
    <s v="Guendembou"/>
    <n v="25"/>
    <s v="Labour - uniquement"/>
    <n v="2"/>
    <s v="Chinois"/>
    <s v="Inconnu"/>
    <s v="3 mois"/>
    <d v="2023-03-23T00:00:00"/>
    <s v="NB: c'est 2,5ha a labouré."/>
    <s v="Lamine Condé"/>
    <s v="Riz"/>
    <x v="1"/>
    <n v="2.5"/>
    <d v="2023-03-22T00:00:00"/>
    <x v="7"/>
    <m/>
    <m/>
    <m/>
    <m/>
  </r>
  <r>
    <d v="2023-03-23T10:05:41"/>
    <s v="Kérouané"/>
    <s v="Centre"/>
    <s v="Individuel"/>
    <s v="Yomba sanoh"/>
    <n v="628204012"/>
    <n v="625448612"/>
    <s v="Banankoro"/>
    <n v="50"/>
    <s v="Déchaumage"/>
    <n v="10"/>
    <s v="Kaoulaka"/>
    <s v="Caolaca"/>
    <s v="6 mois"/>
    <d v="2023-03-24T00:00:00"/>
    <s v="Bien"/>
    <s v="Moussa Kadia Camara"/>
    <s v="Riz"/>
    <x v="1"/>
    <n v="10"/>
    <d v="2023-03-23T00:00:00"/>
    <x v="7"/>
    <m/>
    <m/>
    <m/>
    <m/>
  </r>
  <r>
    <d v="2023-03-23T15:07:17"/>
    <s v="Beyla"/>
    <s v="Centre ville de Beyla (PRODABEK)"/>
    <s v="Individuel"/>
    <s v="Sekou konate"/>
    <n v="622932910"/>
    <m/>
    <s v="Boola"/>
    <n v="45"/>
    <s v="Labour - uniquement"/>
    <n v="5"/>
    <s v="Tchoto"/>
    <s v="Tchocho"/>
    <s v="9 mois"/>
    <d v="2023-03-25T00:00:00"/>
    <m/>
    <s v="Mohamed Billo Sangare"/>
    <s v="Riz"/>
    <x v="1"/>
    <n v="5"/>
    <d v="2023-03-27T00:00:00"/>
    <x v="10"/>
    <m/>
    <m/>
    <m/>
    <m/>
  </r>
  <r>
    <d v="2023-03-24T12:26:43"/>
    <s v="Macenta"/>
    <n v="2"/>
    <s v="Individuel"/>
    <s v="Jean Beavogui"/>
    <n v="622501048"/>
    <m/>
    <s v="Macenta Centre"/>
    <n v="12"/>
    <s v="Pulvérisation - uniquement"/>
    <n v="2"/>
    <s v="Djoukeme"/>
    <s v="Oriza sativa"/>
    <s v="5 mois"/>
    <d v="2023-03-29T00:00:00"/>
    <s v="Pas"/>
    <s v="Alexandre Kpoghomou"/>
    <s v="Riz"/>
    <x v="0"/>
    <m/>
    <m/>
    <x v="0"/>
    <m/>
    <m/>
    <m/>
    <m/>
  </r>
  <r>
    <d v="2023-03-24T12:39:47"/>
    <s v="Macenta"/>
    <s v="Direction préfectorale de l'agriculture et de l'élevage de Macenta"/>
    <s v="Individuel"/>
    <s v="Yomba solano"/>
    <n v="628329575"/>
    <m/>
    <s v="Daro"/>
    <n v="14"/>
    <s v="Labour - uniquement"/>
    <n v="3"/>
    <s v="Abou et djoko"/>
    <s v="Oriza sativa"/>
    <s v="5 mois"/>
    <d v="2023-03-25T00:00:00"/>
    <s v="Pas"/>
    <s v="Alexandre Kpoghomou"/>
    <s v="Riz"/>
    <x v="0"/>
    <m/>
    <m/>
    <x v="0"/>
    <m/>
    <m/>
    <m/>
    <m/>
  </r>
  <r>
    <d v="2023-03-24T12:48:29"/>
    <s v="Macenta"/>
    <s v="Direction préfectorale de l'agriculture et de l'élevage de Macenta"/>
    <s v="Individuel"/>
    <s v="Jean Beavogui"/>
    <n v="622501048"/>
    <m/>
    <s v="Macenta Centre"/>
    <n v="12"/>
    <s v="Pulvérisation - uniquement"/>
    <n v="2"/>
    <s v="Djoukeme"/>
    <s v="Oriza sativa"/>
    <s v="5 mois"/>
    <d v="2023-03-30T00:00:00"/>
    <s v="Le champ donne 2,5 ha"/>
    <s v="Alexandre Kpoghomou"/>
    <s v="Riz"/>
    <x v="1"/>
    <n v="2.5"/>
    <d v="2023-03-22T00:00:00"/>
    <x v="7"/>
    <m/>
    <m/>
    <m/>
    <m/>
  </r>
  <r>
    <d v="2023-03-24T17:20:38"/>
    <s v="Guéckédou"/>
    <s v="Centre de Gueckédou"/>
    <s v="Individuel"/>
    <s v="Damey Sakho"/>
    <n v="624302875"/>
    <m/>
    <s v="Guendembou"/>
    <n v="25"/>
    <s v="Labour - uniquement"/>
    <n v="1"/>
    <s v="Tiguibiri Kabalen"/>
    <s v="Zea Mays"/>
    <s v="3 mois"/>
    <d v="2023-03-24T00:00:00"/>
    <m/>
    <s v="Lamine Condé"/>
    <s v="Maïs"/>
    <x v="1"/>
    <n v="1"/>
    <d v="2023-03-24T00:00:00"/>
    <x v="7"/>
    <m/>
    <m/>
    <m/>
    <m/>
  </r>
  <r>
    <d v="2023-03-25T13:21:26"/>
    <s v="Beyla"/>
    <s v="Centre de ville de Beyla (PRODABEK)"/>
    <s v="Collectif"/>
    <s v="GROUPEMENT GJVDC"/>
    <n v="628720898"/>
    <m/>
    <s v="Beyla Centre"/>
    <n v="10"/>
    <s v="Labour - uniquement"/>
    <n v="10"/>
    <s v="Tchoto"/>
    <s v="Tchoto"/>
    <s v="6 mois"/>
    <d v="2023-03-21T00:00:00"/>
    <m/>
    <s v="Mohamed Billo Sangare"/>
    <s v="Riz"/>
    <x v="1"/>
    <n v="10"/>
    <d v="2023-03-27T00:00:00"/>
    <x v="10"/>
    <m/>
    <m/>
    <m/>
    <m/>
  </r>
  <r>
    <d v="2023-03-25T16:30:46"/>
    <s v="Guéckédou"/>
    <s v="Centre de Gueckédou"/>
    <s v="Individuel"/>
    <s v="Christophe Combadouno"/>
    <n v="621317998"/>
    <m/>
    <s v="Guendembou"/>
    <n v="25"/>
    <s v="Labour - uniquement"/>
    <n v="1"/>
    <s v="Chinois"/>
    <s v="Inconnu"/>
    <s v="3 mois"/>
    <d v="2023-03-25T00:00:00"/>
    <m/>
    <s v="Lamine Condé"/>
    <s v="Riz"/>
    <x v="1"/>
    <n v="1.5"/>
    <d v="2023-03-25T00:00:00"/>
    <x v="7"/>
    <m/>
    <m/>
    <m/>
    <m/>
  </r>
  <r>
    <d v="2023-03-25T16:42:38"/>
    <s v="Guéckédou"/>
    <s v="Centre de Gueckédou"/>
    <s v="Individuel"/>
    <s v="Sékou Condé"/>
    <n v="626445494"/>
    <m/>
    <s v="Guendembou"/>
    <n v="15"/>
    <s v="Labour - uniquement"/>
    <n v="1"/>
    <s v="Yokoyon"/>
    <s v="Inconnu"/>
    <s v="5 mois"/>
    <d v="2023-03-25T00:00:00"/>
    <m/>
    <s v="Lamine Condé"/>
    <s v="Riz"/>
    <x v="0"/>
    <m/>
    <m/>
    <x v="0"/>
    <m/>
    <m/>
    <m/>
    <m/>
  </r>
  <r>
    <d v="2023-03-27T08:35:15"/>
    <s v="Guéckédou"/>
    <s v="Centre de Gueckédou"/>
    <s v="Individuel"/>
    <s v="Alaye Soh"/>
    <n v="628084780"/>
    <m/>
    <s v="Guendembou"/>
    <n v="18"/>
    <s v="Labour - uniquement"/>
    <n v="1"/>
    <s v="Yaro"/>
    <s v="Solanum mélongena"/>
    <s v="3 mois"/>
    <d v="2023-03-26T00:00:00"/>
    <s v="NB:le nombre d'ha total labouré chez Alaye Soh est 1,5."/>
    <s v="Lamine Condé"/>
    <s v="Culture maraichère"/>
    <x v="1"/>
    <n v="1.5"/>
    <d v="2023-03-27T00:00:00"/>
    <x v="10"/>
    <m/>
    <m/>
    <m/>
    <m/>
  </r>
  <r>
    <d v="2023-03-27T12:28:45"/>
    <s v="Guéckédou"/>
    <s v="Centre de Gueckédou"/>
    <s v="Individuel"/>
    <s v="Bamba Kémoko"/>
    <n v="622552214"/>
    <m/>
    <s v="Guendembou"/>
    <n v="15"/>
    <s v="Labour - uniquement"/>
    <n v="2"/>
    <s v="Dôcronin"/>
    <s v="Zea Mays juste"/>
    <s v="3 mois"/>
    <d v="2023-03-27T00:00:00"/>
    <m/>
    <s v="Lamine Condé"/>
    <s v="Riz"/>
    <x v="1"/>
    <n v="2"/>
    <d v="2023-03-27T00:00:00"/>
    <x v="10"/>
    <m/>
    <m/>
    <m/>
    <m/>
  </r>
  <r>
    <d v="2023-03-28T11:05:23"/>
    <s v="Guéckédou"/>
    <s v="Centre de Gueckédou"/>
    <s v="Collectif"/>
    <s v="Manty Condé"/>
    <n v="628190387"/>
    <m/>
    <s v="Guendembou"/>
    <n v="30"/>
    <s v="Labour - uniquement"/>
    <n v="5"/>
    <s v="Yaro"/>
    <s v="Solanum mélongena"/>
    <s v="3 mois"/>
    <d v="2023-03-28T00:00:00"/>
    <m/>
    <s v="Lamine Condé"/>
    <s v="Culture maraichère"/>
    <x v="1"/>
    <n v="5"/>
    <d v="2023-03-29T00:00:00"/>
    <x v="10"/>
    <m/>
    <m/>
    <m/>
    <m/>
  </r>
  <r>
    <d v="2023-03-29T14:23:29"/>
    <s v="Guéckédou"/>
    <s v="Centre de Gueckédou"/>
    <s v="Individuel"/>
    <s v="Sékou Traoré"/>
    <n v="626445494"/>
    <m/>
    <s v="Guendembou"/>
    <n v="15"/>
    <s v="Labour - uniquement"/>
    <n v="1"/>
    <s v="Yokoyon"/>
    <s v="Inconnu"/>
    <s v="5 mois"/>
    <d v="2023-03-25T00:00:00"/>
    <m/>
    <s v="Lamine Condé"/>
    <s v="Riz"/>
    <x v="1"/>
    <n v="1"/>
    <d v="2023-03-25T00:00:00"/>
    <x v="7"/>
    <m/>
    <m/>
    <m/>
    <m/>
  </r>
  <r>
    <d v="2023-03-29T14:31:03"/>
    <s v="Guéckédou"/>
    <s v="Centre de Gueckédou"/>
    <s v="Individuel"/>
    <s v="Ousmane Camara"/>
    <n v="628403137"/>
    <m/>
    <s v="Guendembou"/>
    <n v="25"/>
    <s v="Labour - uniquement"/>
    <n v="3"/>
    <s v="CK90"/>
    <s v="Inconnu"/>
    <s v="5 mois"/>
    <d v="2023-03-29T00:00:00"/>
    <m/>
    <s v="Lamine Condé"/>
    <s v="Riz"/>
    <x v="1"/>
    <n v="3"/>
    <d v="2023-03-30T00:00:00"/>
    <x v="10"/>
    <m/>
    <m/>
    <m/>
    <m/>
  </r>
  <r>
    <d v="2023-03-29T15:09:47"/>
    <s v="Guéckédou"/>
    <s v="Centre de Gueckédou"/>
    <s v="Individuel"/>
    <s v="Manty Condé"/>
    <n v="628190387"/>
    <m/>
    <s v="Guendembou"/>
    <n v="25"/>
    <s v="Labour - uniquement"/>
    <n v="5"/>
    <s v="Yaro"/>
    <s v="Solanum mélongena"/>
    <s v="3 mois"/>
    <d v="2023-03-28T00:00:00"/>
    <s v="Cette femme a été enregistrée deux fois par ce que, dans la première demande de carburant j'ai mis 1000000 par oubli, sans Quoi c'est 2000000 qu'elle a versé sur le compte marchant."/>
    <s v="Lamine Condé"/>
    <s v="Culture maraichère"/>
    <x v="1"/>
    <n v="5"/>
    <d v="2023-03-29T00:00:00"/>
    <x v="10"/>
    <m/>
    <m/>
    <m/>
    <m/>
  </r>
  <r>
    <d v="2023-03-31T08:45:59"/>
    <s v="Guéckédou"/>
    <s v="Centre de Gueckédou"/>
    <s v="Individuel"/>
    <s v="Mamady kourouma"/>
    <n v="621245366"/>
    <m/>
    <s v="Guendembou"/>
    <n v="25"/>
    <s v="Labour - uniquement"/>
    <n v="1"/>
    <s v="Morice"/>
    <s v="Inconnu"/>
    <s v="6 mois"/>
    <d v="2023-03-30T00:00:00"/>
    <m/>
    <s v="Lamine Condé"/>
    <s v="Riz"/>
    <x v="1"/>
    <n v="1"/>
    <d v="2023-03-31T00:00:00"/>
    <x v="10"/>
    <m/>
    <m/>
    <m/>
    <m/>
  </r>
  <r>
    <d v="2023-03-31T10:34:50"/>
    <s v="Kankan"/>
    <s v="Bordeaux"/>
    <s v="Individuel"/>
    <s v="Sekou Diakité"/>
    <n v="628154646"/>
    <n v="0"/>
    <s v="Karifamoriyah"/>
    <n v="12"/>
    <s v="Labour - uniquement"/>
    <n v="1"/>
    <s v="Piment"/>
    <s v="Inconnu"/>
    <s v="5 mois"/>
    <d v="2023-03-31T00:00:00"/>
    <s v="Petit maraîcher"/>
    <s v="Moussa Alamako Keita"/>
    <s v="Culture maraichère"/>
    <x v="1"/>
    <n v="1"/>
    <d v="2023-03-31T00:00:00"/>
    <x v="10"/>
    <m/>
    <m/>
    <m/>
    <m/>
  </r>
  <r>
    <d v="2023-03-31T10:44:25"/>
    <s v="Kankan"/>
    <s v="Bordeaux"/>
    <s v="Individuel"/>
    <s v="Ibrahima kalil Sidibe"/>
    <n v="628308285"/>
    <n v="0"/>
    <s v="Tinti-Oulen"/>
    <n v="12"/>
    <s v="Déchaumage"/>
    <n v="2"/>
    <s v="Soketa"/>
    <s v="Variété locale"/>
    <s v="5 mois"/>
    <d v="2023-04-01T00:00:00"/>
    <s v="Petit producteur"/>
    <s v="Moussa Alamako Keita"/>
    <s v="Riz"/>
    <x v="1"/>
    <n v="2"/>
    <d v="2023-03-31T00:00:00"/>
    <x v="10"/>
    <m/>
    <m/>
    <m/>
    <m/>
  </r>
  <r>
    <d v="2023-03-31T10:51:35"/>
    <s v="Kankan"/>
    <s v="Bordeaux"/>
    <s v="Individuel"/>
    <s v="Ibrahima condé"/>
    <n v="666596193"/>
    <n v="0"/>
    <s v="Sabadou-Baranama"/>
    <n v="85"/>
    <s v="Déchaumage"/>
    <n v="2"/>
    <s v="Fakan"/>
    <s v="Variété locale"/>
    <s v="4 mois"/>
    <d v="2023-04-02T00:00:00"/>
    <s v="Petit producteur"/>
    <s v="Moussa Alamako Keita"/>
    <s v="Riz"/>
    <x v="1"/>
    <n v="2"/>
    <d v="2023-03-31T00:00:00"/>
    <x v="10"/>
    <m/>
    <m/>
    <m/>
    <m/>
  </r>
  <r>
    <d v="2023-03-31T14:17:55"/>
    <s v="Guéckédou"/>
    <s v="Centre de Gueckédou"/>
    <s v="Individuel"/>
    <s v="Yamory Oularé"/>
    <n v="629193335"/>
    <m/>
    <s v="Guendembou"/>
    <n v="25"/>
    <s v="Labour - uniquement"/>
    <n v="2"/>
    <s v="Samaka"/>
    <s v="Inconnu"/>
    <s v="5 mois"/>
    <d v="2023-03-31T00:00:00"/>
    <m/>
    <s v="Lamine Condé"/>
    <s v="Riz"/>
    <x v="1"/>
    <n v="2"/>
    <d v="2023-03-31T00:00:00"/>
    <x v="10"/>
    <m/>
    <m/>
    <m/>
    <m/>
  </r>
  <r>
    <d v="2023-03-31T20:13:02"/>
    <s v="Macenta"/>
    <s v="Direction préfectorale de l'agriculture et de l'élevage de Macenta"/>
    <s v="Individuel"/>
    <s v="Mathieu Millimouno"/>
    <n v="622564008"/>
    <m/>
    <s v="Daro"/>
    <n v="12"/>
    <s v="Labour - uniquement"/>
    <n v="3"/>
    <s v="Tamba Coulon"/>
    <s v="Oriza sativa"/>
    <s v="5 mois"/>
    <d v="2023-03-31T00:00:00"/>
    <s v="Pas"/>
    <s v="Alexandre Kpoghomou"/>
    <s v="Riz"/>
    <x v="1"/>
    <n v="5"/>
    <d v="2023-03-31T00:00:00"/>
    <x v="10"/>
    <s v="8MTA004T"/>
    <m/>
    <m/>
    <m/>
  </r>
  <r>
    <d v="2023-03-31T20:18:46"/>
    <s v="Macenta"/>
    <s v="Direction préfectorale de l'agriculture et de l'élevage de Macenta"/>
    <s v="Individuel"/>
    <s v="Emmanuel kolamou"/>
    <n v="622901681"/>
    <m/>
    <s v="Macenta Centre"/>
    <n v="5"/>
    <s v="Labour - uniquement"/>
    <n v="2"/>
    <s v="Djoukeme"/>
    <s v="Oriza sativa"/>
    <s v="5 mois"/>
    <d v="2023-04-02T00:00:00"/>
    <s v="Pas"/>
    <s v="Alexandre Kpoghomou"/>
    <s v="Riz"/>
    <x v="1"/>
    <n v="2"/>
    <d v="2023-03-31T00:00:00"/>
    <x v="10"/>
    <m/>
    <m/>
    <m/>
    <m/>
  </r>
  <r>
    <d v="2023-04-01T08:54:39"/>
    <s v="Guéckédou"/>
    <s v="Centre de Gueckédou"/>
    <s v="Collectif"/>
    <s v="Nanfadima Gnagbasara Kourouma"/>
    <n v="628787084"/>
    <m/>
    <s v="Terméssadou Djibo"/>
    <n v="34"/>
    <s v="Labour - uniquement"/>
    <n v="5"/>
    <s v="Abou"/>
    <s v="Inconnu"/>
    <s v="4 mois"/>
    <d v="2023-04-01T00:00:00"/>
    <m/>
    <s v="Lamine Condé"/>
    <s v="Riz"/>
    <x v="1"/>
    <n v="10"/>
    <d v="2023-04-01T00:00:00"/>
    <x v="10"/>
    <m/>
    <m/>
    <m/>
    <m/>
  </r>
  <r>
    <d v="2023-04-01T12:32:04"/>
    <s v="Kissidougou"/>
    <s v="Commune urbaine"/>
    <s v="Individuel"/>
    <s v="Agrisamo SARL"/>
    <n v="625411748"/>
    <n v="625411748"/>
    <s v="Gbangbadou"/>
    <n v="18"/>
    <s v="Déchaumage"/>
    <n v="10"/>
    <s v="Locale"/>
    <s v="Locale"/>
    <s v="4 mois"/>
    <d v="2023-04-10T00:00:00"/>
    <s v="Korabo"/>
    <s v="Mamady 2 Camara"/>
    <s v="Maïs"/>
    <x v="1"/>
    <n v="10"/>
    <d v="2023-04-05T00:00:00"/>
    <x v="12"/>
    <m/>
    <m/>
    <m/>
    <m/>
  </r>
  <r>
    <d v="2023-04-02T15:07:58"/>
    <s v="Dinguiraye"/>
    <s v="Dinguiraye centre"/>
    <s v="Individuel"/>
    <s v="Thierno Ibrahima Barry"/>
    <n v="662434317"/>
    <m/>
    <s v="Kalinko"/>
    <n v="64"/>
    <s v="Déchaumage"/>
    <n v="2.5"/>
    <s v="Kaoulaka"/>
    <s v="Kaoulaka"/>
    <s v="5 mois"/>
    <d v="2023-04-03T00:00:00"/>
    <m/>
    <s v="Mamadou 1 Diallo"/>
    <s v="Riz"/>
    <x v="1"/>
    <n v="2.5"/>
    <d v="2023-04-02T00:00:00"/>
    <x v="12"/>
    <m/>
    <m/>
    <m/>
    <m/>
  </r>
  <r>
    <d v="2023-04-03T07:42:22"/>
    <s v="Macenta"/>
    <s v="Direction préfectorale de l'agriculture et de l'élevage de Macenta"/>
    <s v="Individuel"/>
    <s v="Yakouba Keita"/>
    <n v="621816250"/>
    <m/>
    <s v="Kouankan"/>
    <n v="65"/>
    <s v="Labour - uniquement"/>
    <n v="13"/>
    <s v="Non"/>
    <s v="Non"/>
    <s v="3 mois"/>
    <d v="2023-04-10T00:00:00"/>
    <s v="Pas"/>
    <s v="Alexandre Kpoghomou"/>
    <s v="Fonio"/>
    <x v="1"/>
    <n v="5"/>
    <d v="2023-04-03T00:00:00"/>
    <x v="12"/>
    <m/>
    <m/>
    <m/>
    <m/>
  </r>
  <r>
    <d v="2023-04-03T09:46:46"/>
    <s v="Macenta"/>
    <s v="Direction préfectorale de l'agriculture et de l'élevage de Macenta"/>
    <s v="Individuel"/>
    <s v="Zézé kourouma"/>
    <n v="628649465"/>
    <m/>
    <s v="Kouankan"/>
    <n v="90"/>
    <s v="Labour - uniquement"/>
    <s v="2."/>
    <s v="Djoukeme"/>
    <s v="Oriza sativa"/>
    <s v="5 mois"/>
    <d v="2023-04-03T00:00:00"/>
    <s v="2.5 ha sont versés"/>
    <s v="Alexandre Kpoghomou"/>
    <s v="Riz"/>
    <x v="1"/>
    <n v="2.5"/>
    <d v="2023-04-03T00:00:00"/>
    <x v="12"/>
    <m/>
    <m/>
    <m/>
    <m/>
  </r>
  <r>
    <d v="2023-04-03T10:21:25"/>
    <s v="Beyla"/>
    <s v="Beyla Centre ville (PRODABEK)"/>
    <s v="Individuel"/>
    <s v="Abdoulaye Sangare"/>
    <n v="620161706"/>
    <m/>
    <s v="Lola Centre"/>
    <n v="180"/>
    <s v="Labour - uniquement"/>
    <n v="50"/>
    <s v="Maïs"/>
    <s v="Maïs"/>
    <s v="3 mois"/>
    <d v="2023-04-10T00:00:00"/>
    <s v="Probleme de pneus"/>
    <s v="Mohamed Billo Sangare"/>
    <s v="Maïs"/>
    <x v="0"/>
    <m/>
    <m/>
    <x v="0"/>
    <m/>
    <m/>
    <m/>
    <m/>
  </r>
  <r>
    <d v="2023-04-03T17:23:30"/>
    <s v="Beyla"/>
    <s v="Beyla Centre ville (PRODABEK)"/>
    <s v="Individuel"/>
    <s v="Elhadj Kèmè Samouka Soumaoro"/>
    <n v="628659311"/>
    <m/>
    <s v="Beyla Centre"/>
    <n v="20"/>
    <s v="Labour - uniquement"/>
    <n v="4"/>
    <s v="Riz local"/>
    <s v="Riz local"/>
    <s v="6 mois"/>
    <d v="2023-04-07T00:00:00"/>
    <m/>
    <s v="Mohamed Billo Sangare"/>
    <s v="Riz"/>
    <x v="0"/>
    <m/>
    <m/>
    <x v="0"/>
    <m/>
    <m/>
    <m/>
    <m/>
  </r>
  <r>
    <d v="2023-04-03T17:29:53"/>
    <s v="Beyla"/>
    <s v="Beyla Centre ville (PRODABEK)"/>
    <s v="Individuel"/>
    <s v="Vakaba Kourouma"/>
    <n v="623024358"/>
    <m/>
    <s v="Beyla Centre"/>
    <n v="25"/>
    <s v="Labour - uniquement"/>
    <n v="5"/>
    <s v="maïs hybride f1"/>
    <s v="Kabamano j"/>
    <s v="3 mois"/>
    <d v="2023-04-12T00:00:00"/>
    <m/>
    <s v="Mohamed Billo Sangare"/>
    <s v="Maïs"/>
    <x v="0"/>
    <m/>
    <m/>
    <x v="0"/>
    <m/>
    <m/>
    <m/>
    <m/>
  </r>
  <r>
    <d v="2023-04-03T17:32:40"/>
    <s v="Beyla"/>
    <s v="Beyla Centre ville (PRODABEK)"/>
    <s v="Individuel"/>
    <s v="Soumailla Camara"/>
    <n v="622644426"/>
    <m/>
    <s v="Beyla Centre"/>
    <n v="15"/>
    <s v="Labour - uniquement"/>
    <n v="4"/>
    <s v="Riz local"/>
    <s v="local"/>
    <s v="4 mois"/>
    <d v="2023-04-13T00:00:00"/>
    <m/>
    <s v="Mohamed Billo Sangare"/>
    <s v="Riz"/>
    <x v="0"/>
    <m/>
    <m/>
    <x v="0"/>
    <m/>
    <m/>
    <m/>
    <m/>
  </r>
  <r>
    <d v="2023-04-03T17:36:23"/>
    <s v="Beyla"/>
    <s v="Beyla Centre ville (PRODABEK)"/>
    <s v="Individuel"/>
    <s v="Mamady Sidibe"/>
    <n v="628660594"/>
    <m/>
    <s v="Beyla Centre"/>
    <n v="20"/>
    <s v="Labour - uniquement"/>
    <n v="3"/>
    <s v="riz local"/>
    <s v="local"/>
    <s v="4 mois"/>
    <d v="2023-04-11T00:00:00"/>
    <m/>
    <s v="Mohamed Billo Sangare"/>
    <s v="Riz"/>
    <x v="0"/>
    <m/>
    <m/>
    <x v="0"/>
    <m/>
    <m/>
    <m/>
    <m/>
  </r>
  <r>
    <d v="2023-04-03T17:42:15"/>
    <s v="Beyla"/>
    <s v="Beyla Centre ville (PRODABEK)"/>
    <s v="Individuel"/>
    <s v="Oumar Donzo"/>
    <n v="622139331"/>
    <m/>
    <s v="Mousadou"/>
    <n v="10"/>
    <s v="Labour - uniquement"/>
    <n v="10"/>
    <s v="Riz local"/>
    <s v="local"/>
    <s v="6 mois"/>
    <d v="2023-04-15T00:00:00"/>
    <m/>
    <s v="Mohamed Billo Sangare"/>
    <s v="Riz"/>
    <x v="0"/>
    <m/>
    <m/>
    <x v="0"/>
    <m/>
    <m/>
    <m/>
    <m/>
  </r>
  <r>
    <d v="2023-04-03T17:46:20"/>
    <s v="Beyla"/>
    <s v="Beyla Centre ville (PRODABEK)"/>
    <s v="Individuel"/>
    <s v="Sidiki Konate"/>
    <n v="611611460"/>
    <m/>
    <s v="Karala"/>
    <n v="140"/>
    <s v="Labour - uniquement"/>
    <n v="60"/>
    <s v="Riz local"/>
    <s v="local"/>
    <s v="6 mois"/>
    <d v="2023-04-10T00:00:00"/>
    <m/>
    <s v="Mohamed Billo Sangare"/>
    <s v="Riz"/>
    <x v="0"/>
    <m/>
    <m/>
    <x v="0"/>
    <m/>
    <m/>
    <m/>
    <m/>
  </r>
  <r>
    <d v="2023-04-04T10:12:14"/>
    <s v="Kérouané"/>
    <s v="Centre"/>
    <s v="Individuel"/>
    <s v="Abou Keita"/>
    <n v="620573331"/>
    <n v="620573331"/>
    <s v="Kérouane Centre"/>
    <n v="1"/>
    <s v="Labour - uniquement"/>
    <n v="2"/>
    <s v="Chinoi"/>
    <s v="Chinoi"/>
    <s v="9 mois"/>
    <d v="2023-04-06T00:00:00"/>
    <s v="Bien"/>
    <s v="Moussa Kadia Camara"/>
    <s v="Riz"/>
    <x v="1"/>
    <n v="2"/>
    <d v="2023-04-05T00:00:00"/>
    <x v="12"/>
    <m/>
    <m/>
    <m/>
    <m/>
  </r>
  <r>
    <d v="2023-04-04T15:34:06"/>
    <s v="Macenta"/>
    <s v="Direction préfectorale de l'agriculture et de l'élevage de Macenta"/>
    <s v="Individuel"/>
    <s v="Delphine Gaou Beavogui"/>
    <n v="626211903"/>
    <m/>
    <s v="Macenta Centre"/>
    <n v="8"/>
    <s v="Labour - uniquement"/>
    <n v="4"/>
    <s v="Chinoiba"/>
    <s v="Oriza sativa"/>
    <s v="5 mois"/>
    <d v="2023-04-05T00:00:00"/>
    <s v="Pas"/>
    <s v="Alexandre Kpoghomou"/>
    <s v="Riz"/>
    <x v="1"/>
    <n v="4"/>
    <d v="2023-04-04T00:00:00"/>
    <x v="12"/>
    <m/>
    <m/>
    <m/>
    <m/>
  </r>
  <r>
    <d v="2023-04-04T17:05:19"/>
    <s v="Macenta"/>
    <s v="Direction préfectorale de l'agriculture et de l'élevage de Macenta"/>
    <s v="Collectif"/>
    <s v="Groupement Maman Josianne"/>
    <n v="625865705"/>
    <n v="628650742"/>
    <s v="Macenta Centre"/>
    <n v="8"/>
    <s v="Labour - uniquement"/>
    <n v="4"/>
    <s v="Chinoiba"/>
    <s v="Oriza sativa"/>
    <s v="5 mois"/>
    <d v="2023-04-05T00:00:00"/>
    <s v="Pas"/>
    <s v="Alexandre Kpoghomou"/>
    <s v="Riz"/>
    <x v="1"/>
    <n v="4"/>
    <d v="2023-04-04T00:00:00"/>
    <x v="12"/>
    <m/>
    <m/>
    <m/>
    <m/>
  </r>
  <r>
    <d v="2023-04-05T09:28:11"/>
    <s v="Kankan"/>
    <s v="Bordeaux"/>
    <s v="Individuel"/>
    <s v="Bangaly condé"/>
    <n v="620227110"/>
    <n v="0"/>
    <s v="Sabadou-Baranama"/>
    <n v="85"/>
    <s v="Déchaumage"/>
    <n v="5"/>
    <s v="Fakan"/>
    <s v="Variété locale"/>
    <s v="4 mois"/>
    <d v="2023-04-04T00:00:00"/>
    <s v="Petit producteur"/>
    <s v="Moussa Alamako Keita"/>
    <s v="Riz"/>
    <x v="1"/>
    <n v="5"/>
    <d v="2023-04-11T00:00:00"/>
    <x v="13"/>
    <m/>
    <m/>
    <m/>
    <m/>
  </r>
  <r>
    <d v="2023-04-05T09:52:06"/>
    <s v="Beyla"/>
    <s v="Beyla Centre ville (PRODABEK)"/>
    <s v="Individuel"/>
    <s v="Vaman conde"/>
    <n v="622909583"/>
    <m/>
    <s v="Sinko"/>
    <n v="110"/>
    <s v="Labour - uniquement"/>
    <n v="6"/>
    <s v="Waka waka"/>
    <s v="Variete local"/>
    <s v="5 mois"/>
    <d v="2023-04-07T00:00:00"/>
    <m/>
    <s v="Mohamed Billo Sangare"/>
    <s v="Riz"/>
    <x v="1"/>
    <n v="6"/>
    <d v="2023-04-05T00:00:00"/>
    <x v="12"/>
    <m/>
    <m/>
    <m/>
    <m/>
  </r>
  <r>
    <d v="2023-04-05T09:57:44"/>
    <s v="Beyla"/>
    <s v="Beyla ville (PRODABEK)"/>
    <s v="Individuel"/>
    <s v="Alpha Cisse"/>
    <n v="622602141"/>
    <m/>
    <s v="Guéassou"/>
    <n v="180"/>
    <s v="Labour - uniquement"/>
    <n v="50"/>
    <s v="Hybride F1"/>
    <s v="Hybride f1"/>
    <s v="3 mois"/>
    <d v="2023-04-26T00:00:00"/>
    <s v="Apres le ramadan"/>
    <s v="Mohamed Billo Sangare"/>
    <s v="Maïs"/>
    <x v="0"/>
    <m/>
    <m/>
    <x v="0"/>
    <m/>
    <m/>
    <m/>
    <m/>
  </r>
  <r>
    <d v="2023-04-05T10:05:23"/>
    <s v="Beyla"/>
    <s v="Beyla centre ( PRODABEK)"/>
    <s v="Individuel"/>
    <s v="Lonceny Conde"/>
    <n v="620081313"/>
    <m/>
    <s v="Bossou"/>
    <n v="190"/>
    <s v="Labour - uniquement"/>
    <n v="30"/>
    <s v="local"/>
    <s v="local"/>
    <s v="3 mois"/>
    <d v="2023-04-28T00:00:00"/>
    <m/>
    <s v="Mohamed Billo Sangare"/>
    <s v="Maïs"/>
    <x v="0"/>
    <m/>
    <m/>
    <x v="0"/>
    <m/>
    <m/>
    <m/>
    <m/>
  </r>
  <r>
    <d v="2023-04-05T16:59:33"/>
    <s v="Kérouané"/>
    <s v="Centre"/>
    <s v="Individuel"/>
    <s v="Abou Keita"/>
    <n v="620268931"/>
    <n v="620268931"/>
    <s v="Kérouane Centre"/>
    <n v="1"/>
    <s v="Déchaumage"/>
    <n v="2"/>
    <s v="Chinois"/>
    <s v="Chinois"/>
    <s v="9 mois"/>
    <d v="2023-04-07T00:00:00"/>
    <s v="Bien"/>
    <s v="Moussa Kadia Camara"/>
    <s v="Riz"/>
    <x v="1"/>
    <n v="2"/>
    <d v="2023-04-05T00:00:00"/>
    <x v="12"/>
    <m/>
    <m/>
    <m/>
    <m/>
  </r>
  <r>
    <d v="2023-04-05T17:04:16"/>
    <s v="Kérouané"/>
    <s v="Centre"/>
    <s v="Individuel"/>
    <s v="Daouda Sylla"/>
    <n v="621268912"/>
    <n v="621268912"/>
    <s v="Kérouane Centre"/>
    <n v="6"/>
    <s v="Labour - uniquement"/>
    <n v="7"/>
    <s v="Djoufini"/>
    <s v="Djoufini"/>
    <s v="6 mois"/>
    <d v="2023-04-07T00:00:00"/>
    <s v="Bien"/>
    <s v="Moussa Kadia Camara"/>
    <s v="Riz"/>
    <x v="1"/>
    <n v="7"/>
    <d v="2023-04-06T00:00:00"/>
    <x v="12"/>
    <m/>
    <m/>
    <m/>
    <m/>
  </r>
  <r>
    <d v="2023-04-05T17:11:22"/>
    <s v="Kérouané"/>
    <s v="Centre"/>
    <s v="Individuel"/>
    <s v="Bassirou kourouma"/>
    <n v="622265990"/>
    <n v="622265990"/>
    <s v="Kérouane Centre"/>
    <n v="30"/>
    <s v="Labour - uniquement"/>
    <n v="13"/>
    <s v="Djoufini"/>
    <s v="Djoufini"/>
    <s v="6 mois"/>
    <d v="2023-04-07T00:00:00"/>
    <s v="Bien"/>
    <s v="Moussa Kadia Camara"/>
    <s v="Riz"/>
    <x v="1"/>
    <n v="13"/>
    <d v="2023-04-06T00:00:00"/>
    <x v="12"/>
    <m/>
    <m/>
    <m/>
    <m/>
  </r>
  <r>
    <d v="2023-04-05T22:14:45"/>
    <s v="Dubréka"/>
    <s v="Ouassou"/>
    <s v="Individuel"/>
    <s v="Moctar Diallo"/>
    <n v="628967115"/>
    <n v="628967115"/>
    <s v="Tanéné"/>
    <n v="30"/>
    <s v="Labour - uniquement"/>
    <n v="1"/>
    <s v="Baron"/>
    <s v="Baron"/>
    <s v="6 mois"/>
    <d v="2023-04-06T00:00:00"/>
    <s v="Disponible"/>
    <s v="Kissi Camara"/>
    <s v="Ananas"/>
    <x v="1"/>
    <n v="1"/>
    <d v="2023-04-11T00:00:00"/>
    <x v="13"/>
    <m/>
    <m/>
    <m/>
    <m/>
  </r>
  <r>
    <d v="2023-04-06T07:48:20"/>
    <s v="Guéckédou"/>
    <s v="Centre de Gueckédou"/>
    <s v="Individuel"/>
    <s v="Sàa Souro Moundékeno"/>
    <n v="620652907"/>
    <m/>
    <s v="Terméssadou Djibo"/>
    <n v="4"/>
    <s v="Déchaumage"/>
    <n v="3"/>
    <s v="Ck90"/>
    <s v="Inconnu"/>
    <s v="4 mois"/>
    <d v="2023-04-05T00:00:00"/>
    <s v="NB:le nombre d'ha labouré chez sàa Souro Moundékeno est 3,5ha"/>
    <s v="Lamine Condé"/>
    <s v="Riz"/>
    <x v="1"/>
    <n v="3.5"/>
    <d v="2023-04-06T00:00:00"/>
    <x v="12"/>
    <m/>
    <m/>
    <m/>
    <m/>
  </r>
  <r>
    <d v="2023-04-06T10:33:16"/>
    <s v="Macenta"/>
    <s v="Direction préfectorale de l'agriculture et de l'élevage de Macenta"/>
    <s v="Individuel"/>
    <s v="Alexandre kolié"/>
    <n v="623833035"/>
    <m/>
    <s v="Ourémai"/>
    <n v="18"/>
    <s v="Labour - uniquement"/>
    <n v="5"/>
    <s v="Djoukeme"/>
    <s v="Oriza sativa"/>
    <s v="5 mois"/>
    <d v="2023-04-16T00:00:00"/>
    <s v="Pas"/>
    <s v="Alexandre Kpoghomou"/>
    <s v="Riz"/>
    <x v="1"/>
    <n v="5"/>
    <d v="2023-04-06T00:00:00"/>
    <x v="12"/>
    <m/>
    <m/>
    <m/>
    <m/>
  </r>
  <r>
    <d v="2023-04-06T10:53:53"/>
    <s v="Macenta"/>
    <s v="Direction préfectorale de l'agriculture et de l'élevage"/>
    <s v="Individuel"/>
    <s v="Mamadi Bereté"/>
    <n v="622833153"/>
    <m/>
    <s v="Kouankan"/>
    <n v="90"/>
    <s v="Labour - uniquement"/>
    <n v="5"/>
    <s v="Chinoiba"/>
    <s v="Oriza sativa"/>
    <s v="5 mois"/>
    <d v="2023-04-11T00:00:00"/>
    <s v="Pas"/>
    <s v="Alexandre Kpoghomou"/>
    <s v="Riz"/>
    <x v="1"/>
    <n v="12.5"/>
    <d v="2023-04-06T00:00:00"/>
    <x v="12"/>
    <m/>
    <m/>
    <m/>
    <m/>
  </r>
  <r>
    <d v="2023-04-06T11:03:44"/>
    <s v="Guéckédou"/>
    <s v="Centre de Gueckédou"/>
    <s v="Individuel"/>
    <s v="Ive Solano"/>
    <n v="628392660"/>
    <m/>
    <s v="Guéckédou Centre"/>
    <n v="2"/>
    <s v="Labour - uniquement"/>
    <n v="1"/>
    <s v="Abou"/>
    <s v="Inconnu"/>
    <s v="4 mois"/>
    <d v="2023-04-06T00:00:00"/>
    <s v="NB: le nombre d'ha total labouré chez le producteur Ive Solano est 1,5ha."/>
    <s v="Lamine Condé"/>
    <s v="Riz"/>
    <x v="1"/>
    <n v="1.5"/>
    <d v="2023-04-06T00:00:00"/>
    <x v="12"/>
    <m/>
    <m/>
    <m/>
    <m/>
  </r>
  <r>
    <d v="2023-04-06T11:22:51"/>
    <s v="Kérouané"/>
    <s v="Centre"/>
    <s v="Individuel"/>
    <s v="N'faly kourouma"/>
    <n v="626918984"/>
    <n v="626918984"/>
    <s v="Kérouane Centre"/>
    <n v="1"/>
    <s v="Labour - uniquement"/>
    <n v="3"/>
    <s v="Chinois"/>
    <s v="Chinois"/>
    <s v="9 mois"/>
    <d v="2023-04-07T00:00:00"/>
    <s v="Bien"/>
    <s v="Moussa Kadia Camara"/>
    <s v="Riz"/>
    <x v="1"/>
    <n v="3"/>
    <d v="2023-04-06T00:00:00"/>
    <x v="12"/>
    <m/>
    <m/>
    <m/>
    <m/>
  </r>
  <r>
    <d v="2023-04-06T14:15:00"/>
    <s v="Guéckédou"/>
    <s v="Centre de Gueckédou"/>
    <s v="Individuel"/>
    <s v="Facely Condé"/>
    <n v="621858667"/>
    <m/>
    <s v="Guéckédou Centre"/>
    <n v="2"/>
    <s v="Déchaumage"/>
    <n v="1"/>
    <s v="Sami (Abou)"/>
    <s v="Inconnu"/>
    <s v="4 mois"/>
    <d v="2023-04-06T00:00:00"/>
    <s v="NB:ce producteur Facely Condé a 1,5ha à labouré."/>
    <s v="Lamine Condé"/>
    <s v="Riz"/>
    <x v="1"/>
    <n v="1.5"/>
    <d v="2023-04-06T00:00:00"/>
    <x v="12"/>
    <m/>
    <m/>
    <m/>
    <m/>
  </r>
  <r>
    <d v="2023-04-09T09:52:52"/>
    <s v="Kérouané"/>
    <s v="Centre"/>
    <s v="Individuel"/>
    <s v="Mamadi Camara"/>
    <n v="625535317"/>
    <n v="624540251"/>
    <s v="Kérouane Centre"/>
    <n v="1"/>
    <s v="Labour - uniquement"/>
    <n v="4"/>
    <s v="Chinois"/>
    <s v="Chinois"/>
    <s v="9 mois"/>
    <d v="2023-04-10T00:00:00"/>
    <m/>
    <s v="Moussa Kadia Camara"/>
    <s v="Riz"/>
    <x v="1"/>
    <n v="4"/>
    <d v="2023-04-10T00:00:00"/>
    <x v="13"/>
    <m/>
    <m/>
    <m/>
    <m/>
  </r>
  <r>
    <d v="2023-04-09T09:55:47"/>
    <s v="Kérouané"/>
    <s v="Centre"/>
    <s v="Individuel"/>
    <s v="Moussa Sylla"/>
    <n v="621277035"/>
    <n v="621277035"/>
    <s v="Kérouane Centre"/>
    <n v="3"/>
    <s v="Labour - uniquement"/>
    <n v="3"/>
    <s v="Samory"/>
    <s v="Samory"/>
    <s v="5 mois"/>
    <d v="2023-04-10T00:00:00"/>
    <m/>
    <s v="Moussa Kadia Camara"/>
    <s v="Riz"/>
    <x v="1"/>
    <n v="3"/>
    <d v="2023-04-10T00:00:00"/>
    <x v="13"/>
    <m/>
    <m/>
    <m/>
    <m/>
  </r>
  <r>
    <d v="2023-04-09T09:58:45"/>
    <s v="Kérouané"/>
    <s v="Centre"/>
    <s v="Individuel"/>
    <s v="Sidiky Camara"/>
    <n v="620769912"/>
    <n v="620769912"/>
    <s v="Kérouane Centre"/>
    <n v="3"/>
    <s v="Labour - uniquement"/>
    <n v="1"/>
    <s v="Djoufini"/>
    <s v="Djoufini"/>
    <s v="6 mois"/>
    <d v="2023-04-10T00:00:00"/>
    <m/>
    <s v="Moussa Kadia Camara"/>
    <s v="Riz"/>
    <x v="1"/>
    <n v="1"/>
    <d v="2023-04-10T00:00:00"/>
    <x v="13"/>
    <m/>
    <m/>
    <m/>
    <m/>
  </r>
  <r>
    <d v="2023-04-09T10:04:15"/>
    <s v="Kérouané"/>
    <s v="Centre"/>
    <s v="Individuel"/>
    <s v="Maman Barry"/>
    <n v="624621642"/>
    <n v="624621642"/>
    <s v="Kérouane Centre"/>
    <n v="2"/>
    <s v="Labour - uniquement"/>
    <n v="3"/>
    <s v="Djoufini"/>
    <s v="Djoufini"/>
    <s v="6 mois"/>
    <d v="2023-04-12T00:00:00"/>
    <m/>
    <s v="Moussa Kadia Camara"/>
    <s v="Riz"/>
    <x v="1"/>
    <n v="3"/>
    <d v="2023-04-10T00:00:00"/>
    <x v="13"/>
    <m/>
    <m/>
    <m/>
    <m/>
  </r>
  <r>
    <d v="2023-04-09T10:07:59"/>
    <s v="Kérouané"/>
    <s v="Centre"/>
    <s v="Individuel"/>
    <s v="Yomba Traoré"/>
    <n v="656545489"/>
    <n v="656545489"/>
    <s v="Kérouane Centre"/>
    <n v="3"/>
    <s v="Labour - uniquement"/>
    <n v="3"/>
    <s v="Samory"/>
    <s v="Samory"/>
    <s v="5 mois"/>
    <d v="2023-04-13T00:00:00"/>
    <m/>
    <s v="Moussa Kadia Camara"/>
    <s v="Riz"/>
    <x v="1"/>
    <n v="3"/>
    <d v="2023-04-10T00:00:00"/>
    <x v="13"/>
    <m/>
    <m/>
    <m/>
    <m/>
  </r>
  <r>
    <d v="2023-04-09T10:57:06"/>
    <s v="Kankan"/>
    <s v="Bordeaux"/>
    <s v="Individuel"/>
    <s v="Lanciné condé"/>
    <n v="628395884"/>
    <n v="0"/>
    <s v="Koumban"/>
    <n v="40"/>
    <s v="Déchaumage"/>
    <n v="5"/>
    <s v="Chinois"/>
    <s v="Variété locale"/>
    <s v="6 mois"/>
    <d v="2023-04-10T00:00:00"/>
    <s v="Petit producteur"/>
    <s v="Moussa Alamako Keita"/>
    <s v="Riz"/>
    <x v="1"/>
    <n v="5"/>
    <d v="2023-04-11T00:00:00"/>
    <x v="13"/>
    <m/>
    <m/>
    <m/>
    <m/>
  </r>
  <r>
    <d v="2023-04-09T11:12:33"/>
    <s v="Kankan"/>
    <s v="Bordeaux"/>
    <s v="Individuel"/>
    <s v="Idrissa condé"/>
    <n v="624171380"/>
    <n v="0"/>
    <s v="Sabadou-Baranama"/>
    <n v="85"/>
    <s v="Déchaumage"/>
    <n v="2"/>
    <s v="Kaoulaka"/>
    <s v="Variété locale"/>
    <s v="5 mois"/>
    <d v="2023-04-11T00:00:00"/>
    <s v="Petit producteur"/>
    <s v="Moussa Alamako Keita"/>
    <s v="Riz"/>
    <x v="1"/>
    <n v="2"/>
    <d v="2023-04-11T00:00:00"/>
    <x v="13"/>
    <m/>
    <m/>
    <m/>
    <m/>
  </r>
  <r>
    <d v="2023-04-10T09:00:04"/>
    <s v="Guéckédou"/>
    <s v="Centre de Gueckédou"/>
    <s v="Individuel"/>
    <s v="Karifa Condé"/>
    <n v="623342705"/>
    <m/>
    <s v="Guendembou"/>
    <n v="25"/>
    <s v="Déchaumage"/>
    <n v="3"/>
    <s v="Yokoyon"/>
    <s v="Inconnu"/>
    <s v="5 mois"/>
    <d v="2023-04-10T00:00:00"/>
    <m/>
    <s v="Lamine Condé"/>
    <s v="Riz"/>
    <x v="1"/>
    <n v="4"/>
    <d v="2023-04-10T00:00:00"/>
    <x v="13"/>
    <m/>
    <m/>
    <m/>
    <m/>
  </r>
  <r>
    <d v="2023-04-10T12:53:37"/>
    <s v="Kérouané"/>
    <s v="Centre"/>
    <s v="Individuel"/>
    <s v="Soriba Doumbouya"/>
    <n v="628761042"/>
    <n v="628761042"/>
    <s v="Kérouane Centre"/>
    <n v="1"/>
    <s v="Labour - uniquement"/>
    <n v="2"/>
    <s v="Djoufini"/>
    <s v="Djoufini"/>
    <s v="6 mois"/>
    <d v="2023-04-12T00:00:00"/>
    <m/>
    <s v="Moussa Kadia Camara"/>
    <s v="Riz"/>
    <x v="1"/>
    <n v="1"/>
    <d v="2023-04-11T00:00:00"/>
    <x v="13"/>
    <m/>
    <m/>
    <m/>
    <m/>
  </r>
  <r>
    <d v="2023-04-10T13:02:56"/>
    <s v="Kérouané"/>
    <s v="Centre"/>
    <s v="Individuel"/>
    <s v="Ibrahima kourouma"/>
    <n v="622705736"/>
    <n v="622705736"/>
    <s v="Kérouane Centre"/>
    <n v="60"/>
    <s v="Labour - uniquement"/>
    <n v="10"/>
    <s v="Chinois"/>
    <s v="Chinois"/>
    <s v="9 mois"/>
    <d v="2023-04-10T00:00:00"/>
    <m/>
    <s v="Moussa Kadia Camara"/>
    <s v="Riz"/>
    <x v="1"/>
    <n v="10"/>
    <d v="2023-04-11T00:00:00"/>
    <x v="13"/>
    <m/>
    <m/>
    <m/>
    <m/>
  </r>
  <r>
    <d v="2023-04-10T13:06:29"/>
    <s v="Kérouané"/>
    <s v="Centre"/>
    <s v="Individuel"/>
    <s v="Abou Sylla"/>
    <n v="623379059"/>
    <n v="623379059"/>
    <s v="Kérouane Centre"/>
    <n v="6"/>
    <s v="Labour - uniquement"/>
    <n v="2"/>
    <s v="Samory"/>
    <s v="Samory"/>
    <s v="5 mois"/>
    <d v="2023-04-11T00:00:00"/>
    <m/>
    <s v="Moussa Kadia Camara"/>
    <s v="Riz"/>
    <x v="1"/>
    <n v="2"/>
    <d v="2023-04-11T00:00:00"/>
    <x v="13"/>
    <m/>
    <m/>
    <m/>
    <m/>
  </r>
  <r>
    <d v="2023-04-11T09:53:44"/>
    <s v="Dubréka"/>
    <s v="Ouassou"/>
    <s v="Individuel"/>
    <s v="Sacko camara"/>
    <n v="622003861"/>
    <n v="622003861"/>
    <s v="Tanéné"/>
    <n v="35"/>
    <s v="Labour - uniquement"/>
    <n v="2"/>
    <s v="Perta"/>
    <s v="Perta"/>
    <s v="4 mois"/>
    <d v="2023-04-11T00:00:00"/>
    <s v="Accord"/>
    <s v="Kissi Camara"/>
    <s v="Maïs"/>
    <x v="1"/>
    <n v="2"/>
    <d v="2023-04-11T00:00:00"/>
    <x v="13"/>
    <m/>
    <m/>
    <m/>
    <m/>
  </r>
  <r>
    <d v="2023-04-11T10:00:35"/>
    <s v="Dubréka"/>
    <s v="Ouassou"/>
    <s v="Individuel"/>
    <s v="Allassane kante"/>
    <n v="623145194"/>
    <n v="623145194"/>
    <s v="Koba-Tatema"/>
    <n v="10"/>
    <s v="Labour - uniquement"/>
    <n v="3"/>
    <s v="Balenta"/>
    <s v="Rock5"/>
    <s v="5 mois"/>
    <d v="2023-04-11T00:00:00"/>
    <s v="Accord"/>
    <s v="Kissi Camara"/>
    <s v="Riz"/>
    <x v="1"/>
    <n v="3"/>
    <d v="2023-04-11T00:00:00"/>
    <x v="13"/>
    <m/>
    <m/>
    <m/>
    <m/>
  </r>
  <r>
    <d v="2023-04-11T10:20:46"/>
    <s v="Kankan"/>
    <s v="Bordeaux"/>
    <s v="Individuel"/>
    <s v="Nouhan sacko"/>
    <n v="621178661"/>
    <n v="0"/>
    <s v="Kankan Centre"/>
    <n v="5"/>
    <s v="Déchaumage"/>
    <n v="2"/>
    <s v="Chinois"/>
    <s v="Variété locale"/>
    <s v="6 mois"/>
    <d v="2023-04-11T00:00:00"/>
    <s v="Petit producteur"/>
    <s v="Moussa Alamako Keita"/>
    <s v="Riz"/>
    <x v="1"/>
    <n v="2"/>
    <d v="2023-04-11T00:00:00"/>
    <x v="13"/>
    <m/>
    <m/>
    <m/>
    <m/>
  </r>
  <r>
    <d v="2023-04-11T15:06:12"/>
    <s v="Guéckédou"/>
    <s v="Centre de Gueckédou"/>
    <s v="Individuel"/>
    <s v="Amara Keita"/>
    <n v="623341409"/>
    <m/>
    <s v="Guendembou"/>
    <n v="25"/>
    <s v="Labour - uniquement"/>
    <n v="2"/>
    <s v="Maître six"/>
    <s v="Inconnu"/>
    <s v="6 mois"/>
    <d v="2023-04-11T00:00:00"/>
    <m/>
    <s v="Lamine Condé"/>
    <s v="Riz"/>
    <x v="1"/>
    <n v="2"/>
    <d v="2023-04-11T00:00:00"/>
    <x v="13"/>
    <m/>
    <m/>
    <m/>
    <m/>
  </r>
  <r>
    <d v="2023-04-12T17:38:37"/>
    <s v="Guéckédou"/>
    <s v="Centre de Gueckédou"/>
    <s v="Individuel"/>
    <s v="Moussa Diallo"/>
    <n v="623327381"/>
    <m/>
    <s v="Guendembou"/>
    <n v="13"/>
    <s v="Labour - uniquement"/>
    <n v="4"/>
    <s v="Abou"/>
    <s v="Inconnu"/>
    <s v="4 mois"/>
    <d v="2023-04-12T00:00:00"/>
    <m/>
    <s v="Lamine Condé"/>
    <s v="Riz"/>
    <x v="1"/>
    <n v="4"/>
    <d v="2023-04-13T00:00:00"/>
    <x v="13"/>
    <m/>
    <m/>
    <m/>
    <m/>
  </r>
  <r>
    <d v="2023-04-13T12:06:26"/>
    <s v="Guéckédou"/>
    <s v="Centre de Gueckédou"/>
    <s v="Individuel"/>
    <s v="Laye Keita"/>
    <n v="621582069"/>
    <m/>
    <s v="Guendembou"/>
    <n v="15"/>
    <s v="Déchaumage"/>
    <n v="1"/>
    <s v="Abou"/>
    <s v="Inconnu"/>
    <s v="4 mois"/>
    <d v="2023-04-13T00:00:00"/>
    <m/>
    <s v="Lamine Condé"/>
    <s v="Riz"/>
    <x v="1"/>
    <n v="1"/>
    <d v="2023-04-13T00:00:00"/>
    <x v="13"/>
    <m/>
    <m/>
    <m/>
    <m/>
  </r>
  <r>
    <d v="2023-04-13T15:30:35"/>
    <s v="Guéckédou"/>
    <s v="Centre de Gueckédou"/>
    <s v="Individuel"/>
    <s v="Abdoulaye Sacko"/>
    <n v="621582069"/>
    <m/>
    <s v="Guendembou"/>
    <n v="15"/>
    <s v="Déchaumage"/>
    <n v="1"/>
    <s v="CK 90"/>
    <s v="Inconnu"/>
    <s v="6 mois"/>
    <d v="2023-04-13T00:00:00"/>
    <m/>
    <s v="Lamine Condé"/>
    <s v="Riz"/>
    <x v="1"/>
    <n v="1"/>
    <d v="2023-04-14T00:00:00"/>
    <x v="13"/>
    <m/>
    <m/>
    <m/>
    <m/>
  </r>
  <r>
    <d v="2023-04-13T17:27:32"/>
    <s v="Kankan"/>
    <s v="Bordeaux"/>
    <s v="Collectif"/>
    <s v="Mamadi condé"/>
    <n v="620227830"/>
    <n v="0"/>
    <s v="Sabadou-Baranama"/>
    <n v="55"/>
    <s v="Déchaumage"/>
    <n v="15"/>
    <s v="Mamanigbe"/>
    <s v="Variété locale"/>
    <s v="6 mois"/>
    <d v="2023-04-15T00:00:00"/>
    <s v="Superficie collectée des petits producteurs"/>
    <s v="Moussa Alamako Keita"/>
    <s v="Riz"/>
    <x v="1"/>
    <n v="15"/>
    <d v="2023-04-14T00:00:00"/>
    <x v="13"/>
    <m/>
    <m/>
    <m/>
    <m/>
  </r>
  <r>
    <d v="2023-04-14T11:57:01"/>
    <s v="Guéckédou"/>
    <s v="Centre de Gueckédou"/>
    <s v="Individuel"/>
    <s v="Daniel Léno"/>
    <n v="622555736"/>
    <m/>
    <s v="Guéckédou Centre"/>
    <n v="3"/>
    <s v="Déchaumage"/>
    <n v="1"/>
    <s v="Yokoyon"/>
    <s v="Inconnu"/>
    <s v="6 mois"/>
    <d v="2023-04-14T00:00:00"/>
    <m/>
    <s v="Lamine Condé"/>
    <s v="Igname"/>
    <x v="1"/>
    <n v="1"/>
    <d v="2023-04-14T00:00:00"/>
    <x v="13"/>
    <m/>
    <m/>
    <m/>
    <m/>
  </r>
  <r>
    <d v="2023-04-14T16:03:51"/>
    <s v="Guéckédou"/>
    <s v="Centre de Gueckédou"/>
    <s v="Individuel"/>
    <s v="Elizabeth Tolno"/>
    <n v="620510765"/>
    <m/>
    <s v="Guéckédou Centre"/>
    <n v="2"/>
    <s v="Déchaumage"/>
    <n v="1"/>
    <s v="Samyon"/>
    <s v="Inconnu"/>
    <s v="4 mois"/>
    <d v="2023-04-14T00:00:00"/>
    <m/>
    <s v="Lamine Condé"/>
    <s v="Riz"/>
    <x v="1"/>
    <n v="1"/>
    <d v="2023-04-17T00:00:00"/>
    <x v="14"/>
    <m/>
    <m/>
    <m/>
    <m/>
  </r>
  <r>
    <d v="2023-04-14T21:09:31"/>
    <s v="Macenta"/>
    <s v="Direction préfectorale de l'agriculture et de l'élevage de Macenta"/>
    <s v="Collectif"/>
    <s v="Association des agronomes retraité pour le développement de Macenta"/>
    <n v="622671405"/>
    <n v="622715005"/>
    <s v="Macenta Centre"/>
    <n v="12"/>
    <s v="Labour + Pulvérisation"/>
    <n v="5"/>
    <s v="Djoukeme"/>
    <s v="Oriza sativa"/>
    <s v="5 mois"/>
    <d v="2023-04-26T00:00:00"/>
    <s v="Pas"/>
    <s v="Alexandre Kpoghomou"/>
    <s v="Riz"/>
    <x v="1"/>
    <n v="5"/>
    <d v="2023-04-17T00:00:00"/>
    <x v="14"/>
    <m/>
    <m/>
    <m/>
    <m/>
  </r>
  <r>
    <d v="2023-04-16T12:10:58"/>
    <s v="Guéckédou"/>
    <s v="Centre de Gueckédou"/>
    <s v="Individuel"/>
    <s v="Fara Sidy Kamano"/>
    <n v="622561829"/>
    <m/>
    <s v="Koundou"/>
    <n v="30"/>
    <s v="Déchaumage"/>
    <n v="8"/>
    <s v="Ganayon"/>
    <s v="Inconnu"/>
    <s v="6 mois"/>
    <d v="2023-04-18T00:00:00"/>
    <m/>
    <s v="Lamine Condé"/>
    <s v="Riz"/>
    <x v="1"/>
    <n v="8"/>
    <d v="2023-04-17T00:00:00"/>
    <x v="14"/>
    <m/>
    <m/>
    <m/>
    <m/>
  </r>
  <r>
    <d v="2023-04-17T09:59:44"/>
    <s v="Dubréka"/>
    <s v="Ouassou"/>
    <s v="Individuel"/>
    <s v="Sedouba camara"/>
    <n v="626352453"/>
    <n v="626352453"/>
    <s v="Koba-Tatema"/>
    <n v="7"/>
    <s v="Labour - uniquement"/>
    <n v="2"/>
    <s v="Balenta"/>
    <s v="Nereka"/>
    <s v="6 mois"/>
    <d v="2023-04-17T00:00:00"/>
    <s v="Accord"/>
    <s v="Kissi Camara"/>
    <s v="Riz"/>
    <x v="1"/>
    <n v="2"/>
    <d v="2023-04-17T00:00:00"/>
    <x v="14"/>
    <m/>
    <m/>
    <m/>
    <m/>
  </r>
  <r>
    <d v="2023-04-17T10:23:04"/>
    <s v="Dubréka"/>
    <s v="Ouassou"/>
    <s v="Individuel"/>
    <s v="Sekou kaba"/>
    <n v="629898667"/>
    <n v="629898667"/>
    <s v="Dubréka Centre"/>
    <n v="130"/>
    <s v="Labour - uniquement"/>
    <n v="2"/>
    <s v="Ronde"/>
    <s v="Pomme"/>
    <s v="3 mois"/>
    <d v="2023-04-19T00:00:00"/>
    <s v="Accord"/>
    <s v="Kissi Camara"/>
    <s v="Tomate"/>
    <x v="1"/>
    <n v="2"/>
    <d v="2023-04-17T00:00:00"/>
    <x v="14"/>
    <m/>
    <m/>
    <m/>
    <m/>
  </r>
  <r>
    <d v="2023-04-23T09:16:48"/>
    <s v="Guéckédou"/>
    <s v="Centre de Gueckédou"/>
    <s v="Individuel"/>
    <s v="Fara Sidy Kamano"/>
    <n v="622561829"/>
    <m/>
    <s v="Koundou"/>
    <n v="30"/>
    <s v="Déchaumage"/>
    <n v="3"/>
    <s v="Ganayon"/>
    <s v="Inconnu"/>
    <s v="6 mois"/>
    <d v="2023-04-20T00:00:00"/>
    <m/>
    <s v="Lamine Condé"/>
    <s v="Riz"/>
    <x v="1"/>
    <n v="3"/>
    <d v="2023-04-23T00:00:00"/>
    <x v="15"/>
    <m/>
    <m/>
    <m/>
    <m/>
  </r>
  <r>
    <d v="2023-04-23T11:37:21"/>
    <s v="Macenta"/>
    <s v="Direction préfectorale de l'agriculture et de l'élevage de Macenta"/>
    <s v="Individuel"/>
    <s v="Lanciné Diallo"/>
    <n v="621573030"/>
    <m/>
    <s v="Kouankan"/>
    <n v="80"/>
    <s v="Labour - uniquement"/>
    <n v="20"/>
    <s v="Djoukeme et chinoiba"/>
    <s v="Oriza sativa"/>
    <s v="5 mois"/>
    <d v="2023-04-27T00:00:00"/>
    <s v="Pas"/>
    <s v="Alexandre Kpoghomou"/>
    <s v="Riz"/>
    <x v="1"/>
    <n v="20"/>
    <d v="2023-04-24T00:00:00"/>
    <x v="15"/>
    <m/>
    <m/>
    <m/>
    <m/>
  </r>
  <r>
    <d v="2023-04-24T00:19:41"/>
    <s v="Faranah"/>
    <s v="Aviation"/>
    <s v="Individuel"/>
    <s v="Lanciné cissé"/>
    <n v="629822877"/>
    <m/>
    <s v="Banfélé"/>
    <n v="150"/>
    <s v="Labour - uniquement"/>
    <n v="15"/>
    <s v="Mettre 6"/>
    <s v="Mettre 6"/>
    <s v="6 mois"/>
    <d v="2023-04-26T00:00:00"/>
    <s v="Balan ne figure pas sur la liste"/>
    <s v="Mohamed Fanta kourouma"/>
    <s v="Riz"/>
    <x v="1"/>
    <n v="15"/>
    <d v="2023-04-24T00:00:00"/>
    <x v="15"/>
    <m/>
    <m/>
    <m/>
    <m/>
  </r>
  <r>
    <d v="2023-04-24T12:30:32"/>
    <s v="Kérouané"/>
    <s v="Centre"/>
    <s v="Individuel"/>
    <s v="Daouda Camara"/>
    <n v="628356815"/>
    <n v="628356815"/>
    <s v="Kérouane Centre"/>
    <n v="7"/>
    <s v="Labour - uniquement"/>
    <n v="4"/>
    <s v="Djoufini"/>
    <s v="Djoufini"/>
    <s v="9 mois"/>
    <d v="2023-04-26T00:00:00"/>
    <s v="Bien"/>
    <s v="Moussa Kadia Camara"/>
    <s v="Riz"/>
    <x v="1"/>
    <n v="4"/>
    <d v="2023-04-25T00:00:00"/>
    <x v="15"/>
    <m/>
    <m/>
    <m/>
    <m/>
  </r>
  <r>
    <d v="2023-04-24T12:38:35"/>
    <s v="Kérouané"/>
    <s v="Centre"/>
    <s v="Individuel"/>
    <s v="Noumam Keita"/>
    <n v="622570581"/>
    <n v="622570581"/>
    <s v="Kérouane Centre"/>
    <n v="3"/>
    <s v="Labour - uniquement"/>
    <n v="4"/>
    <s v="CK 8"/>
    <s v="CK 8"/>
    <s v="6 mois"/>
    <d v="2023-04-27T00:00:00"/>
    <m/>
    <s v="Moussa Kadia Camara"/>
    <s v="Riz"/>
    <x v="1"/>
    <n v="4"/>
    <d v="2023-04-25T00:00:00"/>
    <x v="15"/>
    <m/>
    <m/>
    <m/>
    <m/>
  </r>
  <r>
    <d v="2023-04-24T12:43:33"/>
    <s v="Kérouané"/>
    <s v="Centre"/>
    <s v="Individuel"/>
    <s v="Youssouf Traoré"/>
    <n v="623039062"/>
    <n v="623039062"/>
    <s v="Kérouane Centre"/>
    <n v="8"/>
    <s v="Labour - uniquement"/>
    <n v="3"/>
    <s v="Samory"/>
    <s v="Samory"/>
    <s v="6 mois"/>
    <d v="2023-04-26T00:00:00"/>
    <m/>
    <s v="Moussa Kadia Camara"/>
    <s v="Riz"/>
    <x v="1"/>
    <n v="3"/>
    <d v="2023-04-25T00:00:00"/>
    <x v="15"/>
    <m/>
    <m/>
    <m/>
    <m/>
  </r>
  <r>
    <d v="2023-04-24T12:51:03"/>
    <s v="Kérouané"/>
    <s v="Centre"/>
    <s v="Individuel"/>
    <s v="Adama Konaté"/>
    <n v="620877548"/>
    <n v="620978548"/>
    <s v="Kérouane Centre"/>
    <n v="7"/>
    <s v="Labour - uniquement"/>
    <n v="2"/>
    <s v="Samory"/>
    <s v="Samory"/>
    <s v="6 mois"/>
    <d v="2023-04-26T00:00:00"/>
    <m/>
    <s v="Moussa Kadia Camara"/>
    <s v="Riz"/>
    <x v="1"/>
    <n v="2"/>
    <d v="2023-04-25T00:00:00"/>
    <x v="15"/>
    <m/>
    <m/>
    <m/>
    <m/>
  </r>
  <r>
    <d v="2023-04-24T12:54:25"/>
    <s v="Kérouané"/>
    <s v="Centre"/>
    <s v="Individuel"/>
    <s v="Moussa Camara"/>
    <n v="628569230"/>
    <n v="628569230"/>
    <s v="Kérouane Centre"/>
    <n v="3"/>
    <s v="Labour - uniquement"/>
    <n v="2"/>
    <s v="Samory"/>
    <s v="Samory"/>
    <s v="6 mois"/>
    <d v="2023-04-28T00:00:00"/>
    <m/>
    <s v="Moussa Kadia Camara"/>
    <s v="Riz"/>
    <x v="1"/>
    <n v="2"/>
    <d v="2023-04-25T00:00:00"/>
    <x v="15"/>
    <m/>
    <m/>
    <m/>
    <m/>
  </r>
  <r>
    <d v="2023-04-24T12:57:53"/>
    <s v="Kérouané"/>
    <s v="Centre"/>
    <s v="Individuel"/>
    <s v="Mamaridou Mory Camara"/>
    <n v="621169030"/>
    <n v="621169030"/>
    <s v="Kérouane Centre"/>
    <n v="14"/>
    <s v="Labour - uniquement"/>
    <n v="3"/>
    <s v="Djoufini"/>
    <s v="Djoufini"/>
    <s v="9 mois"/>
    <d v="2023-04-27T00:00:00"/>
    <m/>
    <s v="Moussa Kadia Camara"/>
    <s v="Riz"/>
    <x v="1"/>
    <n v="3"/>
    <d v="2023-04-25T00:00:00"/>
    <x v="15"/>
    <m/>
    <m/>
    <m/>
    <m/>
  </r>
  <r>
    <d v="2023-04-24T13:01:00"/>
    <s v="Kérouané"/>
    <s v="Centre"/>
    <s v="Individuel"/>
    <s v="Lancine Camara"/>
    <n v="620548116"/>
    <n v="620548116"/>
    <s v="Kérouane Centre"/>
    <n v="12"/>
    <s v="Labour - uniquement"/>
    <n v="2"/>
    <s v="Kaoulaka oulen"/>
    <s v="Kaoulaka oulen"/>
    <s v="5 mois"/>
    <d v="2023-04-27T00:00:00"/>
    <s v="Bien"/>
    <s v="Moussa Kadia Camara"/>
    <s v="Riz"/>
    <x v="1"/>
    <n v="2"/>
    <d v="2023-04-25T00:00:00"/>
    <x v="15"/>
    <m/>
    <m/>
    <m/>
    <m/>
  </r>
  <r>
    <d v="2023-04-24T13:30:28"/>
    <s v="Kérouané"/>
    <s v="Centre"/>
    <s v="Individuel"/>
    <s v="Mamadi berete"/>
    <n v="628236558"/>
    <n v="664077245"/>
    <s v="Kérouane Centre"/>
    <n v="7"/>
    <s v="Labour - uniquement"/>
    <n v="3"/>
    <s v="Sanbadji"/>
    <s v="Sanbadji"/>
    <s v="6 mois"/>
    <d v="2023-04-27T00:00:00"/>
    <m/>
    <s v="Moussa Kadia Camara"/>
    <s v="Riz"/>
    <x v="1"/>
    <n v="3"/>
    <d v="2023-04-25T00:00:00"/>
    <x v="15"/>
    <m/>
    <m/>
    <m/>
    <m/>
  </r>
  <r>
    <d v="2023-04-24T15:29:20"/>
    <s v="Siguiri"/>
    <s v="Fode Kaba KEITA"/>
    <s v="Individuel"/>
    <s v="Fodé Kaba KEITA"/>
    <n v="662611532"/>
    <m/>
    <s v="Siguiri Centre"/>
    <n v="3"/>
    <s v="Déchaumage"/>
    <n v="1"/>
    <s v="Nenkin"/>
    <s v="Nenkin"/>
    <s v="3 mois"/>
    <d v="2023-04-24T00:00:00"/>
    <m/>
    <s v="Nanamoudou ll Magassouba"/>
    <s v="Riz"/>
    <x v="1"/>
    <n v="1"/>
    <d v="2023-04-24T00:00:00"/>
    <x v="15"/>
    <m/>
    <m/>
    <m/>
    <m/>
  </r>
  <r>
    <d v="2023-04-24T16:49:18"/>
    <s v="Dubréka"/>
    <s v="Ouassou"/>
    <s v="Individuel"/>
    <s v="Mamadou Diallo"/>
    <n v="622249083"/>
    <n v="622249083"/>
    <s v="Koba"/>
    <n v="8"/>
    <s v="Labour - uniquement"/>
    <n v="26"/>
    <s v="Balenta"/>
    <s v="Rock5"/>
    <s v="6 mois"/>
    <d v="2023-04-24T00:00:00"/>
    <s v="Accord"/>
    <s v="Kissi Camara"/>
    <s v="Riz"/>
    <x v="1"/>
    <n v="2"/>
    <d v="2023-04-24T00:00:00"/>
    <x v="15"/>
    <m/>
    <m/>
    <m/>
    <m/>
  </r>
  <r>
    <d v="2023-04-24T17:08:19"/>
    <s v="Kissidougou"/>
    <s v="Commune urbaine"/>
    <s v="Collectif"/>
    <s v="Sékou Kourouma"/>
    <n v="624527199"/>
    <n v="624527199"/>
    <s v="Gbangbadou"/>
    <n v="10"/>
    <s v="Labour - uniquement"/>
    <n v="5"/>
    <s v="CK90"/>
    <s v="CK 90"/>
    <s v="5 mois"/>
    <d v="2023-11-25T00:00:00"/>
    <s v="Ok"/>
    <s v="Mamady 2 Camara"/>
    <s v="Riz"/>
    <x v="1"/>
    <n v="5"/>
    <d v="2023-04-25T00:00:00"/>
    <x v="15"/>
    <m/>
    <m/>
    <m/>
    <m/>
  </r>
  <r>
    <d v="2023-04-24T18:32:32"/>
    <s v="Kissidougou"/>
    <s v="Commune urbaine"/>
    <s v="Individuel"/>
    <s v="Fatouma tounkara"/>
    <n v="628359407"/>
    <n v="628359407"/>
    <s v="Kissidougou Centre"/>
    <n v="1"/>
    <s v="Labour - uniquement"/>
    <n v="2"/>
    <s v="CK 90"/>
    <s v="CK 90"/>
    <s v="5 mois"/>
    <d v="2023-04-25T00:00:00"/>
    <s v="m'balia"/>
    <s v="Mamady 2 Camara"/>
    <s v="Riz"/>
    <x v="0"/>
    <m/>
    <m/>
    <x v="0"/>
    <m/>
    <m/>
    <m/>
    <m/>
  </r>
  <r>
    <d v="2023-04-24T21:23:54"/>
    <s v="Macenta"/>
    <s v="Direction préfectorale de l'agriculture et de l'élevage de Macenta"/>
    <s v="Individuel"/>
    <s v="Maman sovogui"/>
    <n v="622684055"/>
    <m/>
    <s v="Macenta Centre"/>
    <n v="12"/>
    <s v="Labour - uniquement"/>
    <n v="2"/>
    <s v="Djoukeme"/>
    <s v="Oriza sativa"/>
    <s v="5 mois"/>
    <d v="2023-04-27T00:00:00"/>
    <s v="Pas"/>
    <s v="Alexandre Kpoghomou"/>
    <s v="Riz"/>
    <x v="1"/>
    <n v="2"/>
    <d v="2023-04-25T00:00:00"/>
    <x v="15"/>
    <m/>
    <m/>
    <m/>
    <m/>
  </r>
  <r>
    <d v="2023-04-24T21:48:06"/>
    <s v="Boké"/>
    <s v="boké centre"/>
    <s v="Individuel"/>
    <s v="El Bah Souleymane"/>
    <n v="620467452"/>
    <n v="0"/>
    <s v="Tanéné"/>
    <n v="40"/>
    <s v="Labour + Pulvérisation"/>
    <n v="20"/>
    <s v="non"/>
    <s v="non"/>
    <s v="4 mois"/>
    <d v="2023-04-25T00:00:00"/>
    <s v="fin Avril 2023"/>
    <s v="Elhadj Souaré Mamadou Dian"/>
    <s v="Riz"/>
    <x v="0"/>
    <m/>
    <m/>
    <x v="0"/>
    <m/>
    <m/>
    <m/>
    <m/>
  </r>
  <r>
    <d v="2023-04-24T21:55:30"/>
    <s v="Boké"/>
    <s v="boké centre"/>
    <s v="Collectif"/>
    <s v="Soufiana Mandy"/>
    <n v="620467452"/>
    <n v="0"/>
    <s v="Kolaboui"/>
    <n v="35"/>
    <s v="Labour + Pulvérisation"/>
    <n v="20"/>
    <s v="non"/>
    <s v="non"/>
    <s v="5 mois"/>
    <d v="2023-05-01T00:00:00"/>
    <s v="dans kolaboui(kibola)"/>
    <s v="Elhadj Souaré Mamadou Dian"/>
    <s v="Riz"/>
    <x v="0"/>
    <m/>
    <m/>
    <x v="0"/>
    <m/>
    <m/>
    <m/>
    <m/>
  </r>
  <r>
    <d v="2023-04-24T22:00:58"/>
    <s v="Boké"/>
    <s v="boké centre"/>
    <s v="Collectif"/>
    <s v="Sana Keïta"/>
    <n v="620758936"/>
    <n v="0"/>
    <s v="Bintimodiya"/>
    <n v="75"/>
    <s v="Labour + Pulvérisation"/>
    <n v="25"/>
    <s v="non"/>
    <s v="non"/>
    <s v="5 mois"/>
    <d v="2023-05-01T00:00:00"/>
    <s v="A coftondé pour un groupement"/>
    <s v="Elhadj Souaré Mamadou Dian"/>
    <s v="Riz"/>
    <x v="0"/>
    <m/>
    <m/>
    <x v="0"/>
    <m/>
    <m/>
    <m/>
    <m/>
  </r>
  <r>
    <d v="2023-04-24T22:07:37"/>
    <s v="Boké"/>
    <s v="boké centre"/>
    <s v="Collectif"/>
    <s v="groupement exploitation terre rizicole"/>
    <n v="0"/>
    <n v="0"/>
    <s v="Kamsar"/>
    <n v="45"/>
    <s v="Labour + Pulvérisation"/>
    <n v="5"/>
    <s v="non"/>
    <s v="non"/>
    <s v="5 mois"/>
    <d v="2023-05-20T00:00:00"/>
    <s v="dans le kawass à momoyiré"/>
    <s v="Elhadj Souaré Mamadou Dian"/>
    <s v="Riz"/>
    <x v="0"/>
    <m/>
    <m/>
    <x v="0"/>
    <m/>
    <m/>
    <m/>
    <m/>
  </r>
  <r>
    <d v="2023-04-25T07:18:35"/>
    <s v="Macenta"/>
    <s v="Direction préfectorale de l'agriculture et de l'élevage de Macenta"/>
    <s v="Individuel"/>
    <s v="Aly Bereté"/>
    <n v="627638414"/>
    <m/>
    <s v="Kouankan"/>
    <n v="90"/>
    <s v="Labour - uniquement"/>
    <n v="2"/>
    <s v="Chinoiba"/>
    <s v="Oriza sativa"/>
    <s v="5 mois"/>
    <d v="2023-04-27T00:00:00"/>
    <s v="Pas"/>
    <s v="Alexandre Kpoghomou"/>
    <s v="Riz"/>
    <x v="1"/>
    <n v="6"/>
    <d v="2023-04-25T00:00:00"/>
    <x v="15"/>
    <m/>
    <m/>
    <m/>
    <m/>
  </r>
  <r>
    <d v="2023-04-25T08:25:58"/>
    <s v="Kérouané"/>
    <s v="Centre"/>
    <s v="Individuel"/>
    <s v="Sidjano"/>
    <n v="623697128"/>
    <n v="623697128"/>
    <s v="Kérouane Centre"/>
    <n v="5"/>
    <s v="Labour - uniquement"/>
    <n v="2"/>
    <s v="Samory"/>
    <s v="Samory"/>
    <s v="5 mois"/>
    <d v="2023-04-24T00:00:00"/>
    <m/>
    <s v="Moussa Kadia Camara"/>
    <s v="Riz"/>
    <x v="1"/>
    <n v="2"/>
    <d v="2023-04-25T00:00:00"/>
    <x v="15"/>
    <m/>
    <m/>
    <m/>
    <m/>
  </r>
  <r>
    <d v="2023-04-25T08:30:09"/>
    <s v="Kérouané"/>
    <s v="Centre"/>
    <s v="Individuel"/>
    <s v="Fodé Camara"/>
    <n v="629570595"/>
    <n v="629570595"/>
    <s v="Kérouane Centre"/>
    <n v="3"/>
    <s v="Labour - uniquement"/>
    <n v="2"/>
    <s v="Moussagbe"/>
    <s v="Moussagbe"/>
    <s v="9 mois"/>
    <d v="2023-04-23T00:00:00"/>
    <m/>
    <s v="Moussa Kadia Camara"/>
    <s v="Riz"/>
    <x v="1"/>
    <n v="2"/>
    <d v="2023-04-25T00:00:00"/>
    <x v="15"/>
    <m/>
    <m/>
    <m/>
    <m/>
  </r>
  <r>
    <d v="2023-04-25T09:12:31"/>
    <s v="Dubréka"/>
    <s v="Ouassou"/>
    <s v="Individuel"/>
    <s v="Hadja mama fofana"/>
    <n v="622401840"/>
    <n v="622401840"/>
    <s v="Tanéné"/>
    <n v="25"/>
    <s v="Labour - uniquement"/>
    <n v="2"/>
    <s v="Rouge"/>
    <s v="Nigerianne"/>
    <s v="9 mois"/>
    <d v="2023-04-26T00:00:00"/>
    <s v="Accord"/>
    <s v="Kissi Camara"/>
    <s v="Manioc"/>
    <x v="1"/>
    <n v="2"/>
    <d v="2023-04-25T00:00:00"/>
    <x v="15"/>
    <m/>
    <m/>
    <m/>
    <m/>
  </r>
  <r>
    <d v="2023-04-25T09:30:57"/>
    <s v="Boffa"/>
    <s v="Koba"/>
    <s v="Individuel"/>
    <s v="Moussa Sangaré"/>
    <n v="621044012"/>
    <m/>
    <s v="Mankountan"/>
    <n v="175"/>
    <s v="Labour + Pulvérisation"/>
    <n v="40"/>
    <s v="Baga Malé"/>
    <s v="J'ignore"/>
    <s v="6 mois"/>
    <d v="2023-05-01T00:00:00"/>
    <m/>
    <s v="Alya Foulématou Camara"/>
    <s v="Riz"/>
    <x v="1"/>
    <n v="40"/>
    <d v="2023-05-08T00:00:00"/>
    <x v="16"/>
    <s v="3BFA001T"/>
    <m/>
    <m/>
    <m/>
  </r>
  <r>
    <d v="2023-04-25T09:38:20"/>
    <s v="Boffa"/>
    <s v="Koba"/>
    <s v="Individuel"/>
    <s v="Mohamed Sylla"/>
    <n v="611586208"/>
    <m/>
    <s v="Tougnifili"/>
    <n v="160"/>
    <s v="Labour + Pulvérisation"/>
    <n v="2"/>
    <s v="Baga Malé"/>
    <s v="J'ignore"/>
    <s v="6 mois"/>
    <d v="2023-05-15T00:00:00"/>
    <s v="Manque criard de tracteur"/>
    <s v="Alya Foulématou Camara"/>
    <s v="Riz"/>
    <x v="0"/>
    <m/>
    <m/>
    <x v="0"/>
    <m/>
    <m/>
    <m/>
    <m/>
  </r>
  <r>
    <d v="2023-04-25T11:41:06"/>
    <s v="Siguiri"/>
    <s v="Siguiri"/>
    <s v="Individuel"/>
    <s v="Nanamoudou MAGASSOUBA"/>
    <n v="628736025"/>
    <m/>
    <s v="Siguiri Centre"/>
    <n v="2"/>
    <s v="Déchaumage"/>
    <n v="1"/>
    <s v="Dissibawoulen"/>
    <s v="Dissibawoulen"/>
    <s v="4 mois"/>
    <d v="2023-04-27T00:00:00"/>
    <m/>
    <s v="Nanamoudou ll Magassouba"/>
    <s v="Riz"/>
    <x v="0"/>
    <m/>
    <m/>
    <x v="0"/>
    <m/>
    <m/>
    <m/>
    <m/>
  </r>
  <r>
    <d v="2023-04-25T14:37:08"/>
    <s v="Mandiana"/>
    <s v="Cours du bloc Administratif"/>
    <s v="Collectif"/>
    <s v="Madou kanté"/>
    <n v="622384741"/>
    <m/>
    <s v="Dialakoro"/>
    <n v="138"/>
    <s v="Labour + Pulvérisation"/>
    <n v="50"/>
    <s v="Kamiaba,nenken, 52"/>
    <s v="Ne connais pas"/>
    <s v="4 mois"/>
    <d v="2023-05-15T00:00:00"/>
    <m/>
    <s v="Nounkè Doumbouya"/>
    <s v="Riz"/>
    <x v="0"/>
    <m/>
    <m/>
    <x v="0"/>
    <m/>
    <m/>
    <m/>
    <m/>
  </r>
  <r>
    <d v="2023-04-25T14:42:44"/>
    <s v="Mandiana"/>
    <s v="Cours du bloc Administratif"/>
    <s v="Collectif"/>
    <s v="Fassiriman KONATÉ"/>
    <n v="622722909"/>
    <m/>
    <s v="Mandiana Centre"/>
    <n v="28"/>
    <s v="Labour + Pulvérisation"/>
    <n v="115"/>
    <s v="Kaolac, sweta"/>
    <s v="Ne connais pas"/>
    <s v="5 mois"/>
    <d v="2023-04-29T00:00:00"/>
    <s v="La localité s'appel Kodiaran elle est érigé en sous préfecture"/>
    <s v="Nounkè Doumbouya"/>
    <s v="Riz"/>
    <x v="1"/>
    <n v="15"/>
    <d v="2023-05-04T00:00:00"/>
    <x v="17"/>
    <s v="7MNA001T"/>
    <m/>
    <m/>
    <m/>
  </r>
  <r>
    <d v="2023-04-25T16:31:05"/>
    <s v="Forécariah"/>
    <s v="Forecariah"/>
    <s v="Individuel"/>
    <s v="Almamy daouda touré"/>
    <n v="628284857"/>
    <m/>
    <s v="Alassoya"/>
    <n v="10"/>
    <s v="Labour - uniquement"/>
    <n v="5"/>
    <s v="CK90"/>
    <s v="CK90"/>
    <s v="4 mois"/>
    <d v="2023-04-26T00:00:00"/>
    <m/>
    <s v="Diamouré keita"/>
    <s v="Riz"/>
    <x v="1"/>
    <n v="5"/>
    <d v="2023-04-25T00:00:00"/>
    <x v="15"/>
    <m/>
    <m/>
    <m/>
    <m/>
  </r>
  <r>
    <d v="2023-04-26T08:54:58"/>
    <s v="Kissidougou"/>
    <s v="Commune urbaine"/>
    <s v="Individuel"/>
    <s v="Kalil savane"/>
    <n v="622668258"/>
    <n v="622668258"/>
    <s v="Kissidougou Centre"/>
    <n v="500"/>
    <s v="Labour - uniquement"/>
    <n v="1"/>
    <s v="CK90"/>
    <s v="CK90"/>
    <s v="5 mois"/>
    <d v="2023-04-26T00:00:00"/>
    <s v="Ok"/>
    <s v="Mamady 2 Camara"/>
    <s v="Riz"/>
    <x v="1"/>
    <n v="1"/>
    <d v="2023-04-26T00:00:00"/>
    <x v="15"/>
    <m/>
    <m/>
    <m/>
    <m/>
  </r>
  <r>
    <d v="2023-04-26T11:22:37"/>
    <s v="Kissidougou"/>
    <s v="Commune urbaine"/>
    <s v="Individuel"/>
    <s v="Alpha Kamano"/>
    <n v="620151101"/>
    <n v="620151101"/>
    <s v="Beindou"/>
    <n v="7"/>
    <s v="Labour - uniquement"/>
    <n v="1"/>
    <s v="CK 90"/>
    <s v="CK 90"/>
    <s v="5 mois"/>
    <d v="2023-04-27T00:00:00"/>
    <s v="Ok"/>
    <s v="Mamady 2 Camara"/>
    <s v="Riz"/>
    <x v="1"/>
    <n v="1"/>
    <d v="2023-05-02T00:00:00"/>
    <x v="17"/>
    <s v="6KOU007T"/>
    <m/>
    <m/>
    <m/>
  </r>
  <r>
    <d v="2023-04-26T12:07:57"/>
    <s v="Kissidougou"/>
    <s v="Commune urbaine"/>
    <s v="Individuel"/>
    <s v="Laye tounkara"/>
    <n v="621066872"/>
    <n v="621066872"/>
    <s v="Fermesadou"/>
    <n v="7"/>
    <s v="Labour - uniquement"/>
    <n v="2"/>
    <s v="CK 90"/>
    <s v="CK 90"/>
    <s v="5 mois"/>
    <d v="2023-04-26T00:00:00"/>
    <s v="Ok"/>
    <s v="Mamady 2 Camara"/>
    <s v="Riz"/>
    <x v="1"/>
    <n v="2"/>
    <d v="2023-04-26T00:00:00"/>
    <x v="15"/>
    <m/>
    <m/>
    <m/>
    <m/>
  </r>
  <r>
    <d v="2023-04-26T12:09:17"/>
    <s v="Lola"/>
    <s v="Direction Préfectorale de l'Agriculture et de l'Élévage de Lola"/>
    <s v="Individuel"/>
    <s v="Seriffe Abibe"/>
    <n v="620164029"/>
    <m/>
    <s v="Lainé"/>
    <n v="12"/>
    <s v="Labour - uniquement"/>
    <n v="10"/>
    <s v="Rokeïta"/>
    <s v="Oriza sativa"/>
    <s v="5 mois"/>
    <d v="2023-05-01T00:00:00"/>
    <m/>
    <s v="Pokpa Delamou"/>
    <s v="Riz"/>
    <x v="0"/>
    <m/>
    <m/>
    <x v="0"/>
    <m/>
    <m/>
    <m/>
    <m/>
  </r>
  <r>
    <d v="2023-04-26T12:09:40"/>
    <s v="Forécariah"/>
    <s v="Forecariah"/>
    <s v="Individuel"/>
    <s v="Mouhamed conté"/>
    <n v="610388332"/>
    <m/>
    <s v="Maferenya"/>
    <n v="27"/>
    <s v="Labour - uniquement"/>
    <n v="4"/>
    <s v="perta"/>
    <s v="Perta"/>
    <s v="3 mois"/>
    <d v="2023-04-27T00:00:00"/>
    <m/>
    <s v="Diamouré keita"/>
    <s v="Maïs"/>
    <x v="1"/>
    <n v="4"/>
    <d v="2023-04-26T00:00:00"/>
    <x v="15"/>
    <m/>
    <m/>
    <m/>
    <m/>
  </r>
  <r>
    <d v="2023-04-26T12:44:47"/>
    <s v="Kissidougou"/>
    <s v="Commune urbaine"/>
    <s v="Individuel"/>
    <s v="Agrisamo SARL"/>
    <n v="625411748"/>
    <n v="625411748"/>
    <s v="Fermesadou"/>
    <n v="5"/>
    <s v="Labour - uniquement"/>
    <n v="8"/>
    <s v="Local"/>
    <s v="Local"/>
    <s v="3 mois"/>
    <d v="2023-04-26T00:00:00"/>
    <s v="Ok"/>
    <s v="Mamady 2 Camara"/>
    <s v="Maïs"/>
    <x v="1"/>
    <n v="10"/>
    <d v="2023-05-11T00:00:00"/>
    <x v="16"/>
    <s v="6KOU001T"/>
    <m/>
    <m/>
    <m/>
  </r>
  <r>
    <d v="2023-04-26T13:34:04"/>
    <s v="Kankan"/>
    <s v="Bordeaux"/>
    <s v="Individuel"/>
    <s v="Ibrahima condé"/>
    <n v="620115269"/>
    <n v="0"/>
    <s v="Sabadou-Baranama"/>
    <n v="85"/>
    <s v="Déchaumage"/>
    <n v="5"/>
    <s v="Tchotcho"/>
    <s v="Variété locale"/>
    <s v="6 mois"/>
    <d v="2023-04-28T00:00:00"/>
    <s v="Petit producteur"/>
    <s v="Moussa Alamako Keita"/>
    <s v="Riz"/>
    <x v="1"/>
    <n v="5"/>
    <d v="2023-04-26T00:00:00"/>
    <x v="15"/>
    <m/>
    <m/>
    <m/>
    <m/>
  </r>
  <r>
    <d v="2023-04-26T16:20:28"/>
    <s v="Beyla"/>
    <s v="Beyla centre"/>
    <s v="Individuel"/>
    <s v="Moussa Bamba"/>
    <n v="623239422"/>
    <m/>
    <s v="Gbéssoba"/>
    <n v="130"/>
    <s v="Labour - uniquement"/>
    <n v="20"/>
    <s v="Djoufini"/>
    <s v="Djoufini"/>
    <s v="5 mois"/>
    <d v="2023-04-27T00:00:00"/>
    <m/>
    <s v="Moussa Conde"/>
    <s v="Riz"/>
    <x v="1"/>
    <n v="20"/>
    <d v="2023-04-27T00:00:00"/>
    <x v="15"/>
    <m/>
    <m/>
    <m/>
    <m/>
  </r>
  <r>
    <d v="2023-04-26T16:26:03"/>
    <s v="Beyla"/>
    <s v="Beyla centre"/>
    <s v="Individuel"/>
    <s v="Sekou Conde"/>
    <n v="629086697"/>
    <m/>
    <s v="Diarraguerela"/>
    <n v="80"/>
    <s v="Labour - uniquement"/>
    <n v="12"/>
    <s v="Malogbèny"/>
    <s v="Riz blanc"/>
    <s v="4 mois"/>
    <d v="2023-04-27T00:00:00"/>
    <m/>
    <s v="Moussa Conde"/>
    <s v="Riz"/>
    <x v="1"/>
    <n v="12"/>
    <d v="2023-04-27T00:00:00"/>
    <x v="15"/>
    <m/>
    <m/>
    <m/>
    <m/>
  </r>
  <r>
    <d v="2023-04-26T16:32:11"/>
    <s v="Beyla"/>
    <s v="Beyla"/>
    <s v="Individuel"/>
    <s v="Moussa Traoré"/>
    <n v="620453004"/>
    <m/>
    <s v="Boola"/>
    <n v="10"/>
    <s v="Labour - uniquement"/>
    <n v="7"/>
    <s v="Riz blanc"/>
    <s v="Riz blanc"/>
    <s v="5 mois"/>
    <d v="2023-04-27T00:00:00"/>
    <m/>
    <s v="Moussa Conde"/>
    <s v="Riz"/>
    <x v="1"/>
    <n v="7"/>
    <d v="2023-04-27T00:00:00"/>
    <x v="15"/>
    <m/>
    <m/>
    <m/>
    <m/>
  </r>
  <r>
    <d v="2023-04-26T16:39:31"/>
    <s v="Beyla"/>
    <s v="Beyla centre"/>
    <s v="Individuel"/>
    <s v="Vamougnè Chérif"/>
    <n v="620269228"/>
    <m/>
    <s v="Nionsomoridou"/>
    <n v="10"/>
    <s v="Labour - uniquement"/>
    <n v="5"/>
    <s v="Djoukèmè"/>
    <s v="Riz"/>
    <s v="6 mois"/>
    <d v="2023-04-27T00:00:00"/>
    <m/>
    <s v="Moussa Conde"/>
    <s v="Riz"/>
    <x v="1"/>
    <n v="5"/>
    <d v="2023-04-27T00:00:00"/>
    <x v="15"/>
    <m/>
    <m/>
    <m/>
    <m/>
  </r>
  <r>
    <d v="2023-04-26T20:50:12"/>
    <s v="Kankan"/>
    <s v="Bordeaux"/>
    <s v="Individuel"/>
    <s v="Kadia Keita"/>
    <n v="628597541"/>
    <n v="0"/>
    <s v="Koumban"/>
    <n v="40"/>
    <s v="Déchaumage"/>
    <n v="9"/>
    <s v="Chinois"/>
    <s v="Variété locale"/>
    <s v="6 mois"/>
    <d v="2023-04-26T00:00:00"/>
    <s v="Grande productrice"/>
    <s v="Moussa Alamako Keita"/>
    <s v="Riz"/>
    <x v="1"/>
    <n v="9"/>
    <d v="2023-04-27T00:00:00"/>
    <x v="15"/>
    <m/>
    <m/>
    <m/>
    <m/>
  </r>
  <r>
    <d v="2023-04-26T21:59:51"/>
    <s v="Lola"/>
    <s v="Direction préfectorale de l' agriculture et de l'élevage"/>
    <s v="Individuel"/>
    <s v="Pierre Ninamou"/>
    <n v="624411913"/>
    <m/>
    <s v="Lainé"/>
    <n v="10"/>
    <s v="Labour - uniquement"/>
    <n v="5"/>
    <s v="Opatempa jaune"/>
    <s v="Zea Maïs"/>
    <s v="3 mois"/>
    <d v="2023-05-01T00:00:00"/>
    <m/>
    <s v="Pokpa Delamou"/>
    <s v="Maïs"/>
    <x v="1"/>
    <n v="26.5"/>
    <d v="2023-05-06T00:00:00"/>
    <x v="17"/>
    <s v="8LLA002T"/>
    <m/>
    <m/>
    <m/>
  </r>
  <r>
    <d v="2023-04-27T06:52:50"/>
    <s v="Macenta"/>
    <s v="Direction préfectorale de l'agriculture et de l'élevage de Macenta"/>
    <s v="Individuel"/>
    <s v="Mory Sangaré"/>
    <n v="624420356"/>
    <m/>
    <s v="Kouankan"/>
    <n v="90"/>
    <s v="Labour - uniquement"/>
    <n v="2"/>
    <s v="Chinoiba"/>
    <s v="Oriza sativa"/>
    <s v="5 mois"/>
    <d v="2023-04-29T00:00:00"/>
    <s v="Pas"/>
    <s v="Alexandre Kpoghomou"/>
    <s v="Riz"/>
    <x v="1"/>
    <n v="6"/>
    <d v="2023-04-27T00:00:00"/>
    <x v="15"/>
    <m/>
    <m/>
    <m/>
    <m/>
  </r>
  <r>
    <d v="2023-04-27T06:57:23"/>
    <s v="Macenta"/>
    <s v="Direction préfectorale de l'agriculture et de l'élevage de Macenta"/>
    <s v="Individuel"/>
    <s v="Moussa kourouma"/>
    <n v="624327385"/>
    <m/>
    <s v="Kouankan"/>
    <n v="90"/>
    <s v="Labour - uniquement"/>
    <n v="3"/>
    <s v="Chinoiba"/>
    <s v="Oriza sativa"/>
    <s v="5 mois"/>
    <d v="2023-04-30T00:00:00"/>
    <s v="Pas"/>
    <s v="Alexandre Kpoghomou"/>
    <s v="Riz"/>
    <x v="1"/>
    <n v="2"/>
    <d v="2023-04-27T00:00:00"/>
    <x v="15"/>
    <m/>
    <m/>
    <m/>
    <m/>
  </r>
  <r>
    <d v="2023-04-27T07:00:37"/>
    <s v="Lola"/>
    <s v="Direction préfectorale de l'agriculture et de l' élevage"/>
    <s v="Individuel"/>
    <s v="Mamadou kamara"/>
    <n v="621078717"/>
    <m/>
    <s v="Lainé"/>
    <n v="10"/>
    <s v="Labour - uniquement"/>
    <n v="10"/>
    <s v="Opatempa jaune"/>
    <s v="Zea Maïs"/>
    <s v="3 mois"/>
    <d v="2023-05-01T00:00:00"/>
    <m/>
    <s v="Pokpa Delamou"/>
    <s v="Maïs"/>
    <x v="0"/>
    <m/>
    <m/>
    <x v="0"/>
    <m/>
    <m/>
    <m/>
    <m/>
  </r>
  <r>
    <d v="2023-04-27T07:09:48"/>
    <s v="Lola"/>
    <s v="Direction préfectorale de l' agriculture et de l' élevage de lola"/>
    <s v="Individuel"/>
    <s v="Mamadou kamara"/>
    <n v="621078717"/>
    <m/>
    <s v="Lainé"/>
    <n v="10"/>
    <s v="Labour - uniquement"/>
    <n v="10"/>
    <s v="Manioc douce"/>
    <s v="Manihot utillisuma"/>
    <s v="4 mois"/>
    <d v="2023-05-07T00:00:00"/>
    <m/>
    <s v="Pokpa Delamou"/>
    <s v="Manioc"/>
    <x v="0"/>
    <m/>
    <m/>
    <x v="0"/>
    <m/>
    <m/>
    <m/>
    <m/>
  </r>
  <r>
    <d v="2023-04-27T10:36:09"/>
    <s v="Kissidougou"/>
    <s v="Commune urbaine"/>
    <s v="Individuel"/>
    <s v="Fakaba Kaba"/>
    <n v="623968729"/>
    <n v="623968729"/>
    <s v="Kissidougou Centre"/>
    <n v="2"/>
    <s v="Labour - uniquement"/>
    <n v="3"/>
    <s v="CK 90"/>
    <s v="CK 90"/>
    <s v="5 mois"/>
    <d v="2023-04-27T00:00:00"/>
    <s v="OK"/>
    <s v="Mamady 2 Camara"/>
    <s v="Riz"/>
    <x v="1"/>
    <n v="3"/>
    <d v="2023-05-02T00:00:00"/>
    <x v="17"/>
    <s v="6KOU002T"/>
    <m/>
    <m/>
    <m/>
  </r>
  <r>
    <d v="2023-04-27T10:52:28"/>
    <s v="Forécariah"/>
    <s v="Forecariah"/>
    <s v="Individuel"/>
    <s v="Mouhamed Diané"/>
    <n v="627643822"/>
    <m/>
    <s v="Benty"/>
    <n v="73"/>
    <s v="Labour - uniquement"/>
    <n v="2"/>
    <s v="Clé mon ne de gombo"/>
    <s v="clé mon ne de gombo"/>
    <s v="5 mois"/>
    <d v="2023-04-30T00:00:00"/>
    <m/>
    <s v="Diamouré keita"/>
    <s v="Culture maraichère"/>
    <x v="1"/>
    <n v="2"/>
    <d v="2023-04-28T00:00:00"/>
    <x v="15"/>
    <s v="2FAH001T"/>
    <m/>
    <m/>
    <m/>
  </r>
  <r>
    <d v="2023-04-27T10:55:52"/>
    <s v="Faranah"/>
    <s v="Aviation"/>
    <s v="Individuel"/>
    <s v="Baba traoré"/>
    <n v="620171202"/>
    <m/>
    <s v="Beindou"/>
    <n v="10"/>
    <s v="Labour - uniquement"/>
    <n v="2"/>
    <s v="Ck90"/>
    <s v="Ck90"/>
    <s v="4 mois"/>
    <d v="2023-04-30T00:00:00"/>
    <m/>
    <s v="Mohamed Fanta kourouma"/>
    <s v="Riz"/>
    <x v="1"/>
    <n v="2"/>
    <d v="2023-05-02T00:00:00"/>
    <x v="17"/>
    <s v="6FAH002T"/>
    <m/>
    <m/>
    <m/>
  </r>
  <r>
    <d v="2023-04-27T12:05:41"/>
    <s v="Beyla"/>
    <s v="Beyla centre"/>
    <s v="Individuel"/>
    <s v="Ousmane Diabate"/>
    <n v="621039958"/>
    <m/>
    <s v="Samana"/>
    <n v="64"/>
    <s v="Labour - uniquement"/>
    <n v="10"/>
    <s v="Samoé"/>
    <s v="Riz"/>
    <s v="6 mois"/>
    <d v="2023-04-28T00:00:00"/>
    <m/>
    <s v="Moussa Conde"/>
    <s v="Riz"/>
    <x v="1"/>
    <n v="10"/>
    <d v="2023-04-27T00:00:00"/>
    <x v="15"/>
    <s v="8BLA010T"/>
    <m/>
    <m/>
    <m/>
  </r>
  <r>
    <d v="2023-04-27T12:48:39"/>
    <s v="Kankan"/>
    <s v="Bordeaux"/>
    <s v="Collectif"/>
    <s v="Konkokele"/>
    <n v="628451165"/>
    <n v="0"/>
    <s v="Boula"/>
    <n v="185"/>
    <s v="Labour - uniquement"/>
    <n v="22"/>
    <s v="Samorikelet"/>
    <s v="Variété locale"/>
    <s v="4 mois"/>
    <d v="2023-05-05T00:00:00"/>
    <s v="Champ de groupement"/>
    <s v="Moussa Alamako Keita"/>
    <s v="Riz"/>
    <x v="0"/>
    <m/>
    <m/>
    <x v="0"/>
    <m/>
    <m/>
    <m/>
    <m/>
  </r>
  <r>
    <d v="2023-04-27T12:58:44"/>
    <s v="Kankan"/>
    <s v="Bordeaux"/>
    <s v="Individuel"/>
    <s v="Bakary Sangare"/>
    <n v="624875107"/>
    <n v="0"/>
    <s v="Tinti-Oulen"/>
    <n v="20"/>
    <s v="Labour - uniquement"/>
    <n v="10"/>
    <s v="Kaoulaka"/>
    <s v="Variété locale"/>
    <s v="5 mois"/>
    <d v="2023-04-28T00:00:00"/>
    <s v="Producteur moins"/>
    <s v="Moussa Alamako Keita"/>
    <s v="Riz"/>
    <x v="1"/>
    <n v="10"/>
    <d v="2023-04-27T00:00:00"/>
    <x v="15"/>
    <m/>
    <m/>
    <m/>
    <m/>
  </r>
  <r>
    <d v="2023-04-27T20:10:15"/>
    <s v="Dabola"/>
    <s v="Foundeng 1"/>
    <s v="Individuel"/>
    <s v="Mohamed Kourouma"/>
    <n v="622149331"/>
    <m/>
    <s v="Konindou"/>
    <n v="45"/>
    <s v="Labour - uniquement"/>
    <n v="5"/>
    <s v="Mais"/>
    <s v="Mais"/>
    <s v="3 mois"/>
    <d v="2023-05-15T00:00:00"/>
    <m/>
    <s v="Souleymane Kanté"/>
    <s v="Maïs"/>
    <x v="0"/>
    <m/>
    <m/>
    <x v="0"/>
    <m/>
    <m/>
    <m/>
    <m/>
  </r>
  <r>
    <d v="2023-04-28T08:11:06"/>
    <s v="Kérouané"/>
    <s v="Centre"/>
    <s v="Individuel"/>
    <s v="Lonceny Traoré"/>
    <n v="623400834"/>
    <n v="623400834"/>
    <s v="Kérouane Centre"/>
    <n v="7"/>
    <s v="Labour - uniquement"/>
    <n v="3"/>
    <s v="Samory"/>
    <s v="Samory"/>
    <s v="5 mois"/>
    <d v="2023-04-28T00:00:00"/>
    <m/>
    <s v="Moussa Kadia Camara"/>
    <s v="Riz"/>
    <x v="1"/>
    <n v="3"/>
    <d v="2023-04-28T00:00:00"/>
    <x v="15"/>
    <s v="7KNE007T"/>
    <m/>
    <m/>
    <m/>
  </r>
  <r>
    <d v="2023-04-28T08:15:19"/>
    <s v="Kérouané"/>
    <s v="Centre"/>
    <s v="Individuel"/>
    <s v="Mamadi Sidibé"/>
    <n v="623764754"/>
    <n v="623764754"/>
    <s v="Kérouane Centre"/>
    <n v="7"/>
    <s v="Labour - uniquement"/>
    <n v="3"/>
    <s v="Djoufini"/>
    <s v="Djoufini"/>
    <s v="6 mois"/>
    <d v="2023-04-28T00:00:00"/>
    <m/>
    <s v="Moussa Kadia Camara"/>
    <s v="Riz"/>
    <x v="1"/>
    <n v="3"/>
    <d v="2023-04-28T00:00:00"/>
    <x v="15"/>
    <s v="7KNE002T"/>
    <m/>
    <m/>
    <m/>
  </r>
  <r>
    <d v="2023-04-28T08:20:53"/>
    <s v="Kérouané"/>
    <s v="Centre"/>
    <s v="Individuel"/>
    <s v="Amara Camara"/>
    <n v="625331971"/>
    <n v="625331971"/>
    <s v="Kérouane Centre"/>
    <n v="7"/>
    <s v="Labour - uniquement"/>
    <n v="10"/>
    <s v="Samory Djoufini"/>
    <s v="Samory, Djoufini"/>
    <s v="5 mois"/>
    <d v="2023-04-28T00:00:00"/>
    <m/>
    <s v="Moussa Kadia Camara"/>
    <s v="Riz"/>
    <x v="1"/>
    <n v="10"/>
    <d v="2023-04-28T00:00:00"/>
    <x v="15"/>
    <s v="7KNE006T"/>
    <m/>
    <m/>
    <m/>
  </r>
  <r>
    <d v="2023-04-28T08:26:42"/>
    <s v="Kérouané"/>
    <s v="Centre"/>
    <s v="Individuel"/>
    <s v="Abou Touré"/>
    <n v="621630087"/>
    <n v="621630087"/>
    <s v="Kérouane Centre"/>
    <n v="7"/>
    <s v="Labour - uniquement"/>
    <n v="4"/>
    <s v="Samory"/>
    <s v="Samory"/>
    <s v="5 mois"/>
    <d v="2023-04-28T00:00:00"/>
    <m/>
    <s v="Moussa Kadia Camara"/>
    <s v="Riz"/>
    <x v="1"/>
    <n v="4"/>
    <d v="2023-04-28T00:00:00"/>
    <x v="15"/>
    <s v="7KNE002T"/>
    <m/>
    <m/>
    <m/>
  </r>
  <r>
    <d v="2023-04-28T08:30:21"/>
    <s v="Kérouané"/>
    <s v="Centre"/>
    <s v="Individuel"/>
    <s v="Fodé Keita"/>
    <n v="623039868"/>
    <n v="623039868"/>
    <s v="Kérouane Centre"/>
    <n v="7"/>
    <s v="Labour - uniquement"/>
    <n v="1"/>
    <s v="Samory"/>
    <s v="Samory"/>
    <s v="5 mois"/>
    <d v="2023-04-28T00:00:00"/>
    <m/>
    <s v="Moussa Kadia Camara"/>
    <s v="Riz"/>
    <x v="1"/>
    <n v="1"/>
    <d v="2023-04-28T00:00:00"/>
    <x v="15"/>
    <s v="7KNE002T"/>
    <m/>
    <m/>
    <m/>
  </r>
  <r>
    <d v="2023-04-28T08:32:35"/>
    <s v="Kérouané"/>
    <s v="Centre"/>
    <s v="Individuel"/>
    <s v="Mamadi Keita"/>
    <n v="628941416"/>
    <n v="628941416"/>
    <s v="Kérouane Centre"/>
    <n v="7"/>
    <s v="Labour - uniquement"/>
    <n v="1"/>
    <s v="Kaoulaka"/>
    <s v="Kaoulaka"/>
    <s v="5 mois"/>
    <d v="2023-04-28T00:00:00"/>
    <m/>
    <s v="Moussa Kadia Camara"/>
    <s v="Riz"/>
    <x v="1"/>
    <n v="1"/>
    <d v="2023-04-28T00:00:00"/>
    <x v="15"/>
    <s v="7KNE002T"/>
    <m/>
    <m/>
    <m/>
  </r>
  <r>
    <d v="2023-04-28T19:22:26"/>
    <s v="Dinguiraye"/>
    <s v="Dinguiraye centre"/>
    <s v="Individuel"/>
    <s v="Samba Diakité"/>
    <n v="623540264"/>
    <m/>
    <s v="Banora"/>
    <n v="80"/>
    <s v="Labour - uniquement"/>
    <n v="2"/>
    <s v="Morice"/>
    <s v="Morice"/>
    <s v="4 mois"/>
    <d v="2023-04-30T00:00:00"/>
    <m/>
    <s v="Mamadou 1 Diallo"/>
    <s v="Riz"/>
    <x v="1"/>
    <n v="2"/>
    <d v="2023-05-02T00:00:00"/>
    <x v="17"/>
    <s v="6DYE004T"/>
    <m/>
    <m/>
    <m/>
  </r>
  <r>
    <d v="2023-04-29T09:27:34"/>
    <s v="Beyla"/>
    <s v="Beyla centre"/>
    <s v="Individuel"/>
    <s v="Mohamed kenneh"/>
    <n v="610622732"/>
    <m/>
    <s v="Guéassou"/>
    <n v="180"/>
    <s v="Labour - uniquement"/>
    <n v="25"/>
    <s v="Maïs"/>
    <s v="Maïs"/>
    <s v="3 mois"/>
    <d v="2023-05-01T00:00:00"/>
    <m/>
    <s v="Moussa Conde"/>
    <s v="Maïs"/>
    <x v="1"/>
    <n v="25"/>
    <d v="2023-05-02T00:00:00"/>
    <x v="17"/>
    <s v="8BLA011T"/>
    <m/>
    <m/>
    <m/>
  </r>
  <r>
    <d v="2023-04-29T10:11:51"/>
    <s v="Faranah"/>
    <s v="Aviation"/>
    <s v="Individuel"/>
    <s v="Salim cissé"/>
    <n v="628144562"/>
    <m/>
    <s v="Banfélé"/>
    <n v="150"/>
    <s v="Labour - uniquement"/>
    <n v="20"/>
    <s v="Mettre 6"/>
    <s v="Mettre 6"/>
    <s v="6 mois"/>
    <d v="2023-04-29T00:00:00"/>
    <m/>
    <s v="Mohamed Fanta kourouma"/>
    <s v="Riz"/>
    <x v="1"/>
    <n v="20"/>
    <d v="2023-05-02T00:00:00"/>
    <x v="17"/>
    <s v="6FAH008T"/>
    <m/>
    <m/>
    <m/>
  </r>
  <r>
    <d v="2023-04-29T10:57:12"/>
    <s v="Kissidougou"/>
    <s v="Commune urbaine"/>
    <s v="Individuel"/>
    <s v="Théophile teliano"/>
    <n v="621003132"/>
    <n v="621003132"/>
    <s v="Gbangbadou"/>
    <n v="18"/>
    <s v="Labour - uniquement"/>
    <n v="15"/>
    <s v="CK 91"/>
    <s v="CK 91"/>
    <s v="4 mois"/>
    <d v="2023-04-29T00:00:00"/>
    <s v="Korabo"/>
    <s v="Mamady 2 Camara"/>
    <s v="Riz"/>
    <x v="1"/>
    <n v="15"/>
    <d v="2023-05-02T00:00:00"/>
    <x v="17"/>
    <s v="6KOU008T"/>
    <m/>
    <m/>
    <m/>
  </r>
  <r>
    <d v="2023-04-29T11:46:54"/>
    <s v="Mandiana"/>
    <s v="Cours du bloc Administratif"/>
    <s v="Individuel"/>
    <s v="Kalou Diallo"/>
    <n v="620948612"/>
    <m/>
    <s v="Kantoumanina"/>
    <n v="18"/>
    <s v="Labour - uniquement"/>
    <n v="10"/>
    <s v="Dissiba"/>
    <s v="CK"/>
    <s v="5 mois"/>
    <d v="2023-05-05T00:00:00"/>
    <s v="Aptes pour la mécanisation"/>
    <s v="Nounkè Doumbouya"/>
    <s v="Riz"/>
    <x v="0"/>
    <m/>
    <m/>
    <x v="0"/>
    <m/>
    <m/>
    <m/>
    <m/>
  </r>
  <r>
    <d v="2023-04-29T11:53:04"/>
    <s v="Mandiana"/>
    <s v="Cours du bloc Administratif"/>
    <s v="Collectif"/>
    <s v="Moussa CAMARA"/>
    <n v="628065705"/>
    <m/>
    <s v="Dialakoro"/>
    <n v="142"/>
    <s v="Labour - uniquement"/>
    <n v="130"/>
    <s v="Roland, bébaga lawouly"/>
    <s v="Ignorer"/>
    <s v="4 mois"/>
    <d v="2023-05-10T00:00:00"/>
    <s v="Aptes pour la mécanisation"/>
    <s v="Nounkè Doumbouya"/>
    <s v="Riz"/>
    <x v="0"/>
    <m/>
    <m/>
    <x v="0"/>
    <m/>
    <m/>
    <m/>
    <m/>
  </r>
  <r>
    <d v="2023-04-29T12:02:18"/>
    <s v="Mandiana"/>
    <s v="Cours du bloc Administratif"/>
    <s v="Individuel"/>
    <s v="Ibrahima DIALLO"/>
    <n v="628820936"/>
    <m/>
    <s v="Kantoumanina"/>
    <n v="15"/>
    <s v="Labour + Pulvérisation"/>
    <n v="15"/>
    <s v="Tambakelè"/>
    <s v="Ignorer"/>
    <s v="4 mois"/>
    <d v="2023-06-02T00:00:00"/>
    <s v="Aptes pour la mécanisation"/>
    <s v="Nounkè Doumbouya"/>
    <s v="Riz"/>
    <x v="0"/>
    <m/>
    <m/>
    <x v="0"/>
    <m/>
    <m/>
    <m/>
    <m/>
  </r>
  <r>
    <d v="2023-04-29T12:08:41"/>
    <s v="Mandiana"/>
    <s v="Cours du bloc Administratif"/>
    <s v="Individuel"/>
    <s v="Lonceny DIALLO"/>
    <n v="620908794"/>
    <m/>
    <s v="Kantoumanina"/>
    <n v="15"/>
    <s v="Labour - uniquement"/>
    <n v="6"/>
    <s v="Tambakelè"/>
    <s v="Ignorer"/>
    <s v="4 mois"/>
    <d v="2023-06-06T00:00:00"/>
    <s v="Aptes à la mécanisation"/>
    <s v="Nounkè Doumbouya"/>
    <s v="Riz"/>
    <x v="0"/>
    <m/>
    <m/>
    <x v="0"/>
    <m/>
    <m/>
    <m/>
    <m/>
  </r>
  <r>
    <d v="2023-04-29T12:16:42"/>
    <s v="Mandiana"/>
    <s v="Cours du bloc Administratif"/>
    <s v="Individuel"/>
    <s v="Ary Nounkè Diallo"/>
    <n v="623634500"/>
    <m/>
    <s v="Kantoumanina"/>
    <n v="15"/>
    <s v="Labour + Pulvérisation"/>
    <n v="13"/>
    <s v="Tambakelè"/>
    <s v="Ignorer"/>
    <s v="4 mois"/>
    <d v="2023-06-01T00:00:00"/>
    <s v="Aptes"/>
    <s v="Nounkè Doumbouya"/>
    <s v="Riz"/>
    <x v="0"/>
    <m/>
    <m/>
    <x v="0"/>
    <m/>
    <m/>
    <m/>
    <m/>
  </r>
  <r>
    <d v="2023-04-29T12:23:18"/>
    <s v="Mandiana"/>
    <s v="Cours du bloc Administratif"/>
    <s v="Individuel"/>
    <s v="Morikè DIALLO"/>
    <n v="628040569"/>
    <m/>
    <s v="Kantoumanina"/>
    <n v="17"/>
    <s v="Labour - uniquement"/>
    <n v="7"/>
    <s v="Nenken"/>
    <s v="Ignore"/>
    <s v="3 mois"/>
    <d v="2023-07-10T00:00:00"/>
    <s v="Aptes à la mécanisation"/>
    <s v="Nounkè Doumbouya"/>
    <s v="Riz"/>
    <x v="0"/>
    <m/>
    <m/>
    <x v="0"/>
    <m/>
    <m/>
    <m/>
    <m/>
  </r>
  <r>
    <d v="2023-04-29T12:25:55"/>
    <s v="Mandiana"/>
    <s v="Cours du bloc Administratif"/>
    <s v="Individuel"/>
    <s v="Ibrahima Sira Diakite"/>
    <n v="622230676"/>
    <m/>
    <s v="Faralako"/>
    <n v="12"/>
    <s v="Labour + Pulvérisation"/>
    <n v="42"/>
    <s v="Ck 90"/>
    <s v="Ck90"/>
    <s v="5 mois"/>
    <d v="2023-05-25T00:00:00"/>
    <s v="Aptes pour la mécanisation"/>
    <s v="Nounkè Doumbouya"/>
    <s v="Riz"/>
    <x v="0"/>
    <m/>
    <m/>
    <x v="0"/>
    <m/>
    <m/>
    <m/>
    <m/>
  </r>
  <r>
    <d v="2023-04-29T12:49:15"/>
    <s v="Mandiana"/>
    <s v="Cours du bloc Administratif"/>
    <s v="Individuel"/>
    <s v="Filakaly DIALLO"/>
    <n v="622112007"/>
    <m/>
    <s v="Mandiana Centre"/>
    <n v="9"/>
    <s v="Labour + Pulvérisation"/>
    <n v="12"/>
    <s v="Chinois"/>
    <s v="Oriza sativa"/>
    <s v="6 mois"/>
    <d v="2023-05-05T00:00:00"/>
    <s v="Aptes à la mécanisation"/>
    <s v="Nounkè Doumbouya"/>
    <s v="Riz"/>
    <x v="0"/>
    <m/>
    <m/>
    <x v="0"/>
    <m/>
    <m/>
    <m/>
    <m/>
  </r>
  <r>
    <d v="2023-04-29T12:51:56"/>
    <s v="Mandiana"/>
    <s v="Cours du bloc Administratif"/>
    <s v="Individuel"/>
    <s v="Sekouba DIAKITÉ"/>
    <n v="628144273"/>
    <m/>
    <s v="Mandiana Centre"/>
    <n v="9"/>
    <s v="Labour + Pulvérisation"/>
    <n v="15"/>
    <s v="Nerica 19,"/>
    <s v="Nerica 19"/>
    <s v="4 mois"/>
    <d v="2023-06-03T00:00:00"/>
    <s v="Aptes pour la mécanisation"/>
    <s v="Nounkè Doumbouya"/>
    <s v="Riz"/>
    <x v="0"/>
    <m/>
    <m/>
    <x v="0"/>
    <m/>
    <m/>
    <m/>
    <m/>
  </r>
  <r>
    <d v="2023-04-29T12:54:52"/>
    <s v="Mandiana"/>
    <s v="Cours du bloc Administratif"/>
    <s v="Collectif"/>
    <s v="Ousmane DIAKITÉ"/>
    <n v="622339114"/>
    <m/>
    <s v="Mandiana Centre"/>
    <n v="13"/>
    <s v="Labour - uniquement"/>
    <n v="70"/>
    <s v="Nerica 4 et 19"/>
    <s v="Nerica"/>
    <s v="4 mois"/>
    <d v="2023-06-01T00:00:00"/>
    <s v="Aptes pour la mécanisation"/>
    <s v="Nounkè Doumbouya"/>
    <s v="Riz"/>
    <x v="0"/>
    <m/>
    <m/>
    <x v="0"/>
    <m/>
    <m/>
    <m/>
    <m/>
  </r>
  <r>
    <d v="2023-04-29T12:59:05"/>
    <s v="Mandiana"/>
    <s v="Cours du bloc Administratif"/>
    <s v="Collectif"/>
    <s v="Elhadj Madifing Diakité"/>
    <n v="628293857"/>
    <m/>
    <s v="Koundian"/>
    <n v="42"/>
    <s v="Labour + Pulvérisation"/>
    <n v="67"/>
    <s v="Nerica 19"/>
    <s v="Nerica"/>
    <s v="4 mois"/>
    <d v="2023-06-01T00:00:00"/>
    <s v="Aptes pour la mécanisation"/>
    <s v="Nounkè Doumbouya"/>
    <s v="Riz"/>
    <x v="0"/>
    <m/>
    <m/>
    <x v="0"/>
    <m/>
    <m/>
    <m/>
    <m/>
  </r>
  <r>
    <d v="2023-04-29T13:02:07"/>
    <s v="Mandiana"/>
    <s v="Cours du bloc Administratif"/>
    <s v="Collectif"/>
    <s v="Lamine Bayo"/>
    <n v="624049846"/>
    <m/>
    <s v="Mandiana Centre"/>
    <n v="11"/>
    <s v="Labour + Pulvérisation"/>
    <n v="30"/>
    <s v="Kaolac"/>
    <s v="Kaolac"/>
    <s v="5 mois"/>
    <d v="2023-05-27T00:00:00"/>
    <s v="Aptes pour la mécanisation"/>
    <s v="Nounkè Doumbouya"/>
    <s v="Riz"/>
    <x v="0"/>
    <m/>
    <m/>
    <x v="0"/>
    <m/>
    <m/>
    <m/>
    <m/>
  </r>
  <r>
    <d v="2023-04-29T13:05:03"/>
    <s v="Mandiana"/>
    <s v="Cours du bloc Administratif"/>
    <s v="Collectif"/>
    <s v="Aly Diallo"/>
    <n v="622340279"/>
    <m/>
    <s v="Mandiana Centre"/>
    <n v="11"/>
    <s v="Labour + Pulvérisation"/>
    <n v="68"/>
    <s v="Chinois, kaolac"/>
    <s v="Kaolac"/>
    <s v="5 mois"/>
    <d v="2023-05-15T00:00:00"/>
    <s v="Aptes pour la mécanisation"/>
    <s v="Nounkè Doumbouya"/>
    <s v="Riz"/>
    <x v="0"/>
    <m/>
    <m/>
    <x v="0"/>
    <m/>
    <m/>
    <m/>
    <m/>
  </r>
  <r>
    <d v="2023-04-30T09:22:15"/>
    <s v="Macenta"/>
    <s v="Direction préfectorale de l'agriculture et de l'élevage"/>
    <s v="Collectif"/>
    <s v="Dorcas onivogui"/>
    <n v="620279911"/>
    <m/>
    <s v="Daro"/>
    <n v="12"/>
    <s v="Labour - uniquement"/>
    <n v="5"/>
    <s v="Chinoiba"/>
    <s v="Oriza sativa"/>
    <s v="5 mois"/>
    <d v="2023-04-30T00:00:00"/>
    <s v="Pas"/>
    <s v="Alexandre Kpoghomou"/>
    <s v="Riz"/>
    <x v="1"/>
    <n v="5"/>
    <d v="2023-04-30T00:00:00"/>
    <x v="17"/>
    <s v="8MTA004T"/>
    <m/>
    <m/>
    <m/>
  </r>
  <r>
    <d v="2023-04-30T09:26:10"/>
    <s v="Macenta"/>
    <s v="Direction préfectorale de l'agriculture et de l'élevage de Macenta"/>
    <s v="Individuel"/>
    <s v="Abdoulaye Diakité"/>
    <n v="626841494"/>
    <m/>
    <s v="Kouankan"/>
    <n v="90"/>
    <s v="Labour - uniquement"/>
    <n v="5"/>
    <s v="Djoukeme"/>
    <s v="Oriza sativa"/>
    <s v="5 mois"/>
    <d v="2023-05-03T00:00:00"/>
    <s v="Pas"/>
    <s v="Alexandre Kpoghomou"/>
    <s v="Riz"/>
    <x v="1"/>
    <n v="5"/>
    <d v="2023-04-30T00:00:00"/>
    <x v="17"/>
    <s v="8MTA001T"/>
    <m/>
    <m/>
    <m/>
  </r>
  <r>
    <d v="2023-04-30T09:36:03"/>
    <s v="Macenta"/>
    <s v="Direction préfectorale de l'agriculture et de l'élevage de Macenta"/>
    <s v="Collectif"/>
    <s v="Vakaba camara"/>
    <n v="622653693"/>
    <n v="622044210"/>
    <s v="Kouankan"/>
    <n v="90"/>
    <s v="Labour - uniquement"/>
    <n v="18"/>
    <s v="Chinoiba et djoukeme"/>
    <s v="Oriza sativa"/>
    <s v="5 mois"/>
    <d v="2023-05-04T00:00:00"/>
    <s v="Pas"/>
    <s v="Alexandre Kpoghomou"/>
    <s v="Riz"/>
    <x v="1"/>
    <n v="18"/>
    <d v="2023-04-30T00:00:00"/>
    <x v="17"/>
    <s v="8MTA003T"/>
    <m/>
    <m/>
    <m/>
  </r>
  <r>
    <d v="2023-04-30T10:54:01"/>
    <s v="Siguiri"/>
    <s v="Siguiri"/>
    <s v="Individuel"/>
    <s v="Yaya MAGASSOUBA"/>
    <n v="622180905"/>
    <m/>
    <s v="Siguiri Centre"/>
    <n v="3"/>
    <s v="Déchaumage"/>
    <n v="3"/>
    <s v="Dissibawoulen Dissibawoulen"/>
    <s v="Dissibawoulen"/>
    <s v="4 mois"/>
    <d v="2023-05-01T00:00:00"/>
    <m/>
    <s v="Nanamoudou ll Magassouba"/>
    <s v="Riz"/>
    <x v="1"/>
    <n v="3"/>
    <d v="2023-05-02T00:00:00"/>
    <x v="17"/>
    <s v="7SRI007T"/>
    <m/>
    <m/>
    <m/>
  </r>
  <r>
    <d v="2023-04-30T10:58:35"/>
    <s v="Siguiri"/>
    <s v="Siguiri"/>
    <s v="Individuel"/>
    <s v="Elhdj Fode Barry"/>
    <n v="628305638"/>
    <m/>
    <s v="Siguiri Centre"/>
    <n v="3"/>
    <s v="Déchaumage"/>
    <n v="1.5"/>
    <s v="Nerica19"/>
    <s v="Nerica19"/>
    <s v="4 mois"/>
    <d v="2023-05-03T00:00:00"/>
    <m/>
    <s v="Nanamoudou ll Magassouba"/>
    <s v="Riz"/>
    <x v="1"/>
    <n v="1.5"/>
    <d v="2023-05-02T00:00:00"/>
    <x v="17"/>
    <s v="7SRI007T"/>
    <m/>
    <m/>
    <m/>
  </r>
  <r>
    <d v="2023-04-30T16:49:47"/>
    <s v="Kankan"/>
    <s v="Bordeaux"/>
    <s v="Individuel"/>
    <s v="Mamadi Traoré"/>
    <n v="629935836"/>
    <n v="0"/>
    <s v="Sabadou-Baranama"/>
    <n v="53"/>
    <s v="Déchaumage"/>
    <n v="10"/>
    <s v="Kologbe"/>
    <s v="Variété locale"/>
    <s v="4 mois"/>
    <d v="2023-05-01T00:00:00"/>
    <s v="Producteur moins"/>
    <s v="Moussa Alamako Keita"/>
    <s v="Riz"/>
    <x v="1"/>
    <n v="10"/>
    <d v="2023-05-02T00:00:00"/>
    <x v="17"/>
    <s v="7KAN006T"/>
    <m/>
    <m/>
    <m/>
  </r>
  <r>
    <d v="2023-04-30T17:20:14"/>
    <s v="Kérouané"/>
    <s v="Centre"/>
    <s v="Individuel"/>
    <s v="Sidiky Doumbouya"/>
    <n v="621059544"/>
    <n v="621059544"/>
    <s v="Kérouane Centre"/>
    <n v="8"/>
    <s v="Labour - uniquement"/>
    <n v="3"/>
    <s v="Djoufini"/>
    <s v="Djoufini"/>
    <s v="6 mois"/>
    <d v="2023-04-30T00:00:00"/>
    <m/>
    <s v="Moussa Kadia Camara"/>
    <s v="Riz"/>
    <x v="1"/>
    <n v="3"/>
    <d v="2023-05-02T00:00:00"/>
    <x v="17"/>
    <s v="7KNE001T"/>
    <m/>
    <m/>
    <m/>
  </r>
  <r>
    <d v="2023-04-30T17:23:58"/>
    <s v="Kérouané"/>
    <s v="Centre"/>
    <s v="Individuel"/>
    <s v="Abou Sidibé"/>
    <n v="622082951"/>
    <n v="622082951"/>
    <s v="Kérouane Centre"/>
    <n v="3"/>
    <s v="Labour - uniquement"/>
    <n v="1"/>
    <s v="Kaoulaka"/>
    <s v="Kaoulaka"/>
    <s v="5 mois"/>
    <d v="2023-04-30T00:00:00"/>
    <m/>
    <s v="Moussa Kadia Camara"/>
    <s v="Riz"/>
    <x v="1"/>
    <n v="1"/>
    <d v="2023-05-02T00:00:00"/>
    <x v="17"/>
    <s v="7MNA006T"/>
    <m/>
    <m/>
    <m/>
  </r>
  <r>
    <d v="2023-04-30T17:26:27"/>
    <s v="Kérouané"/>
    <s v="Centre"/>
    <s v="Individuel"/>
    <s v="Adama Konaté"/>
    <n v="610245921"/>
    <n v="610245921"/>
    <s v="Kérouane Centre"/>
    <n v="7"/>
    <s v="Labour - uniquement"/>
    <n v="3"/>
    <s v="Sanbadji"/>
    <s v="Sanbadji"/>
    <s v="6 mois"/>
    <d v="2023-04-30T00:00:00"/>
    <m/>
    <s v="Moussa Kadia Camara"/>
    <s v="Riz"/>
    <x v="1"/>
    <n v="3"/>
    <d v="2023-05-02T00:00:00"/>
    <x v="17"/>
    <s v="7MNA007T"/>
    <m/>
    <m/>
    <m/>
  </r>
  <r>
    <d v="2023-04-30T17:29:36"/>
    <s v="Kérouané"/>
    <s v="Centre"/>
    <s v="Individuel"/>
    <s v="Ibrahima Camara"/>
    <n v="624069772"/>
    <n v="624069772"/>
    <s v="Kérouane Centre"/>
    <n v="12"/>
    <s v="Labour - uniquement"/>
    <n v="3"/>
    <s v="Samory"/>
    <s v="Samory"/>
    <s v="5 mois"/>
    <d v="2023-05-02T00:00:00"/>
    <m/>
    <s v="Moussa Kadia Camara"/>
    <s v="Riz"/>
    <x v="1"/>
    <n v="3"/>
    <d v="2023-05-02T00:00:00"/>
    <x v="17"/>
    <s v="7MNA006T"/>
    <m/>
    <m/>
    <m/>
  </r>
  <r>
    <d v="2023-04-30T17:34:52"/>
    <s v="Kérouané"/>
    <s v="Centre"/>
    <s v="Individuel"/>
    <s v="Laye kemon Kante"/>
    <n v="628648645"/>
    <n v="628648645"/>
    <s v="Kérouane Centre"/>
    <n v="22"/>
    <s v="Labour - uniquement"/>
    <n v="10"/>
    <s v="Seka"/>
    <s v="Seka"/>
    <s v="6 mois"/>
    <d v="2023-05-01T00:00:00"/>
    <m/>
    <s v="Moussa Kadia Camara"/>
    <s v="Riz"/>
    <x v="1"/>
    <n v="10"/>
    <d v="2023-05-02T00:00:00"/>
    <x v="17"/>
    <s v="7KNE002T"/>
    <m/>
    <m/>
    <m/>
  </r>
  <r>
    <d v="2023-04-30T17:37:40"/>
    <s v="Kérouané"/>
    <s v="Centre"/>
    <s v="Individuel"/>
    <s v="Almany Kouyaté"/>
    <n v="622946451"/>
    <n v="622946451"/>
    <s v="Kérouane Centre"/>
    <n v="13"/>
    <s v="Labour - uniquement"/>
    <n v="5"/>
    <s v="Samory"/>
    <s v="Samory"/>
    <s v="5 mois"/>
    <d v="2023-05-02T00:00:00"/>
    <m/>
    <s v="Moussa Kadia Camara"/>
    <s v="Riz"/>
    <x v="1"/>
    <n v="5"/>
    <d v="2023-05-02T00:00:00"/>
    <x v="17"/>
    <s v="7KNE001T"/>
    <m/>
    <m/>
    <m/>
  </r>
  <r>
    <d v="2023-04-30T17:52:14"/>
    <s v="Kérouané"/>
    <s v="Centre"/>
    <s v="Collectif"/>
    <s v="Bangaly Conde"/>
    <n v="622525703"/>
    <n v="622525703"/>
    <s v="Banankoro"/>
    <n v="35"/>
    <s v="Labour - uniquement"/>
    <n v="20"/>
    <s v="Samory, Djoufini karosabany,seka"/>
    <s v="Samory Djoufini karosabany seka"/>
    <s v="6 mois"/>
    <d v="2023-05-03T00:00:00"/>
    <m/>
    <s v="Moussa Kadia Camara"/>
    <s v="Riz"/>
    <x v="1"/>
    <n v="20"/>
    <d v="2023-05-02T00:00:00"/>
    <x v="17"/>
    <s v="7KNE002T"/>
    <m/>
    <m/>
    <m/>
  </r>
  <r>
    <d v="2023-05-01T00:44:40"/>
    <s v="Dinguiraye"/>
    <s v="Dinguiraye centre"/>
    <s v="Individuel"/>
    <s v="Demba Fofana"/>
    <n v="624508843"/>
    <m/>
    <s v="Dialakoro"/>
    <n v="60"/>
    <s v="Labour + Pulvérisation"/>
    <n v="5"/>
    <s v="Djoukeme"/>
    <s v="Djoukeme"/>
    <s v="4 mois"/>
    <d v="2023-05-20T00:00:00"/>
    <m/>
    <s v="Mamadou 1 Diallo"/>
    <s v="Riz"/>
    <x v="0"/>
    <m/>
    <m/>
    <x v="0"/>
    <m/>
    <m/>
    <m/>
    <m/>
  </r>
  <r>
    <d v="2023-05-01T00:48:57"/>
    <s v="Dinguiraye"/>
    <s v="Dinguiraye centre"/>
    <s v="Individuel"/>
    <s v="Fatou Diallo"/>
    <n v="611456449"/>
    <m/>
    <s v="Dialakoro"/>
    <n v="63"/>
    <s v="Labour + Pulvérisation"/>
    <n v="2"/>
    <s v="Maloningbè"/>
    <s v="Nerica blanc"/>
    <s v="3 mois"/>
    <d v="2023-06-05T00:00:00"/>
    <m/>
    <s v="Mamadou 1 Diallo"/>
    <s v="Riz"/>
    <x v="0"/>
    <m/>
    <m/>
    <x v="0"/>
    <m/>
    <m/>
    <m/>
    <m/>
  </r>
  <r>
    <d v="2023-05-01T00:51:45"/>
    <s v="Dinguiraye"/>
    <s v="Dinguiraye centre"/>
    <s v="Individuel"/>
    <s v="Mamady camara"/>
    <n v="625093457"/>
    <m/>
    <s v="Dialakoro"/>
    <n v="56"/>
    <s v="Labour + Pulvérisation"/>
    <n v="6"/>
    <s v="Djoukeme"/>
    <s v="Djoukeme"/>
    <s v="4 mois"/>
    <d v="2023-05-15T00:00:00"/>
    <m/>
    <s v="Mamadou 1 Diallo"/>
    <s v="Riz"/>
    <x v="0"/>
    <m/>
    <m/>
    <x v="0"/>
    <m/>
    <m/>
    <m/>
    <m/>
  </r>
  <r>
    <d v="2023-05-01T00:55:31"/>
    <s v="Dinguiraye"/>
    <s v="Dinguiraye centre"/>
    <s v="Individuel"/>
    <s v="Yama condé"/>
    <n v="621419314"/>
    <m/>
    <s v="Dialakoro"/>
    <n v="62"/>
    <s v="Labour + Pulvérisation"/>
    <n v="2"/>
    <s v="Banankoro"/>
    <s v="Banankoro"/>
    <s v="4 mois"/>
    <d v="2023-05-25T00:00:00"/>
    <s v="Une variété provenant de banankoro préfecture de kerouané"/>
    <s v="Mamadou 1 Diallo"/>
    <s v="Riz"/>
    <x v="0"/>
    <m/>
    <m/>
    <x v="0"/>
    <m/>
    <m/>
    <m/>
    <m/>
  </r>
  <r>
    <d v="2023-05-01T00:59:40"/>
    <s v="Dinguiraye"/>
    <s v="Dinguiraye centre"/>
    <s v="Individuel"/>
    <s v="Fanta mansaré"/>
    <n v="621419314"/>
    <m/>
    <s v="Dialakoro"/>
    <n v="2"/>
    <s v="Labour + Pulvérisation"/>
    <n v="2"/>
    <s v="Daffing"/>
    <s v="Daffing"/>
    <s v="4 mois"/>
    <d v="2023-05-25T00:00:00"/>
    <s v="Le contact de yama condé 622045720"/>
    <s v="Mamadou 1 Diallo"/>
    <s v="Riz"/>
    <x v="0"/>
    <m/>
    <m/>
    <x v="0"/>
    <m/>
    <m/>
    <m/>
    <m/>
  </r>
  <r>
    <d v="2023-05-01T01:01:51"/>
    <s v="Dinguiraye"/>
    <s v="Dinguiraye centre"/>
    <s v="Individuel"/>
    <s v="Kabinet sylla"/>
    <n v="628053351"/>
    <m/>
    <s v="Dialakoro"/>
    <n v="60"/>
    <s v="Labour + Pulvérisation"/>
    <n v="7"/>
    <s v="Tontifo"/>
    <s v="Tontifo"/>
    <s v="4 mois"/>
    <d v="2023-05-30T00:00:00"/>
    <m/>
    <s v="Mamadou 1 Diallo"/>
    <s v="Riz"/>
    <x v="0"/>
    <m/>
    <m/>
    <x v="0"/>
    <m/>
    <m/>
    <m/>
    <m/>
  </r>
  <r>
    <d v="2023-05-01T01:04:33"/>
    <s v="Dinguiraye"/>
    <s v="Dinguiraye centre"/>
    <s v="Individuel"/>
    <s v="Mamadou sylla"/>
    <n v="626935645"/>
    <m/>
    <s v="Dialakoro"/>
    <n v="60"/>
    <s v="Labour + Pulvérisation"/>
    <n v="4"/>
    <s v="Chinoise"/>
    <s v="Nankin"/>
    <s v="3 mois"/>
    <d v="2023-06-25T00:00:00"/>
    <m/>
    <s v="Mamadou 1 Diallo"/>
    <s v="Riz"/>
    <x v="0"/>
    <m/>
    <m/>
    <x v="0"/>
    <m/>
    <m/>
    <m/>
    <m/>
  </r>
  <r>
    <d v="2023-05-01T01:07:47"/>
    <s v="Dinguiraye"/>
    <s v="Dinguiraye centre"/>
    <s v="Individuel"/>
    <s v="Hammady Diakité"/>
    <n v="620737815"/>
    <m/>
    <s v="Dinguiraye Centre"/>
    <n v="8"/>
    <s v="Labour + Pulvérisation"/>
    <n v="6"/>
    <s v="Sonsonpolon"/>
    <s v="Sonsopolon"/>
    <s v="4 mois"/>
    <d v="2023-05-25T00:00:00"/>
    <m/>
    <s v="Mamadou 1 Diallo"/>
    <s v="Riz"/>
    <x v="0"/>
    <m/>
    <m/>
    <x v="0"/>
    <m/>
    <m/>
    <m/>
    <m/>
  </r>
  <r>
    <d v="2023-05-01T01:10:36"/>
    <s v="Dinguiraye"/>
    <s v="Dinguiraye centre"/>
    <s v="Individuel"/>
    <s v="Adama Diakité"/>
    <n v="629220165"/>
    <m/>
    <s v="Dinguiraye Centre"/>
    <n v="8"/>
    <s v="Labour + Pulvérisation"/>
    <n v="2"/>
    <s v="Sonsopolon"/>
    <s v="Sonsopolon"/>
    <s v="4 mois"/>
    <d v="2023-05-28T00:00:00"/>
    <m/>
    <s v="Mamadou 1 Diallo"/>
    <s v="Riz"/>
    <x v="0"/>
    <m/>
    <m/>
    <x v="0"/>
    <m/>
    <m/>
    <m/>
    <m/>
  </r>
  <r>
    <d v="2023-05-01T01:20:10"/>
    <s v="Dinguiraye"/>
    <s v="Dinguiraye centre"/>
    <s v="Individuel"/>
    <s v="Mamadou sansy Diallo"/>
    <n v="620094545"/>
    <m/>
    <s v="Sélouma"/>
    <n v="40"/>
    <s v="Labour + Pulvérisation"/>
    <n v="8"/>
    <s v="Gnina"/>
    <s v="C'est une variété locale"/>
    <s v="4 mois"/>
    <d v="2023-05-25T00:00:00"/>
    <m/>
    <s v="Mamadou 1 Diallo"/>
    <s v="Riz"/>
    <x v="0"/>
    <m/>
    <m/>
    <x v="0"/>
    <m/>
    <m/>
    <m/>
    <m/>
  </r>
  <r>
    <d v="2023-05-01T01:23:26"/>
    <s v="Dinguiraye"/>
    <s v="Dinguiraye centre"/>
    <s v="Individuel"/>
    <s v="Bagallé Diah"/>
    <n v="624519284"/>
    <m/>
    <s v="Sélouma"/>
    <n v="40"/>
    <s v="Labour + Pulvérisation"/>
    <n v="8"/>
    <s v="Kaoulaka"/>
    <s v="Kaoulaka"/>
    <s v="4 mois"/>
    <d v="2023-05-30T00:00:00"/>
    <m/>
    <s v="Mamadou 1 Diallo"/>
    <s v="Riz"/>
    <x v="0"/>
    <m/>
    <m/>
    <x v="0"/>
    <m/>
    <m/>
    <m/>
    <m/>
  </r>
  <r>
    <d v="2023-05-01T01:27:19"/>
    <s v="Dinguiraye"/>
    <s v="Dinguiraye centre"/>
    <s v="Individuel"/>
    <s v="Gnama condé"/>
    <n v="666628786"/>
    <m/>
    <s v="Dialakoro"/>
    <n v="60"/>
    <s v="Labour + Pulvérisation"/>
    <n v="2"/>
    <s v="Morice"/>
    <s v="Morice"/>
    <s v="4 mois"/>
    <d v="2023-05-30T00:00:00"/>
    <m/>
    <s v="Mamadou 1 Diallo"/>
    <s v="Riz"/>
    <x v="0"/>
    <m/>
    <m/>
    <x v="0"/>
    <m/>
    <m/>
    <m/>
    <m/>
  </r>
  <r>
    <d v="2023-05-01T01:30:44"/>
    <s v="Dinguiraye"/>
    <s v="Dinguiraye centre"/>
    <s v="Individuel"/>
    <s v="Mamady cherif"/>
    <n v="622452111"/>
    <m/>
    <s v="Dialakoro"/>
    <n v="67"/>
    <s v="Labour + Pulvérisation"/>
    <n v="6"/>
    <s v="CK90"/>
    <s v="CK90"/>
    <s v="5 mois"/>
    <d v="2023-05-15T00:00:00"/>
    <m/>
    <s v="Mamadou 1 Diallo"/>
    <s v="Riz"/>
    <x v="0"/>
    <m/>
    <m/>
    <x v="0"/>
    <m/>
    <m/>
    <m/>
    <m/>
  </r>
  <r>
    <d v="2023-05-01T01:34:57"/>
    <s v="Dinguiraye"/>
    <s v="Dinguiraye centre"/>
    <s v="Individuel"/>
    <s v="Sansy Diallo"/>
    <n v="628009057"/>
    <m/>
    <s v="Sélouma"/>
    <n v="27"/>
    <s v="Labour + Pulvérisation"/>
    <n v="5"/>
    <s v="Dissibaoulén"/>
    <s v="C'est une variété locale"/>
    <s v="4 mois"/>
    <d v="2023-05-30T00:00:00"/>
    <m/>
    <s v="Mamadou 1 Diallo"/>
    <s v="Riz"/>
    <x v="0"/>
    <m/>
    <m/>
    <x v="0"/>
    <m/>
    <m/>
    <m/>
    <m/>
  </r>
  <r>
    <d v="2023-05-01T01:43:18"/>
    <s v="Dinguiraye"/>
    <s v="Dinguiraye centre"/>
    <s v="Individuel"/>
    <s v="Ibrahima Barry"/>
    <n v="623458432"/>
    <m/>
    <s v="Sélouma"/>
    <n v="35"/>
    <s v="Labour - uniquement"/>
    <n v="4"/>
    <s v="Kabalén"/>
    <s v="BR 430"/>
    <s v="3 mois"/>
    <d v="2023-06-10T00:00:00"/>
    <m/>
    <s v="Mamadou 1 Diallo"/>
    <s v="Maïs"/>
    <x v="0"/>
    <m/>
    <m/>
    <x v="0"/>
    <m/>
    <m/>
    <m/>
    <m/>
  </r>
  <r>
    <d v="2023-05-01T01:51:06"/>
    <s v="Dinguiraye"/>
    <s v="Dinguiraye centre"/>
    <s v="Individuel"/>
    <s v="Oumar Barry"/>
    <n v="620446949"/>
    <m/>
    <s v="Sélouma"/>
    <n v="40"/>
    <s v="Labour - uniquement"/>
    <n v="8"/>
    <s v="BR 430"/>
    <s v="Boert resisting"/>
    <s v="3 mois"/>
    <d v="2023-06-05T00:00:00"/>
    <s v="C'est une variété provenant de Ghana"/>
    <s v="Mamadou 1 Diallo"/>
    <s v="Maïs"/>
    <x v="0"/>
    <m/>
    <m/>
    <x v="0"/>
    <m/>
    <m/>
    <m/>
    <m/>
  </r>
  <r>
    <d v="2023-05-01T01:53:42"/>
    <s v="Dinguiraye"/>
    <s v="Dinguiraye centre"/>
    <s v="Individuel"/>
    <s v="Hamidou Bah"/>
    <n v="622571732"/>
    <m/>
    <s v="Sélouma"/>
    <n v="25"/>
    <s v="Labour - uniquement"/>
    <n v="4"/>
    <s v="Sataba"/>
    <s v="c'est une variété locale"/>
    <s v="5 mois"/>
    <d v="2023-05-20T00:00:00"/>
    <m/>
    <s v="Mamadou 1 Diallo"/>
    <s v="Maïs"/>
    <x v="0"/>
    <m/>
    <m/>
    <x v="0"/>
    <m/>
    <m/>
    <m/>
    <m/>
  </r>
  <r>
    <d v="2023-05-01T01:57:27"/>
    <s v="Dinguiraye"/>
    <s v="Dinguiraye centre"/>
    <s v="Individuel"/>
    <s v="Saliou Diallo"/>
    <n v="623054766"/>
    <m/>
    <s v="Sélouma"/>
    <n v="27"/>
    <s v="Labour - uniquement"/>
    <n v="5"/>
    <s v="Kaabasountou"/>
    <s v="C'est une variété locale"/>
    <s v="3 mois"/>
    <d v="2023-06-10T00:00:00"/>
    <m/>
    <s v="Mamadou 1 Diallo"/>
    <s v="Maïs"/>
    <x v="0"/>
    <m/>
    <m/>
    <x v="0"/>
    <m/>
    <m/>
    <m/>
    <m/>
  </r>
  <r>
    <d v="2023-05-01T02:03:07"/>
    <s v="Dinguiraye"/>
    <s v="Dinguiraye centre"/>
    <s v="Individuel"/>
    <s v="Boubacar bah"/>
    <n v="623286760"/>
    <m/>
    <s v="Sélouma"/>
    <n v="45"/>
    <s v="Labour - uniquement"/>
    <n v="4"/>
    <s v="Maïs hybride"/>
    <s v="Kabamanoj"/>
    <s v="3 mois"/>
    <d v="2023-06-15T00:00:00"/>
    <m/>
    <s v="Mamadou 1 Diallo"/>
    <s v="Maïs"/>
    <x v="0"/>
    <m/>
    <m/>
    <x v="0"/>
    <m/>
    <m/>
    <m/>
    <m/>
  </r>
  <r>
    <d v="2023-05-01T02:08:20"/>
    <s v="Dinguiraye"/>
    <s v="Dinguiraye centre"/>
    <s v="Individuel"/>
    <s v="Amadou Denah Barry"/>
    <n v="622024538"/>
    <m/>
    <s v="Sélouma"/>
    <n v="28"/>
    <s v="Labour + Pulvérisation"/>
    <n v="10"/>
    <s v="Nankin rouge"/>
    <s v="Nankin rouge"/>
    <s v="3 mois"/>
    <d v="2023-06-15T00:00:00"/>
    <m/>
    <s v="Mamadou 1 Diallo"/>
    <s v="Riz"/>
    <x v="0"/>
    <m/>
    <m/>
    <x v="0"/>
    <m/>
    <m/>
    <m/>
    <m/>
  </r>
  <r>
    <d v="2023-05-01T02:10:57"/>
    <s v="Dinguiraye"/>
    <s v="Dinguiraye centre"/>
    <s v="Individuel"/>
    <s v="Amadou Denah Barry"/>
    <n v="622024538"/>
    <m/>
    <s v="Sélouma"/>
    <n v="28"/>
    <s v="Labour - uniquement"/>
    <n v="5"/>
    <s v="Perta"/>
    <s v="Perta"/>
    <s v="3 mois"/>
    <d v="2023-06-05T00:00:00"/>
    <m/>
    <s v="Mamadou 1 Diallo"/>
    <s v="Maïs"/>
    <x v="0"/>
    <m/>
    <m/>
    <x v="0"/>
    <m/>
    <m/>
    <m/>
    <m/>
  </r>
  <r>
    <d v="2023-05-01T02:18:53"/>
    <s v="Dinguiraye"/>
    <s v="Dinguiraye centre"/>
    <s v="Individuel"/>
    <s v="Idrissa sacko"/>
    <n v="622090310"/>
    <m/>
    <s v="Dialakoro"/>
    <n v="55"/>
    <s v="Labour + Pulvérisation"/>
    <n v="15"/>
    <s v="Morice"/>
    <s v="C'est une variété locale"/>
    <s v="4 mois"/>
    <d v="2023-06-05T00:00:00"/>
    <m/>
    <s v="Mamadou 1 Diallo"/>
    <s v="Riz"/>
    <x v="0"/>
    <m/>
    <m/>
    <x v="0"/>
    <m/>
    <m/>
    <m/>
    <m/>
  </r>
  <r>
    <d v="2023-05-01T02:23:10"/>
    <s v="Dinguiraye"/>
    <s v="Dinguiraye centre"/>
    <s v="Individuel"/>
    <s v="Noumoukè kaba"/>
    <n v="622121313"/>
    <m/>
    <s v="Dialakoro"/>
    <n v="60"/>
    <s v="Labour + Pulvérisation"/>
    <n v="5"/>
    <s v="Dissiba-oulén"/>
    <s v="Dissiba-oulén"/>
    <s v="4 mois"/>
    <d v="2023-06-05T00:00:00"/>
    <m/>
    <s v="Mamadou 1 Diallo"/>
    <s v="Riz"/>
    <x v="0"/>
    <m/>
    <m/>
    <x v="0"/>
    <m/>
    <m/>
    <m/>
    <m/>
  </r>
  <r>
    <d v="2023-05-01T02:26:52"/>
    <s v="Dinguiraye"/>
    <s v="Dinguiraye centre"/>
    <s v="Individuel"/>
    <s v="Amadouba kaba"/>
    <n v="621628802"/>
    <m/>
    <s v="Dialakoro"/>
    <n v="60"/>
    <s v="Labour + Pulvérisation"/>
    <n v="10"/>
    <s v="CK90"/>
    <s v="CK90"/>
    <s v="5 mois"/>
    <d v="2023-05-20T00:00:00"/>
    <m/>
    <s v="Mamadou 1 Diallo"/>
    <s v="Riz"/>
    <x v="0"/>
    <m/>
    <m/>
    <x v="0"/>
    <m/>
    <m/>
    <m/>
    <m/>
  </r>
  <r>
    <d v="2023-05-01T02:32:03"/>
    <s v="Dinguiraye"/>
    <s v="Dinguiraye centre"/>
    <s v="Collectif"/>
    <s v="Groupement BENKADI"/>
    <n v="628963527"/>
    <m/>
    <s v="Banora"/>
    <n v="85"/>
    <s v="Labour + Pulvérisation"/>
    <n v="10"/>
    <s v="Gninandénko"/>
    <s v="Gninandénko"/>
    <s v="4 mois"/>
    <d v="2023-05-20T00:00:00"/>
    <m/>
    <s v="Mamadou 1 Diallo"/>
    <s v="Riz"/>
    <x v="0"/>
    <m/>
    <m/>
    <x v="0"/>
    <m/>
    <m/>
    <m/>
    <m/>
  </r>
  <r>
    <d v="2023-05-01T02:38:59"/>
    <s v="Dinguiraye"/>
    <s v="Dinguiraye centre"/>
    <s v="Individuel"/>
    <s v="Mamadou Dian bah"/>
    <n v="623735598"/>
    <m/>
    <s v="Sélouma"/>
    <n v="40"/>
    <s v="Labour + Pulvérisation"/>
    <n v="8"/>
    <s v="Morice"/>
    <s v="Morice"/>
    <s v="4 mois"/>
    <d v="2023-05-20T00:00:00"/>
    <m/>
    <s v="Mamadou 1 Diallo"/>
    <s v="Riz"/>
    <x v="0"/>
    <m/>
    <m/>
    <x v="0"/>
    <m/>
    <m/>
    <m/>
    <m/>
  </r>
  <r>
    <d v="2023-05-01T06:41:27"/>
    <s v="Beyla"/>
    <s v="Beyla centre"/>
    <s v="Individuel"/>
    <s v="Abdourahmane Kaba"/>
    <n v="628312183"/>
    <m/>
    <s v="Sinko"/>
    <n v="40"/>
    <s v="Labour - uniquement"/>
    <n v="10"/>
    <s v="Chinoiba"/>
    <s v="Riz"/>
    <s v="4 mois"/>
    <d v="2023-05-01T00:00:00"/>
    <m/>
    <s v="Moussa Conde"/>
    <s v="Riz"/>
    <x v="1"/>
    <n v="10"/>
    <d v="2023-05-02T00:00:00"/>
    <x v="17"/>
    <s v="8BLA013T"/>
    <m/>
    <m/>
    <m/>
  </r>
  <r>
    <d v="2023-05-01T06:59:56"/>
    <s v="Beyla"/>
    <s v="Beyla centre"/>
    <s v="Individuel"/>
    <s v="Bangaly Conde"/>
    <n v="628387931"/>
    <m/>
    <s v="Sinko"/>
    <n v="10"/>
    <s v="Labour - uniquement"/>
    <n v="2"/>
    <s v="Samolimalo"/>
    <s v="Riz"/>
    <s v="3 mois"/>
    <d v="2023-05-01T00:00:00"/>
    <m/>
    <s v="Moussa Conde"/>
    <s v="Riz"/>
    <x v="1"/>
    <n v="2"/>
    <d v="2023-05-02T00:00:00"/>
    <x v="17"/>
    <s v="8BLA012T"/>
    <m/>
    <m/>
    <m/>
  </r>
  <r>
    <d v="2023-05-01T12:37:37"/>
    <s v="Mandiana"/>
    <s v="Cours du bloc Administratif"/>
    <s v="Collectif"/>
    <s v="Laye Moussa Diakite"/>
    <n v="622236829"/>
    <m/>
    <s v="Mandiana Centre"/>
    <n v="10"/>
    <s v="Labour - uniquement"/>
    <n v="75"/>
    <s v="Chinois, kaolac"/>
    <s v="Ignore"/>
    <s v="5 mois"/>
    <d v="2023-05-06T00:00:00"/>
    <s v="Aptes pour la mécanisation"/>
    <s v="Nounkè Doumbouya"/>
    <s v="Riz"/>
    <x v="0"/>
    <m/>
    <m/>
    <x v="0"/>
    <m/>
    <m/>
    <m/>
    <m/>
  </r>
  <r>
    <d v="2023-05-01T12:41:47"/>
    <s v="Mandiana"/>
    <s v="Cours du bloc Administratif"/>
    <s v="Collectif"/>
    <s v="Oumar Soumaoro"/>
    <n v="621763507"/>
    <m/>
    <s v="Mandiana Centre"/>
    <n v="9"/>
    <s v="Labour + Pulvérisation"/>
    <n v="25"/>
    <s v="Chinois, N19"/>
    <s v="Nerica 19"/>
    <s v="4 mois"/>
    <d v="2023-05-29T00:00:00"/>
    <s v="Aptes pour la mécanisation"/>
    <s v="Nounkè Doumbouya"/>
    <s v="Riz"/>
    <x v="0"/>
    <m/>
    <m/>
    <x v="0"/>
    <m/>
    <m/>
    <m/>
    <m/>
  </r>
  <r>
    <d v="2023-05-01T13:58:23"/>
    <s v="Mandiana"/>
    <s v="Cours du bloc Administratif"/>
    <s v="Individuel"/>
    <s v="Ladya Diallo"/>
    <n v="620840423"/>
    <m/>
    <s v="Mandiana Centre"/>
    <n v="12"/>
    <s v="Labour - uniquement"/>
    <n v="7"/>
    <s v="Kaolac"/>
    <s v="Kaolac"/>
    <s v="5 mois"/>
    <d v="2023-06-15T00:00:00"/>
    <s v="Aptes pour la mécanisation"/>
    <s v="Nounkè Doumbouya"/>
    <s v="Riz"/>
    <x v="0"/>
    <m/>
    <m/>
    <x v="0"/>
    <m/>
    <m/>
    <m/>
    <m/>
  </r>
  <r>
    <d v="2023-05-01T14:19:20"/>
    <s v="Mandiana"/>
    <s v="Cours du bloc Administratif"/>
    <s v="Collectif"/>
    <s v="Boh Lanceï DIALLO"/>
    <n v="620092773"/>
    <m/>
    <s v="Faralako"/>
    <n v="13"/>
    <s v="Labour + Pulvérisation"/>
    <n v="136"/>
    <s v="Dissiba"/>
    <s v="Ignore"/>
    <s v="5 mois"/>
    <d v="2023-06-05T00:00:00"/>
    <s v="Aptes à la mécanisation"/>
    <s v="Nounkè Doumbouya"/>
    <s v="Riz"/>
    <x v="0"/>
    <m/>
    <m/>
    <x v="0"/>
    <m/>
    <m/>
    <m/>
    <m/>
  </r>
  <r>
    <d v="2023-05-01T14:23:08"/>
    <s v="Mandiana"/>
    <s v="Cours du bloc Administratif"/>
    <s v="Collectif"/>
    <s v="Ousmane Djetoumani DIALLO"/>
    <n v="620142864"/>
    <m/>
    <s v="Faralako"/>
    <n v="13"/>
    <s v="Labour + Pulvérisation"/>
    <n v="25"/>
    <s v="Nerica 4, Nenken"/>
    <s v="Nerica 4"/>
    <s v="3 mois"/>
    <d v="2023-07-15T00:00:00"/>
    <s v="Aptes à la mécanisation"/>
    <s v="Nounkè Doumbouya"/>
    <s v="Riz"/>
    <x v="0"/>
    <m/>
    <m/>
    <x v="0"/>
    <m/>
    <m/>
    <m/>
    <m/>
  </r>
  <r>
    <d v="2023-05-01T14:26:13"/>
    <s v="Mandiana"/>
    <s v="Cours du bloc Administratif"/>
    <s v="Collectif"/>
    <s v="Mamadou DIAKITÉ"/>
    <n v="628455659"/>
    <m/>
    <s v="Faralako"/>
    <n v="14"/>
    <s v="Labour + Pulvérisation"/>
    <n v="38"/>
    <s v="Ck 90"/>
    <s v="Ck90"/>
    <s v="5 mois"/>
    <d v="2023-06-01T00:00:00"/>
    <s v="Aptes à la mécanisation"/>
    <s v="Nounkè Doumbouya"/>
    <s v="Riz"/>
    <x v="0"/>
    <m/>
    <m/>
    <x v="0"/>
    <m/>
    <m/>
    <m/>
    <m/>
  </r>
  <r>
    <d v="2023-05-01T14:30:13"/>
    <s v="Mandiana"/>
    <s v="Cours du bloc Administratif"/>
    <s v="Collectif"/>
    <s v="Sékou DIALLO"/>
    <n v="628121348"/>
    <m/>
    <s v="Mandiana Centre"/>
    <n v="15"/>
    <s v="Labour - uniquement"/>
    <n v="75"/>
    <s v="Chinois, Dissiba"/>
    <s v="Oriza glaberina"/>
    <s v="6 mois"/>
    <d v="2023-05-10T00:00:00"/>
    <s v="Aptes pour la mécanisation"/>
    <s v="Nounkè Doumbouya"/>
    <s v="Riz"/>
    <x v="0"/>
    <m/>
    <m/>
    <x v="0"/>
    <m/>
    <m/>
    <m/>
    <m/>
  </r>
  <r>
    <d v="2023-05-01T14:38:27"/>
    <s v="Mandiana"/>
    <s v="Cours du bloc Administratif"/>
    <s v="Collectif"/>
    <s v="Sory Diakité"/>
    <n v="623163986"/>
    <m/>
    <s v="Mandiana Centre"/>
    <n v="12"/>
    <s v="Labour - uniquement"/>
    <n v="225"/>
    <s v="Kaolac, fakan"/>
    <s v="Kaolac"/>
    <s v="5 mois"/>
    <d v="2023-06-05T00:00:00"/>
    <s v="Aptes pour la mécanisation"/>
    <s v="Nounkè Doumbouya"/>
    <s v="Riz"/>
    <x v="0"/>
    <m/>
    <m/>
    <x v="0"/>
    <m/>
    <m/>
    <m/>
    <m/>
  </r>
  <r>
    <d v="2023-05-01T14:58:16"/>
    <s v="Mandiana"/>
    <s v="Cours du bloc Administratif"/>
    <s v="Collectif"/>
    <s v="Soriba DIAKITÉ"/>
    <n v="628940254"/>
    <m/>
    <s v="Kiniéran"/>
    <n v="78"/>
    <s v="Labour + Pulvérisation"/>
    <n v="65"/>
    <s v="ADRAO, NERICA 4 ET 19"/>
    <s v="Nerica"/>
    <s v="4 mois"/>
    <d v="2023-06-15T00:00:00"/>
    <s v="Aptes pour la mécanisation"/>
    <s v="Nounkè Doumbouya"/>
    <s v="Riz"/>
    <x v="0"/>
    <m/>
    <m/>
    <x v="0"/>
    <m/>
    <m/>
    <m/>
    <m/>
  </r>
  <r>
    <d v="2023-05-01T15:01:21"/>
    <s v="Mandiana"/>
    <s v="Cours du bloc Administratif"/>
    <s v="Individuel"/>
    <s v="Samba Diakité"/>
    <n v="628981800"/>
    <m/>
    <s v="Kiniéran"/>
    <n v="82"/>
    <s v="Labour + Pulvérisation"/>
    <n v="30"/>
    <s v="Nerica 19"/>
    <s v="Nerica 19"/>
    <s v="4 mois"/>
    <d v="2023-06-10T00:00:00"/>
    <s v="Aptes à la mécanisation"/>
    <s v="Nounkè Doumbouya"/>
    <s v="Riz"/>
    <x v="0"/>
    <m/>
    <m/>
    <x v="0"/>
    <m/>
    <m/>
    <m/>
    <m/>
  </r>
  <r>
    <d v="2023-05-01T15:07:05"/>
    <s v="Mandiana"/>
    <s v="Cours du bloc Administratif"/>
    <s v="Individuel"/>
    <s v="Sékou KEÏTA"/>
    <n v="628935045"/>
    <m/>
    <s v="Kiniéran"/>
    <n v="85"/>
    <s v="Labour + Pulvérisation"/>
    <n v="25"/>
    <s v="Nerica 19 , bebalawouli"/>
    <s v="Nerica"/>
    <s v="4 mois"/>
    <d v="2023-06-03T00:00:00"/>
    <s v="Aptes pour la mécanisation"/>
    <s v="Nounkè Doumbouya"/>
    <s v="Riz"/>
    <x v="0"/>
    <m/>
    <m/>
    <x v="0"/>
    <m/>
    <m/>
    <m/>
    <m/>
  </r>
  <r>
    <d v="2023-05-01T22:21:46"/>
    <s v="Mandiana"/>
    <s v="Cours du bloc Administratif"/>
    <s v="Individuel"/>
    <s v="Djekè Mamadi Koulibaly"/>
    <n v="622960951"/>
    <m/>
    <s v="Kiniéran"/>
    <n v="80"/>
    <s v="Labour + Pulvérisation"/>
    <n v="20"/>
    <s v="Nerica 19 , sweta"/>
    <s v="Nerica"/>
    <s v="4 mois"/>
    <d v="2023-05-31T00:00:00"/>
    <s v="Aptes pour la mécanisation"/>
    <s v="Nounkè Doumbouya"/>
    <s v="Riz"/>
    <x v="0"/>
    <m/>
    <m/>
    <x v="0"/>
    <m/>
    <m/>
    <m/>
    <m/>
  </r>
  <r>
    <d v="2023-05-01T22:24:21"/>
    <s v="Mandiana"/>
    <s v="Cours du bloc Administratif"/>
    <s v="Collectif"/>
    <s v="Bakary HAÏDARA"/>
    <n v="621041557"/>
    <m/>
    <s v="Kiniéran"/>
    <n v="77"/>
    <s v="Labour - uniquement"/>
    <n v="30"/>
    <s v="Sweta"/>
    <s v="Ne connais pas"/>
    <s v="5 mois"/>
    <d v="2023-05-26T00:00:00"/>
    <s v="Aptes à la mécanisation"/>
    <s v="Nounkè Doumbouya"/>
    <s v="Riz"/>
    <x v="0"/>
    <m/>
    <m/>
    <x v="0"/>
    <m/>
    <m/>
    <m/>
    <m/>
  </r>
  <r>
    <d v="2023-05-01T22:30:32"/>
    <s v="Mandiana"/>
    <s v="Cours du bloc Administratif"/>
    <s v="Individuel"/>
    <s v="Alpha DIAKITÉ"/>
    <n v="621116056"/>
    <m/>
    <s v="Kiniéran"/>
    <n v="79"/>
    <s v="Labour + Pulvérisation"/>
    <n v="15"/>
    <s v="Nerica 19"/>
    <s v="Nerica"/>
    <s v="4 mois"/>
    <d v="2023-06-16T00:00:00"/>
    <s v="Aptes pour la mécanisation"/>
    <s v="Nounkè Doumbouya"/>
    <s v="Riz"/>
    <x v="0"/>
    <m/>
    <m/>
    <x v="0"/>
    <m/>
    <m/>
    <m/>
    <m/>
  </r>
  <r>
    <d v="2023-05-01T22:34:23"/>
    <s v="Mandiana"/>
    <s v="Cours du bloc Administratif"/>
    <s v="Individuel"/>
    <s v="Sidiki Diakité"/>
    <n v="628262334"/>
    <m/>
    <s v="Kiniéran"/>
    <n v="81"/>
    <s v="Labour + Pulvérisation"/>
    <n v="17"/>
    <s v="Nerica 19"/>
    <s v="Nerica"/>
    <s v="4 mois"/>
    <d v="2023-06-02T00:00:00"/>
    <s v="Aptes à la mécanisation"/>
    <s v="Nounkè Doumbouya"/>
    <s v="Riz"/>
    <x v="0"/>
    <m/>
    <m/>
    <x v="0"/>
    <m/>
    <m/>
    <m/>
    <m/>
  </r>
  <r>
    <d v="2023-05-01T22:39:18"/>
    <s v="Mandiana"/>
    <s v="Cours du bloc Administratif"/>
    <s v="Collectif"/>
    <s v="Balla Koulibaly"/>
    <n v="622015376"/>
    <m/>
    <s v="Kiniéran"/>
    <n v="79"/>
    <s v="Labour - uniquement"/>
    <n v="25"/>
    <s v="ADRAO"/>
    <s v="Ne connais pas"/>
    <s v="5 mois"/>
    <d v="2023-05-30T00:00:00"/>
    <s v="Aptes à la mécanisation"/>
    <s v="Nounkè Doumbouya"/>
    <s v="Riz"/>
    <x v="0"/>
    <m/>
    <m/>
    <x v="0"/>
    <m/>
    <m/>
    <m/>
    <m/>
  </r>
  <r>
    <d v="2023-05-01T22:46:03"/>
    <s v="Mandiana"/>
    <s v="Cours du bloc Administratif"/>
    <s v="Collectif"/>
    <s v="Moussa Sacko"/>
    <n v="628652521"/>
    <m/>
    <s v="Kiniéran"/>
    <n v="68"/>
    <s v="Labour + Pulvérisation"/>
    <n v="30"/>
    <s v="Bebalawouli"/>
    <s v="Ne connais pas"/>
    <s v="4 mois"/>
    <d v="2023-06-06T00:00:00"/>
    <s v="Aptes à la mécanisation"/>
    <s v="Nounkè Doumbouya"/>
    <s v="Riz"/>
    <x v="0"/>
    <m/>
    <m/>
    <x v="0"/>
    <m/>
    <m/>
    <m/>
    <m/>
  </r>
  <r>
    <d v="2023-05-01T22:48:54"/>
    <s v="Mandiana"/>
    <s v="Cours du bloc Administratif"/>
    <s v="Collectif"/>
    <s v="Sékou Touraby Koulibaly"/>
    <n v="622239720"/>
    <m/>
    <s v="Kiniéran"/>
    <n v="77"/>
    <s v="Labour + Pulvérisation"/>
    <n v="195"/>
    <s v="Nerica 4 et 19, sweta"/>
    <s v="Nerica"/>
    <s v="4 mois"/>
    <d v="2023-06-05T00:00:00"/>
    <s v="Aptes pour la mécanisation"/>
    <s v="Nounkè Doumbouya"/>
    <s v="Riz"/>
    <x v="1"/>
    <n v="30"/>
    <d v="2023-05-04T00:00:00"/>
    <x v="17"/>
    <s v="7MNA002"/>
    <m/>
    <m/>
    <m/>
  </r>
  <r>
    <d v="2023-05-01T22:51:20"/>
    <s v="Mandiana"/>
    <s v="Cours du bloc Administratif"/>
    <s v="Individuel"/>
    <s v="Moussa kanté"/>
    <n v="628103773"/>
    <m/>
    <s v="Kiniéran"/>
    <n v="79"/>
    <s v="Labour + Pulvérisation"/>
    <n v="25"/>
    <s v="Nerica 19"/>
    <s v="Nerica"/>
    <s v="4 mois"/>
    <d v="2023-06-06T00:00:00"/>
    <s v="Aptes pour la mécanisation"/>
    <s v="Nounkè Doumbouya"/>
    <s v="Riz"/>
    <x v="0"/>
    <m/>
    <m/>
    <x v="0"/>
    <m/>
    <m/>
    <m/>
    <m/>
  </r>
  <r>
    <d v="2023-05-01T22:54:16"/>
    <s v="Mandiana"/>
    <s v="Cours du bloc Administratif"/>
    <s v="Collectif"/>
    <s v="Mohamed Doumbouya"/>
    <n v="628879665"/>
    <m/>
    <s v="Kiniéran"/>
    <n v="78"/>
    <s v="Labour - uniquement"/>
    <n v="30"/>
    <s v="ADRAO"/>
    <s v="Ne connais pas"/>
    <s v="4 mois"/>
    <d v="2023-06-15T00:00:00"/>
    <s v="Aptes pour la mécanisation"/>
    <s v="Nounkè Doumbouya"/>
    <s v="Riz"/>
    <x v="0"/>
    <m/>
    <m/>
    <x v="0"/>
    <m/>
    <m/>
    <m/>
    <m/>
  </r>
  <r>
    <d v="2023-05-02T01:04:49"/>
    <s v="Dinguiraye"/>
    <s v="Dinguiraye centre"/>
    <s v="Individuel"/>
    <s v="M.bemba kaba"/>
    <n v="622917579"/>
    <m/>
    <s v="Dialakoro"/>
    <n v="60"/>
    <s v="Labour + Pulvérisation"/>
    <n v="8"/>
    <s v="Dissi"/>
    <s v="Dissi"/>
    <s v="4 mois"/>
    <d v="2023-05-25T00:00:00"/>
    <m/>
    <s v="Mamadou 1 Diallo"/>
    <s v="Riz"/>
    <x v="0"/>
    <m/>
    <m/>
    <x v="0"/>
    <m/>
    <m/>
    <m/>
    <m/>
  </r>
  <r>
    <d v="2023-05-02T01:08:07"/>
    <s v="Dinguiraye"/>
    <s v="Dinguiraye centre"/>
    <s v="Individuel"/>
    <s v="Sidy Dramé"/>
    <n v="622209871"/>
    <m/>
    <s v="Dialakoro"/>
    <n v="65"/>
    <s v="Labour + Pulvérisation"/>
    <n v="5"/>
    <s v="Maloningbè"/>
    <s v="Nankin blanc"/>
    <s v="3 mois"/>
    <d v="2023-06-20T00:00:00"/>
    <m/>
    <s v="Mamadou 1 Diallo"/>
    <s v="Riz"/>
    <x v="0"/>
    <m/>
    <m/>
    <x v="0"/>
    <m/>
    <m/>
    <m/>
    <m/>
  </r>
  <r>
    <d v="2023-05-02T01:11:03"/>
    <s v="Dinguiraye"/>
    <s v="Dinguiraye centre"/>
    <s v="Individuel"/>
    <s v="Alpha Dramé"/>
    <n v="622090210"/>
    <m/>
    <s v="Dialakoro"/>
    <n v="56"/>
    <s v="Labour + Pulvérisation"/>
    <n v="6"/>
    <s v="Kaoulaka"/>
    <s v="Kaoulaka"/>
    <s v="4 mois"/>
    <d v="2023-05-25T00:00:00"/>
    <m/>
    <s v="Mamadou 1 Diallo"/>
    <s v="Riz"/>
    <x v="0"/>
    <m/>
    <m/>
    <x v="0"/>
    <m/>
    <m/>
    <m/>
    <m/>
  </r>
  <r>
    <d v="2023-05-02T01:13:32"/>
    <s v="Dinguiraye"/>
    <s v="Dinguiraye centre"/>
    <s v="Individuel"/>
    <s v="Mamadou sylla"/>
    <n v="628007041"/>
    <m/>
    <s v="Dialakoro"/>
    <n v="67"/>
    <s v="Labour + Pulvérisation"/>
    <n v="3"/>
    <s v="Morice"/>
    <s v="Morice"/>
    <s v="4 mois"/>
    <d v="2023-06-05T00:00:00"/>
    <m/>
    <s v="Mamadou 1 Diallo"/>
    <s v="Riz"/>
    <x v="0"/>
    <m/>
    <m/>
    <x v="0"/>
    <m/>
    <m/>
    <m/>
    <m/>
  </r>
  <r>
    <d v="2023-05-02T01:16:15"/>
    <s v="Dinguiraye"/>
    <s v="Dinguiraye centre"/>
    <s v="Individuel"/>
    <s v="Karamo Dramé"/>
    <n v="622670421"/>
    <m/>
    <s v="Dialakoro"/>
    <n v="62"/>
    <s v="Labour + Pulvérisation"/>
    <n v="4"/>
    <s v="Djoukeme"/>
    <s v="Djoukeme"/>
    <s v="4 mois"/>
    <d v="2023-05-30T00:00:00"/>
    <m/>
    <s v="Mamadou 1 Diallo"/>
    <s v="Riz"/>
    <x v="0"/>
    <m/>
    <m/>
    <x v="0"/>
    <m/>
    <m/>
    <m/>
    <m/>
  </r>
  <r>
    <d v="2023-05-02T01:19:17"/>
    <s v="Dinguiraye"/>
    <s v="Dinguiraye centre"/>
    <s v="Individuel"/>
    <s v="Noumoukè 1 kaba"/>
    <n v="662670421"/>
    <m/>
    <s v="Dialakoro"/>
    <n v="54"/>
    <s v="Labour + Pulvérisation"/>
    <n v="5"/>
    <s v="Banankoro"/>
    <s v="Banankoro"/>
    <s v="4 mois"/>
    <d v="2023-06-01T00:00:00"/>
    <m/>
    <s v="Mamadou 1 Diallo"/>
    <s v="Riz"/>
    <x v="0"/>
    <m/>
    <m/>
    <x v="0"/>
    <m/>
    <m/>
    <m/>
    <m/>
  </r>
  <r>
    <d v="2023-05-02T01:22:34"/>
    <s v="Dinguiraye"/>
    <s v="Dinguiraye centre"/>
    <s v="Individuel"/>
    <s v="Laye karamo Dramé"/>
    <n v="622670421"/>
    <m/>
    <s v="Dialakoro"/>
    <n v="62"/>
    <s v="Labour + Pulvérisation"/>
    <n v="10"/>
    <s v="Dissiba-oulén"/>
    <s v="Dissiba-oulén"/>
    <s v="4 mois"/>
    <d v="2023-06-05T00:00:00"/>
    <m/>
    <s v="Mamadou 1 Diallo"/>
    <s v="Riz"/>
    <x v="0"/>
    <m/>
    <m/>
    <x v="0"/>
    <m/>
    <m/>
    <m/>
    <m/>
  </r>
  <r>
    <d v="2023-05-02T01:25:56"/>
    <s v="Dinguiraye"/>
    <s v="Dinguiraye centre"/>
    <s v="Individuel"/>
    <s v="Keoulén kaba"/>
    <n v="622242159"/>
    <m/>
    <s v="Dialakoro"/>
    <n v="60"/>
    <s v="Labour + Pulvérisation"/>
    <n v="8"/>
    <s v="Sonsopolon"/>
    <s v="Sonsopolon"/>
    <s v="4 mois"/>
    <d v="2023-06-10T00:00:00"/>
    <m/>
    <s v="Mamadou 1 Diallo"/>
    <s v="Riz"/>
    <x v="0"/>
    <m/>
    <m/>
    <x v="0"/>
    <m/>
    <m/>
    <m/>
    <m/>
  </r>
  <r>
    <d v="2023-05-02T01:28:30"/>
    <s v="Dinguiraye"/>
    <s v="Dinguiraye centre"/>
    <s v="Individuel"/>
    <s v="Noumoukè sylla"/>
    <n v="622242192"/>
    <m/>
    <s v="Dialakoro"/>
    <n v="65"/>
    <s v="Labour + Pulvérisation"/>
    <n v="5"/>
    <s v="Daffing"/>
    <s v="Daffing"/>
    <s v="4 mois"/>
    <d v="2023-06-12T00:00:00"/>
    <m/>
    <s v="Mamadou 1 Diallo"/>
    <s v="Riz"/>
    <x v="0"/>
    <m/>
    <m/>
    <x v="0"/>
    <m/>
    <m/>
    <m/>
    <m/>
  </r>
  <r>
    <d v="2023-05-02T01:30:37"/>
    <s v="Dinguiraye"/>
    <s v="Dinguiraye centre"/>
    <s v="Individuel"/>
    <s v="Almamy kaba"/>
    <n v="628526231"/>
    <m/>
    <s v="Dialakoro"/>
    <n v="60"/>
    <s v="Labour + Pulvérisation"/>
    <n v="9"/>
    <s v="Dissiba-oulén"/>
    <s v="Dissiba-oulén"/>
    <s v="4 mois"/>
    <d v="2023-05-30T00:00:00"/>
    <m/>
    <s v="Mamadou 1 Diallo"/>
    <s v="Riz"/>
    <x v="0"/>
    <m/>
    <m/>
    <x v="0"/>
    <m/>
    <m/>
    <m/>
    <m/>
  </r>
  <r>
    <d v="2023-05-02T01:34:47"/>
    <s v="Dinguiraye"/>
    <s v="Dinguiraye centre"/>
    <s v="Individuel"/>
    <s v="Hadja kade kaba"/>
    <n v="611202598"/>
    <m/>
    <s v="Dialakoro"/>
    <n v="57"/>
    <s v="Labour + Pulvérisation"/>
    <n v="5"/>
    <s v="Chinoise"/>
    <s v="Chinoise"/>
    <s v="3 mois"/>
    <d v="2023-06-30T00:00:00"/>
    <m/>
    <s v="Mamadou 1 Diallo"/>
    <s v="Riz"/>
    <x v="0"/>
    <m/>
    <m/>
    <x v="0"/>
    <m/>
    <m/>
    <m/>
    <m/>
  </r>
  <r>
    <d v="2023-05-02T01:37:10"/>
    <s v="Dinguiraye"/>
    <s v="Dinguiraye centre"/>
    <s v="Individuel"/>
    <s v="Okass touré"/>
    <n v="622242192"/>
    <m/>
    <s v="Dialakoro"/>
    <n v="60"/>
    <s v="Labour + Pulvérisation"/>
    <n v="3"/>
    <s v="Dissiba-oulén"/>
    <s v="Dissiba-oulén"/>
    <s v="4 mois"/>
    <d v="2023-05-31T00:00:00"/>
    <m/>
    <s v="Mamadou 1 Diallo"/>
    <s v="Riz"/>
    <x v="0"/>
    <m/>
    <m/>
    <x v="0"/>
    <m/>
    <m/>
    <m/>
    <m/>
  </r>
  <r>
    <d v="2023-05-02T01:40:32"/>
    <s v="Dinguiraye"/>
    <s v="Dinguiraye centre"/>
    <s v="Individuel"/>
    <s v="Kenny Kourouma"/>
    <n v="622318688"/>
    <m/>
    <s v="Dialakoro"/>
    <n v="62"/>
    <s v="Labour + Pulvérisation"/>
    <n v="3"/>
    <s v="Dissiba-oulén"/>
    <s v="Dissiba-oulén"/>
    <s v="4 mois"/>
    <d v="2023-05-25T00:00:00"/>
    <m/>
    <s v="Mamadou 1 Diallo"/>
    <s v="Riz"/>
    <x v="0"/>
    <m/>
    <m/>
    <x v="0"/>
    <m/>
    <m/>
    <m/>
    <m/>
  </r>
  <r>
    <d v="2023-05-02T01:43:12"/>
    <s v="Dinguiraye"/>
    <s v="Dinguiraye centre"/>
    <s v="Individuel"/>
    <s v="Mamadou Dian"/>
    <n v="622090188"/>
    <m/>
    <s v="Dialakoro"/>
    <n v="60"/>
    <s v="Labour + Pulvérisation"/>
    <n v="2"/>
    <s v="CK90"/>
    <s v="CK90"/>
    <s v="5 mois"/>
    <d v="2023-05-10T00:00:00"/>
    <m/>
    <s v="Mamadou 1 Diallo"/>
    <s v="Riz"/>
    <x v="0"/>
    <m/>
    <m/>
    <x v="0"/>
    <m/>
    <m/>
    <m/>
    <m/>
  </r>
  <r>
    <d v="2023-05-02T01:50:22"/>
    <s v="Dinguiraye"/>
    <s v="Dinguiraye"/>
    <s v="Individuel"/>
    <s v="Fatou Dramé"/>
    <n v="628872062"/>
    <m/>
    <s v="Dialakoro"/>
    <n v="60"/>
    <s v="Labour + Pulvérisation"/>
    <n v="4"/>
    <s v="CK90"/>
    <s v="CK90"/>
    <s v="5 mois"/>
    <d v="2023-05-25T00:00:00"/>
    <s v="CK90 c'est la semence envoyé par la DNA et donner aux producteurs nécessiteux à crédit remboursable à la fin de la récolte sans intérêt, un sac/1"/>
    <s v="Mamadou 1 Diallo"/>
    <s v="Riz"/>
    <x v="0"/>
    <m/>
    <m/>
    <x v="0"/>
    <m/>
    <m/>
    <m/>
    <m/>
  </r>
  <r>
    <d v="2023-05-02T01:52:29"/>
    <s v="Dinguiraye"/>
    <s v="Dinguiraye centre"/>
    <s v="Individuel"/>
    <s v="Kaou konsondou"/>
    <n v="628980059"/>
    <m/>
    <s v="Dialakoro"/>
    <n v="66"/>
    <s v="Labour + Pulvérisation"/>
    <n v="4"/>
    <s v="Dissiba-oulén"/>
    <s v="Dissiba-oulén"/>
    <s v="4 mois"/>
    <d v="2023-05-30T00:00:00"/>
    <m/>
    <s v="Mamadou 1 Diallo"/>
    <s v="Riz"/>
    <x v="0"/>
    <m/>
    <m/>
    <x v="0"/>
    <m/>
    <m/>
    <m/>
    <m/>
  </r>
  <r>
    <d v="2023-05-02T01:55:20"/>
    <s v="Dinguiraye"/>
    <s v="Dinguiraye centre"/>
    <s v="Individuel"/>
    <s v="Souleymane bah"/>
    <n v="611326470"/>
    <m/>
    <s v="Dialakoro"/>
    <n v="67"/>
    <s v="Labour + Pulvérisation"/>
    <n v="3"/>
    <s v="CK91"/>
    <s v="Ck91"/>
    <s v="4 mois"/>
    <d v="2023-05-25T00:00:00"/>
    <m/>
    <s v="Mamadou 1 Diallo"/>
    <s v="Riz"/>
    <x v="0"/>
    <m/>
    <m/>
    <x v="0"/>
    <m/>
    <m/>
    <m/>
    <m/>
  </r>
  <r>
    <d v="2023-05-02T01:57:14"/>
    <s v="Dinguiraye"/>
    <s v="Dinguiraye centre"/>
    <s v="Individuel"/>
    <s v="Douty kaba"/>
    <n v="620976124"/>
    <m/>
    <s v="Dialakoro"/>
    <n v="58"/>
    <s v="Labour + Pulvérisation"/>
    <n v="4"/>
    <s v="Dissiba-oulén"/>
    <s v="Dissiba-oulén"/>
    <s v="4 mois"/>
    <d v="2023-05-28T00:00:00"/>
    <m/>
    <s v="Mamadou 1 Diallo"/>
    <s v="Riz"/>
    <x v="0"/>
    <m/>
    <m/>
    <x v="0"/>
    <m/>
    <m/>
    <m/>
    <m/>
  </r>
  <r>
    <d v="2023-05-02T01:59:06"/>
    <s v="Dinguiraye"/>
    <s v="Dinguiraye centre"/>
    <s v="Individuel"/>
    <s v="Sory Dramé"/>
    <n v="622434222"/>
    <m/>
    <s v="Dialakoro"/>
    <n v="8"/>
    <s v="Labour + Pulvérisation"/>
    <n v="65"/>
    <s v="Dissiba-oulén"/>
    <s v="Dissiba-oulén"/>
    <s v="4 mois"/>
    <d v="2023-05-20T00:00:00"/>
    <m/>
    <s v="Mamadou 1 Diallo"/>
    <s v="Riz"/>
    <x v="0"/>
    <m/>
    <m/>
    <x v="0"/>
    <m/>
    <m/>
    <m/>
    <m/>
  </r>
  <r>
    <d v="2023-05-02T02:01:09"/>
    <s v="Dinguiraye"/>
    <s v="Dinguiraye centre"/>
    <s v="Individuel"/>
    <s v="Bakary Dramé"/>
    <n v="622229013"/>
    <m/>
    <s v="Dialakoro"/>
    <n v="60"/>
    <s v="Labour + Pulvérisation"/>
    <n v="5"/>
    <s v="Dissiba-oulén"/>
    <s v="Dissiba-oulén"/>
    <s v="4 mois"/>
    <d v="2023-05-30T00:00:00"/>
    <m/>
    <s v="Mamadou 1 Diallo"/>
    <s v="Riz"/>
    <x v="0"/>
    <m/>
    <m/>
    <x v="0"/>
    <m/>
    <m/>
    <m/>
    <m/>
  </r>
  <r>
    <d v="2023-05-02T02:03:28"/>
    <s v="Dinguiraye"/>
    <s v="Dinguiraye centre"/>
    <s v="Individuel"/>
    <s v="Mamadou sidibe"/>
    <n v="622080544"/>
    <m/>
    <s v="Banora"/>
    <n v="85"/>
    <s v="Labour + Pulvérisation"/>
    <n v="10"/>
    <s v="Djoukeme"/>
    <s v="Djoukeme"/>
    <s v="4 mois"/>
    <d v="2023-05-25T00:00:00"/>
    <m/>
    <s v="Mamadou 1 Diallo"/>
    <s v="Riz"/>
    <x v="0"/>
    <m/>
    <m/>
    <x v="0"/>
    <m/>
    <m/>
    <m/>
    <m/>
  </r>
  <r>
    <d v="2023-05-02T02:05:40"/>
    <s v="Dinguiraye"/>
    <s v="Dinguiraye centre"/>
    <s v="Individuel"/>
    <s v="Amadou kouyaté"/>
    <n v="622224023"/>
    <m/>
    <s v="Banora"/>
    <n v="83"/>
    <s v="Labour + Pulvérisation"/>
    <n v="5"/>
    <s v="Djoukeme"/>
    <s v="Djoukeme"/>
    <s v="4 mois"/>
    <d v="2023-05-28T00:00:00"/>
    <m/>
    <s v="Mamadou 1 Diallo"/>
    <s v="Riz"/>
    <x v="0"/>
    <m/>
    <m/>
    <x v="0"/>
    <m/>
    <m/>
    <m/>
    <m/>
  </r>
  <r>
    <d v="2023-05-02T02:08:20"/>
    <s v="Dinguiraye"/>
    <s v="Dinguiraye centre"/>
    <s v="Individuel"/>
    <s v="Gnaama Diallo"/>
    <n v="623245121"/>
    <m/>
    <s v="Kalinko"/>
    <n v="76"/>
    <s v="Labour + Pulvérisation"/>
    <n v="8"/>
    <s v="Gnina"/>
    <s v="Gnina"/>
    <s v="4 mois"/>
    <d v="2023-05-25T00:00:00"/>
    <m/>
    <s v="Mamadou 1 Diallo"/>
    <s v="Riz"/>
    <x v="0"/>
    <m/>
    <m/>
    <x v="0"/>
    <m/>
    <m/>
    <m/>
    <m/>
  </r>
  <r>
    <d v="2023-05-02T09:42:12"/>
    <s v="Macenta"/>
    <s v="Direction préfectorale de l'agriculture et de l'élevage"/>
    <s v="Individuel"/>
    <s v="Groupement Alamalaya représenté par Edouard Oleano"/>
    <n v="622780290"/>
    <m/>
    <s v="Macenta Centre"/>
    <n v="12"/>
    <s v="Labour - uniquement"/>
    <n v="2"/>
    <s v="Chinoiba"/>
    <s v="Oriza sativa"/>
    <s v="5 mois"/>
    <d v="2023-05-05T00:00:00"/>
    <s v="Pas"/>
    <s v="Alexandre Kpoghomou"/>
    <s v="Riz"/>
    <x v="1"/>
    <n v="2"/>
    <d v="2023-05-02T00:00:00"/>
    <x v="17"/>
    <s v="8MTA004T"/>
    <m/>
    <m/>
    <m/>
  </r>
  <r>
    <d v="2023-05-02T10:20:40"/>
    <s v="Lola"/>
    <s v="Direction Préfectoral de l'Agriculture et de l'Élevage de Lola"/>
    <s v="Individuel"/>
    <s v="Angeline kpoulomou"/>
    <n v="626557374"/>
    <m/>
    <s v="Lainé"/>
    <n v="20"/>
    <s v="Labour - uniquement"/>
    <n v="4"/>
    <s v="Jaune_jaune"/>
    <s v="Zea Mays"/>
    <s v="3 mois"/>
    <d v="2023-05-06T00:00:00"/>
    <m/>
    <s v="Pokpa Delamou"/>
    <s v="Maïs"/>
    <x v="0"/>
    <m/>
    <m/>
    <x v="0"/>
    <m/>
    <m/>
    <m/>
    <m/>
  </r>
  <r>
    <d v="2023-05-02T10:38:06"/>
    <s v="Dinguiraye"/>
    <s v="Dinguiraye centre"/>
    <s v="Individuel"/>
    <s v="Sidafa kouyaté"/>
    <n v="622120084"/>
    <m/>
    <s v="Banora"/>
    <n v="85"/>
    <s v="Labour + Pulvérisation"/>
    <n v="5"/>
    <s v="Dissiba-oulén"/>
    <s v="Dissiba-oulén"/>
    <s v="4 mois"/>
    <d v="2023-05-06T00:00:00"/>
    <m/>
    <s v="Mamadou 1 Diallo"/>
    <s v="Riz"/>
    <x v="0"/>
    <m/>
    <m/>
    <x v="0"/>
    <m/>
    <m/>
    <m/>
    <m/>
  </r>
  <r>
    <d v="2023-05-02T10:56:19"/>
    <s v="Gaoual"/>
    <s v="COMMUNE urbaine de GAOUAL"/>
    <s v="Individuel"/>
    <s v="Elhadj Bagui Diakité"/>
    <n v="623425434"/>
    <m/>
    <s v="Koumbia"/>
    <n v="32"/>
    <s v="Labour - uniquement"/>
    <n v="2"/>
    <s v="Djoulkemè"/>
    <s v="DIOULKÉMÈ"/>
    <s v="4 mois"/>
    <d v="2023-06-05T00:00:00"/>
    <m/>
    <s v="Soriba Moustapha Camara"/>
    <s v="Riz"/>
    <x v="0"/>
    <m/>
    <m/>
    <x v="0"/>
    <m/>
    <m/>
    <m/>
    <m/>
  </r>
  <r>
    <d v="2023-05-02T11:26:15"/>
    <s v="Gaoual"/>
    <s v="COMMUNE URBAINE"/>
    <s v="Individuel"/>
    <s v="DIOULDÉ MALI"/>
    <n v="628169348"/>
    <m/>
    <s v="Koumbia"/>
    <n v="32"/>
    <s v="Labour + Pulvérisation"/>
    <n v="2"/>
    <s v="DIOULKÉMÈ"/>
    <s v="DIOULKÉMÈ"/>
    <s v="3 mois"/>
    <d v="2023-06-06T00:00:00"/>
    <m/>
    <s v="Soriba Moustapha Camara"/>
    <s v="Riz"/>
    <x v="0"/>
    <m/>
    <m/>
    <x v="0"/>
    <m/>
    <m/>
    <m/>
    <m/>
  </r>
  <r>
    <d v="2023-05-02T11:30:16"/>
    <s v="Gaoual"/>
    <s v="COMMUNE URBAINE"/>
    <s v="Individuel"/>
    <s v="MAMADOU DIAN BALDÉ"/>
    <n v="622466088"/>
    <m/>
    <s v="Koumbia"/>
    <n v="32"/>
    <s v="Labour + Pulvérisation"/>
    <n v="2"/>
    <s v="DIOULKÉMÈ"/>
    <s v="DIOULKÉMÈ"/>
    <s v="4 mois"/>
    <d v="2023-05-16T00:00:00"/>
    <m/>
    <s v="Soriba Moustapha Camara"/>
    <s v="Riz"/>
    <x v="0"/>
    <m/>
    <m/>
    <x v="0"/>
    <m/>
    <m/>
    <m/>
    <m/>
  </r>
  <r>
    <d v="2023-05-02T11:35:32"/>
    <s v="Gaoual"/>
    <s v="COMMUNE URBAINE"/>
    <s v="Individuel"/>
    <s v="MAMADOU BAILLO DIALLO"/>
    <n v="628169348"/>
    <m/>
    <s v="Koumbia"/>
    <n v="32"/>
    <s v="Labour + Pulvérisation"/>
    <n v="2"/>
    <s v="DIOULKÉMÈ"/>
    <s v="DIOULKÉMÈ"/>
    <s v="3 mois"/>
    <d v="2023-05-17T00:00:00"/>
    <s v="NUMÉRO TÉLÉPHONE D'UNE PERSONNE RESSOURCES"/>
    <s v="Soriba Moustapha Camara"/>
    <s v="Riz"/>
    <x v="0"/>
    <m/>
    <m/>
    <x v="0"/>
    <m/>
    <m/>
    <m/>
    <m/>
  </r>
  <r>
    <d v="2023-05-02T11:39:06"/>
    <s v="Gaoual"/>
    <s v="COMMUNE URBAINE"/>
    <s v="Individuel"/>
    <s v="ALLAH OUROU KOULIBALY"/>
    <n v="628169348"/>
    <m/>
    <s v="Koumbia"/>
    <n v="32"/>
    <s v="Labour + Pulvérisation"/>
    <n v="2"/>
    <s v="DIOULKÉMÈ"/>
    <s v="DIOULKÉMÈ"/>
    <s v="3 mois"/>
    <d v="2023-05-18T00:00:00"/>
    <s v="Numéro, personne ressource..."/>
    <s v="Soriba Moustapha Camara"/>
    <s v="Riz"/>
    <x v="0"/>
    <m/>
    <m/>
    <x v="0"/>
    <m/>
    <m/>
    <m/>
    <m/>
  </r>
  <r>
    <d v="2023-05-02T11:46:37"/>
    <s v="Gaoual"/>
    <s v="C U"/>
    <s v="Collectif"/>
    <s v="MAMADOU GANDHO BAH"/>
    <n v="622986853"/>
    <m/>
    <s v="Koumbia"/>
    <n v="45"/>
    <s v="Labour + Pulvérisation"/>
    <n v="10"/>
    <s v="DIOULKÉMÈ"/>
    <s v="DIOULKÉMÈ"/>
    <s v="3 mois"/>
    <d v="2023-05-25T00:00:00"/>
    <m/>
    <s v="Soriba Moustapha Camara"/>
    <s v="Riz"/>
    <x v="0"/>
    <m/>
    <m/>
    <x v="0"/>
    <m/>
    <m/>
    <m/>
    <m/>
  </r>
  <r>
    <d v="2023-05-02T11:50:25"/>
    <s v="Gaoual"/>
    <s v="C U"/>
    <s v="Individuel"/>
    <s v="BOUBACAR GNAMPIA"/>
    <n v="628169348"/>
    <m/>
    <s v="Koumbia"/>
    <n v="40"/>
    <s v="Labour + Pulvérisation"/>
    <n v="2"/>
    <s v="DIOULKÉMÈ"/>
    <s v="DIOULKÉMÈ"/>
    <s v="3 mois"/>
    <d v="2023-05-20T00:00:00"/>
    <m/>
    <s v="Soriba Moustapha Camara"/>
    <s v="Riz"/>
    <x v="0"/>
    <m/>
    <m/>
    <x v="0"/>
    <m/>
    <m/>
    <m/>
    <m/>
  </r>
  <r>
    <d v="2023-05-02T11:51:36"/>
    <s v="Kankan"/>
    <s v="Bordeaux"/>
    <s v="Collectif"/>
    <s v="Konkokele 1"/>
    <n v="628451165"/>
    <n v="0"/>
    <s v="Boula"/>
    <n v="185"/>
    <s v="Labour - uniquement"/>
    <n v="15"/>
    <s v="Samorikelet"/>
    <s v="Variété locale"/>
    <s v="4 mois"/>
    <d v="2023-05-05T00:00:00"/>
    <s v="Groupement agricole suite de 1er enregistrement"/>
    <s v="Moussa Alamako Keita"/>
    <s v="Riz"/>
    <x v="1"/>
    <n v="15"/>
    <d v="2023-05-02T00:00:00"/>
    <x v="17"/>
    <s v="7KAN002T"/>
    <m/>
    <m/>
    <m/>
  </r>
  <r>
    <d v="2023-05-02T12:04:01"/>
    <s v="Kankan"/>
    <s v="Bordeaux"/>
    <s v="Individuel"/>
    <s v="Kaba Traoré"/>
    <n v="620210933"/>
    <n v="0"/>
    <s v="Sabadou-Baranama"/>
    <n v="90"/>
    <s v="Labour - uniquement"/>
    <n v="10"/>
    <s v="Soketa"/>
    <s v="Variété locale"/>
    <s v="5 mois"/>
    <d v="2023-05-06T00:00:00"/>
    <s v="Producteur moins"/>
    <s v="Moussa Alamako Keita"/>
    <s v="Riz"/>
    <x v="1"/>
    <n v="10"/>
    <d v="2023-05-02T00:00:00"/>
    <x v="17"/>
    <s v="7KAN004T"/>
    <m/>
    <m/>
    <m/>
  </r>
  <r>
    <d v="2023-05-02T12:40:46"/>
    <s v="Beyla"/>
    <s v="Beyla centre"/>
    <s v="Individuel"/>
    <s v="Ousmane Camara"/>
    <n v="621636457"/>
    <m/>
    <s v="Samana"/>
    <n v="20"/>
    <s v="Labour - uniquement"/>
    <n v="10"/>
    <s v="Tchocho"/>
    <s v="Riz"/>
    <s v="6 mois"/>
    <d v="2023-05-03T00:00:00"/>
    <m/>
    <s v="Moussa Conde"/>
    <s v="Riz"/>
    <x v="1"/>
    <n v="20"/>
    <d v="2023-05-02T00:00:00"/>
    <x v="17"/>
    <s v="8BLA008T"/>
    <m/>
    <m/>
    <m/>
  </r>
  <r>
    <d v="2023-05-02T17:08:18"/>
    <s v="Siguiri"/>
    <s v="Siguiri"/>
    <s v="Collectif"/>
    <s v="Amara CAMARA"/>
    <n v="621196192"/>
    <m/>
    <s v="Maléa"/>
    <n v="75"/>
    <s v="Déchaumage"/>
    <n v="40"/>
    <s v="Chinois, Dissibawoulen..."/>
    <s v="Chinois, Dissibawoulen..."/>
    <s v="5 mois"/>
    <d v="2023-05-07T00:00:00"/>
    <m/>
    <s v="Nanamoudou ll Magassouba"/>
    <s v="Riz"/>
    <x v="1"/>
    <n v="40"/>
    <d v="2023-05-03T00:00:00"/>
    <x v="17"/>
    <s v="7SRI007T"/>
    <m/>
    <m/>
    <m/>
  </r>
  <r>
    <d v="2023-05-02T22:50:35"/>
    <s v="Lola"/>
    <s v="Direction Préfectoral de l'Agriculture et de l'Élevage de Lola"/>
    <s v="Collectif"/>
    <s v="Nouté Bamba"/>
    <n v="620778612"/>
    <m/>
    <s v="Gama Berema"/>
    <n v="15"/>
    <s v="Labour - uniquement"/>
    <n v="20"/>
    <s v="Chinois bas"/>
    <s v="Oryza Sativa"/>
    <s v="5 mois"/>
    <d v="2023-05-08T00:00:00"/>
    <m/>
    <s v="Pokpa Delamou"/>
    <s v="Riz"/>
    <x v="0"/>
    <m/>
    <m/>
    <x v="0"/>
    <m/>
    <m/>
    <m/>
    <m/>
  </r>
  <r>
    <d v="2023-05-02T22:56:01"/>
    <s v="Lola"/>
    <s v="Direction Préfectoral de l'Agriculture et de l'Élevage de Lola"/>
    <s v="Collectif"/>
    <s v="Nouté Bamba"/>
    <n v="620778612"/>
    <m/>
    <s v="Gama Berema"/>
    <n v="20"/>
    <s v="Labour - uniquement"/>
    <n v="20"/>
    <s v="Jaune_jaune"/>
    <s v="Zea Mays"/>
    <s v="3 mois"/>
    <d v="2023-05-14T00:00:00"/>
    <m/>
    <s v="Pokpa Delamou"/>
    <s v="Maïs"/>
    <x v="0"/>
    <m/>
    <m/>
    <x v="0"/>
    <m/>
    <m/>
    <m/>
    <m/>
  </r>
  <r>
    <d v="2023-05-03T01:05:57"/>
    <s v="Dinguiraye"/>
    <s v="Dinguiraye centre"/>
    <s v="Individuel"/>
    <s v="Abdoulaye Diallo"/>
    <n v="628138875"/>
    <m/>
    <s v="Sélouma"/>
    <n v="40"/>
    <s v="Labour + Pulvérisation"/>
    <n v="8"/>
    <s v="Gniina"/>
    <s v="Gniina"/>
    <s v="4 mois"/>
    <d v="2023-05-30T00:00:00"/>
    <m/>
    <s v="Mamadou 1 Diallo"/>
    <s v="Riz"/>
    <x v="0"/>
    <m/>
    <m/>
    <x v="0"/>
    <m/>
    <m/>
    <m/>
    <m/>
  </r>
  <r>
    <d v="2023-05-03T01:10:13"/>
    <s v="Dinguiraye"/>
    <s v="Dinguiraye centre"/>
    <s v="Individuel"/>
    <s v="Bakary N,diaye"/>
    <n v="622298683"/>
    <m/>
    <s v="Kalinko"/>
    <n v="75"/>
    <s v="Labour + Pulvérisation"/>
    <n v="10"/>
    <s v="Dissiba-oulén"/>
    <s v="Dissiba-oulén"/>
    <s v="4 mois"/>
    <d v="2023-06-05T00:00:00"/>
    <m/>
    <s v="Mamadou 1 Diallo"/>
    <s v="Riz"/>
    <x v="0"/>
    <m/>
    <m/>
    <x v="0"/>
    <m/>
    <m/>
    <m/>
    <m/>
  </r>
  <r>
    <d v="2023-05-03T01:14:13"/>
    <s v="Dinguiraye"/>
    <s v="Dinguiraye centre"/>
    <s v="Individuel"/>
    <s v="Ousmane sow"/>
    <n v="622838855"/>
    <m/>
    <s v="Sélouma"/>
    <n v="40"/>
    <s v="Labour + Pulvérisation"/>
    <n v="5"/>
    <s v="Morice"/>
    <s v="Morice"/>
    <s v="4 mois"/>
    <d v="2023-05-30T00:00:00"/>
    <m/>
    <s v="Mamadou 1 Diallo"/>
    <s v="Riz"/>
    <x v="0"/>
    <m/>
    <m/>
    <x v="0"/>
    <m/>
    <m/>
    <m/>
    <m/>
  </r>
  <r>
    <d v="2023-05-03T06:51:05"/>
    <s v="Mandiana"/>
    <s v="Cours du bloc Administratif"/>
    <s v="Individuel"/>
    <s v="Sékou BAYO"/>
    <n v="622879668"/>
    <m/>
    <s v="Kiniéran"/>
    <n v="78"/>
    <s v="Labour + Pulvérisation"/>
    <n v="25"/>
    <s v="Nerica 19"/>
    <s v="Nerica"/>
    <s v="4 mois"/>
    <d v="2023-06-05T00:00:00"/>
    <s v="Aptes pour la mécanisation"/>
    <s v="Nounkè Doumbouya"/>
    <s v="Riz"/>
    <x v="0"/>
    <m/>
    <m/>
    <x v="0"/>
    <m/>
    <m/>
    <m/>
    <m/>
  </r>
  <r>
    <d v="2023-05-03T06:53:48"/>
    <s v="Mandiana"/>
    <s v="Cours du bloc Administratif"/>
    <s v="Individuel"/>
    <s v="Samè TRAORÉ"/>
    <n v="621318735"/>
    <m/>
    <s v="Kiniéran"/>
    <n v="82"/>
    <s v="Labour + Pulvérisation"/>
    <n v="14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3T06:56:32"/>
    <s v="Mandiana"/>
    <s v="Cours du bloc Administratif"/>
    <s v="Individuel"/>
    <s v="Fodé TRAORÉ"/>
    <n v="622489062"/>
    <m/>
    <s v="Kiniéran"/>
    <n v="82"/>
    <s v="Labour + Pulvérisation"/>
    <n v="15"/>
    <s v="Nerica 19, tchokotchoko"/>
    <s v="Nerica"/>
    <s v="5 mois"/>
    <d v="2023-06-03T00:00:00"/>
    <s v="Aptes pour la mécanisation"/>
    <s v="Nounkè Doumbouya"/>
    <s v="Riz"/>
    <x v="0"/>
    <m/>
    <m/>
    <x v="0"/>
    <m/>
    <m/>
    <m/>
    <m/>
  </r>
  <r>
    <d v="2023-05-03T06:59:32"/>
    <s v="Mandiana"/>
    <s v="Cours du bloc Administratif"/>
    <s v="Collectif"/>
    <s v="Diadaba CONDÉ"/>
    <n v="622086633"/>
    <m/>
    <s v="Kiniéran"/>
    <n v="83"/>
    <s v="Labour + Pulvérisation"/>
    <n v="22"/>
    <s v="Nerica 19"/>
    <s v="Nerica"/>
    <s v="4 mois"/>
    <d v="2023-06-10T00:00:00"/>
    <s v="Aptes pour la mécanisation"/>
    <s v="Nounkè Doumbouya"/>
    <s v="Riz"/>
    <x v="0"/>
    <m/>
    <m/>
    <x v="0"/>
    <m/>
    <m/>
    <m/>
    <m/>
  </r>
  <r>
    <d v="2023-05-03T07:02:31"/>
    <s v="Mandiana"/>
    <s v="Cours du bloc Administratif"/>
    <s v="Individuel"/>
    <s v="Soulé SIDIBÉ"/>
    <n v="628954803"/>
    <m/>
    <s v="Kiniéran"/>
    <n v="82"/>
    <s v="Labour + Pulvérisation"/>
    <n v="18"/>
    <s v="ADRAO"/>
    <s v="ADRAO"/>
    <s v="5 mois"/>
    <d v="2023-05-25T00:00:00"/>
    <s v="Aptes pour la mécanisation"/>
    <s v="Nounkè Doumbouya"/>
    <s v="Riz"/>
    <x v="0"/>
    <m/>
    <m/>
    <x v="0"/>
    <m/>
    <m/>
    <m/>
    <m/>
  </r>
  <r>
    <d v="2023-05-03T07:05:37"/>
    <s v="Mandiana"/>
    <s v="Cours du bloc Administratif"/>
    <s v="Individuel"/>
    <s v="Sakaba Koulibaly"/>
    <n v="621054136"/>
    <m/>
    <s v="Kiniéran"/>
    <n v="83"/>
    <s v="Labour - uniquement"/>
    <n v="12"/>
    <s v="Bebalawouli"/>
    <s v="Ne connais pas"/>
    <s v="5 mois"/>
    <d v="2023-06-01T00:00:00"/>
    <s v="Aptes pour la mécanisation"/>
    <s v="Nounkè Doumbouya"/>
    <s v="Riz"/>
    <x v="0"/>
    <m/>
    <m/>
    <x v="0"/>
    <m/>
    <m/>
    <m/>
    <m/>
  </r>
  <r>
    <d v="2023-05-03T07:08:18"/>
    <s v="Mandiana"/>
    <s v="Cours du bloc Administratif"/>
    <s v="Collectif"/>
    <s v="Bouary DOUMBOUYA"/>
    <n v="622659462"/>
    <m/>
    <s v="Kiniéran"/>
    <n v="82"/>
    <s v="Labour + Pulvérisation"/>
    <n v="65"/>
    <s v="Nerica 19 et 4, ADRAO"/>
    <s v="Nerica"/>
    <s v="4 mois"/>
    <d v="2023-06-02T00:00:00"/>
    <s v="Aptes pour la mécanisation"/>
    <s v="Nounkè Doumbouya"/>
    <s v="Riz"/>
    <x v="0"/>
    <m/>
    <m/>
    <x v="0"/>
    <m/>
    <m/>
    <m/>
    <m/>
  </r>
  <r>
    <d v="2023-05-03T09:42:52"/>
    <s v="Dubréka"/>
    <s v="Ouassou"/>
    <s v="Individuel"/>
    <s v="Fode camara"/>
    <n v="621575211"/>
    <n v="621575211"/>
    <s v="Koba-Tatema"/>
    <n v="7"/>
    <s v="Labour - uniquement"/>
    <n v="1"/>
    <s v="Balenta"/>
    <s v="Rock5"/>
    <s v="9 mois"/>
    <d v="2023-05-03T00:00:00"/>
    <s v="Accord"/>
    <s v="Kissi Camara"/>
    <s v="Riz"/>
    <x v="1"/>
    <n v="1"/>
    <d v="2023-05-03T00:00:00"/>
    <x v="17"/>
    <s v="2DKA001T"/>
    <m/>
    <m/>
    <m/>
  </r>
  <r>
    <d v="2023-05-03T09:57:07"/>
    <s v="Dubréka"/>
    <s v="Ouassou"/>
    <s v="Individuel"/>
    <s v="Aly camara"/>
    <n v="628650600"/>
    <n v="628650600"/>
    <s v="Koba-Tatema"/>
    <n v="9"/>
    <s v="Labour - uniquement"/>
    <n v="3"/>
    <s v="Balenta"/>
    <s v="Rock5"/>
    <s v="9 mois"/>
    <d v="2023-05-05T00:00:00"/>
    <s v="Accord"/>
    <s v="Kissi Camara"/>
    <s v="Riz"/>
    <x v="1"/>
    <n v="3"/>
    <d v="2023-05-03T00:00:00"/>
    <x v="17"/>
    <s v="2DKA001T"/>
    <m/>
    <m/>
    <m/>
  </r>
  <r>
    <d v="2023-05-03T10:04:34"/>
    <s v="Forécariah"/>
    <s v="Forecariah"/>
    <s v="Individuel"/>
    <s v="Imam ahmed soumah"/>
    <n v="623597802"/>
    <m/>
    <s v="Moussaya"/>
    <n v="60"/>
    <s v="Labour - uniquement"/>
    <n v="3"/>
    <s v="CK-90"/>
    <s v="CK-90"/>
    <s v="5 mois"/>
    <d v="2023-05-04T00:00:00"/>
    <m/>
    <s v="Moussa Diakité"/>
    <s v="Riz"/>
    <x v="1"/>
    <n v="3"/>
    <d v="2023-05-03T00:00:00"/>
    <x v="17"/>
    <s v="2FAH001T"/>
    <m/>
    <m/>
    <m/>
  </r>
  <r>
    <d v="2023-05-03T10:21:50"/>
    <s v="Mamou"/>
    <s v="Petel/ Mamou"/>
    <s v="Individuel"/>
    <s v="Lansana Mansare"/>
    <n v="623503269"/>
    <m/>
    <s v="Ouré-Kaba"/>
    <n v="80"/>
    <s v="Labour - uniquement"/>
    <n v="2"/>
    <s v="Kalya"/>
    <s v="CK21"/>
    <s v="4 mois"/>
    <d v="2023-11-05T00:00:00"/>
    <s v="Tout commence bien"/>
    <s v="Mamadouba Camara"/>
    <s v="Riz"/>
    <x v="1"/>
    <n v="2"/>
    <d v="2023-05-09T00:00:00"/>
    <x v="16"/>
    <s v="4MOU002T"/>
    <m/>
    <m/>
    <m/>
  </r>
  <r>
    <d v="2023-05-03T11:15:58"/>
    <s v="Mamou"/>
    <s v="Petel Mamou"/>
    <s v="Individuel"/>
    <s v="Souleymane Barry"/>
    <n v="621190553"/>
    <m/>
    <s v="Ouré-Kaba"/>
    <n v="70"/>
    <s v="Labour - uniquement"/>
    <n v="6"/>
    <s v="Kalya"/>
    <s v="CK21"/>
    <s v="4 mois"/>
    <d v="2023-11-08T00:00:00"/>
    <s v="Tout commence bien"/>
    <s v="Mamadouba Camara"/>
    <s v="Riz"/>
    <x v="1"/>
    <n v="6"/>
    <d v="2023-05-09T00:00:00"/>
    <x v="16"/>
    <s v="4MOU002T"/>
    <m/>
    <m/>
    <m/>
  </r>
  <r>
    <d v="2023-05-03T11:19:38"/>
    <s v="Gaoual"/>
    <s v="C U"/>
    <s v="Individuel"/>
    <s v="MAMADOU LAMARANA Diallo"/>
    <n v="622486297"/>
    <m/>
    <s v="Koumbia"/>
    <n v="44"/>
    <s v="Labour + Pulvérisation"/>
    <n v="5"/>
    <s v="DIOULKÉMÈ"/>
    <s v="DIOULKÉMÈ"/>
    <s v="3 mois"/>
    <d v="2023-05-25T00:00:00"/>
    <m/>
    <s v="Soriba Moustapha Camara"/>
    <s v="Riz"/>
    <x v="0"/>
    <m/>
    <m/>
    <x v="0"/>
    <m/>
    <m/>
    <m/>
    <m/>
  </r>
  <r>
    <d v="2023-05-03T11:21:01"/>
    <s v="Mamou"/>
    <s v="Petel Mamou"/>
    <s v="Individuel"/>
    <s v="Souleymane Diakité"/>
    <n v="621311638"/>
    <m/>
    <s v="Ouré-Kaba"/>
    <n v="80"/>
    <s v="Labour - uniquement"/>
    <n v="1"/>
    <s v="Kalya"/>
    <s v="CK21"/>
    <s v="4 mois"/>
    <d v="2023-11-10T00:00:00"/>
    <s v="Tout va bien"/>
    <s v="Mamadouba Camara"/>
    <s v="Riz"/>
    <x v="1"/>
    <n v="1"/>
    <d v="2023-05-09T00:00:00"/>
    <x v="16"/>
    <s v="4MOU002T"/>
    <m/>
    <m/>
    <m/>
  </r>
  <r>
    <d v="2023-05-03T11:44:12"/>
    <s v="Forécariah"/>
    <s v="Forecariah"/>
    <s v="Individuel"/>
    <s v="Almamy daouda touré"/>
    <n v="628284857"/>
    <m/>
    <s v="Alassoya"/>
    <n v="10"/>
    <s v="Labour - uniquement"/>
    <n v="5"/>
    <s v="CK-90"/>
    <s v="CK-90"/>
    <s v="5 mois"/>
    <d v="2023-05-03T00:00:00"/>
    <m/>
    <s v="Moussa Diakité"/>
    <s v="Riz"/>
    <x v="1"/>
    <n v="5"/>
    <d v="2023-05-03T00:00:00"/>
    <x v="17"/>
    <s v="2FAH004T"/>
    <m/>
    <m/>
    <m/>
  </r>
  <r>
    <d v="2023-05-03T11:59:31"/>
    <s v="Dubréka"/>
    <s v="Ouassou"/>
    <s v="Collectif"/>
    <s v="Dpae Dubreka"/>
    <n v="620584839"/>
    <n v="620584839"/>
    <s v="Tanéné"/>
    <n v="70"/>
    <s v="Labour - uniquement"/>
    <n v="20"/>
    <s v="Balenta"/>
    <s v="Rock5"/>
    <s v="9 mois"/>
    <d v="2023-05-09T00:00:00"/>
    <s v="Accord"/>
    <s v="Kissi Camara"/>
    <s v="Riz"/>
    <x v="0"/>
    <m/>
    <m/>
    <x v="0"/>
    <m/>
    <m/>
    <m/>
    <m/>
  </r>
  <r>
    <d v="2023-05-03T12:01:47"/>
    <s v="Forécariah"/>
    <s v="Forecariah"/>
    <s v="Individuel"/>
    <s v="Ibrahima sori bangoura"/>
    <n v="628212086"/>
    <m/>
    <s v="Sikhourou"/>
    <n v="55"/>
    <s v="Labour - uniquement"/>
    <n v="10"/>
    <s v="Ck-90"/>
    <s v="CK-90"/>
    <s v="6 mois"/>
    <d v="2023-05-06T00:00:00"/>
    <m/>
    <s v="Moussa Diakité"/>
    <s v="Riz"/>
    <x v="1"/>
    <n v="10"/>
    <d v="2023-05-03T00:00:00"/>
    <x v="17"/>
    <s v="2FAH004T"/>
    <m/>
    <m/>
    <m/>
  </r>
  <r>
    <d v="2023-05-03T12:17:04"/>
    <s v="Mamou"/>
    <s v="Petel Mamou"/>
    <s v="Individuel"/>
    <s v="Mamadou dioulde Diakité"/>
    <n v="627026066"/>
    <m/>
    <s v="Ouré-Kaba"/>
    <n v="80"/>
    <s v="Labour - uniquement"/>
    <n v="1"/>
    <s v="Kalya"/>
    <s v="CK21"/>
    <s v="4 mois"/>
    <d v="2023-09-10T00:00:00"/>
    <s v="Tout commence bien"/>
    <s v="Mamadouba Camara"/>
    <s v="Riz"/>
    <x v="0"/>
    <m/>
    <m/>
    <x v="0"/>
    <m/>
    <m/>
    <m/>
    <m/>
  </r>
  <r>
    <d v="2023-05-03T12:25:20"/>
    <s v="Mamou"/>
    <s v="Petel Mamou"/>
    <s v="Individuel"/>
    <s v="Babaen Diakité"/>
    <n v="621307012"/>
    <m/>
    <s v="Ouré-Kaba"/>
    <n v="80"/>
    <s v="Labour - uniquement"/>
    <n v="1"/>
    <s v="Kalya"/>
    <s v="CK21"/>
    <s v="4 mois"/>
    <d v="2023-11-09T00:00:00"/>
    <s v="Tout commence bien"/>
    <s v="Mamadouba Camara"/>
    <s v="Riz"/>
    <x v="0"/>
    <m/>
    <m/>
    <x v="0"/>
    <m/>
    <m/>
    <m/>
    <m/>
  </r>
  <r>
    <d v="2023-05-03T12:37:35"/>
    <s v="Mamou"/>
    <s v="Petel Mamou"/>
    <s v="Individuel"/>
    <s v="Samba Camara"/>
    <n v="628359884"/>
    <m/>
    <s v="Mamou Centre"/>
    <n v="5"/>
    <s v="Labour - uniquement"/>
    <n v="1"/>
    <s v="Kalya"/>
    <s v="CK21"/>
    <s v="4 mois"/>
    <d v="2023-05-12T00:00:00"/>
    <s v="Tout commence bien"/>
    <s v="Mamadouba Camara"/>
    <s v="Riz"/>
    <x v="1"/>
    <n v="1"/>
    <d v="2023-05-11T00:00:00"/>
    <x v="16"/>
    <s v="4MOU002T"/>
    <m/>
    <m/>
    <m/>
  </r>
  <r>
    <d v="2023-05-03T12:44:08"/>
    <s v="Mamou"/>
    <s v="Petel Mamou"/>
    <s v="Individuel"/>
    <s v="Noumez savane"/>
    <n v="621339461"/>
    <m/>
    <s v="Ouré-Kaba"/>
    <n v="55"/>
    <s v="Labour - uniquement"/>
    <n v="3"/>
    <s v="Seydouba"/>
    <s v="CK90"/>
    <s v="4 mois"/>
    <d v="2023-11-15T00:00:00"/>
    <s v="Tout commence bien"/>
    <s v="Mamadouba Camara"/>
    <s v="Riz"/>
    <x v="1"/>
    <n v="4"/>
    <d v="2023-05-23T00:00:00"/>
    <x v="18"/>
    <s v="4MOU002T"/>
    <m/>
    <m/>
    <m/>
  </r>
  <r>
    <d v="2023-05-03T12:49:18"/>
    <s v="Mamou"/>
    <s v="Petel Mamou"/>
    <s v="Individuel"/>
    <s v="Sory Diakité"/>
    <n v="621034713"/>
    <m/>
    <s v="Ouré-Kaba"/>
    <n v="55"/>
    <s v="Labour - uniquement"/>
    <n v="2"/>
    <s v="Seydouba"/>
    <s v="CK90"/>
    <s v="4 mois"/>
    <d v="2023-11-14T00:00:00"/>
    <s v="Tout commence bien"/>
    <s v="Mamadouba Camara"/>
    <s v="Riz"/>
    <x v="0"/>
    <m/>
    <m/>
    <x v="0"/>
    <m/>
    <m/>
    <m/>
    <m/>
  </r>
  <r>
    <d v="2023-05-03T13:49:15"/>
    <s v="Kankan"/>
    <s v="Bordeaux"/>
    <s v="Collectif"/>
    <s v="Solo Keita"/>
    <n v="628348894"/>
    <n v="0"/>
    <s v="Missamana"/>
    <n v="45"/>
    <s v="Labour - uniquement"/>
    <n v="40"/>
    <s v="Kaoulaka"/>
    <s v="Variété locale"/>
    <s v="5 mois"/>
    <d v="2023-05-06T00:00:00"/>
    <s v="Les petits et moins producteurs"/>
    <s v="Moussa Alamako Keita"/>
    <s v="Riz"/>
    <x v="0"/>
    <m/>
    <m/>
    <x v="0"/>
    <m/>
    <m/>
    <m/>
    <m/>
  </r>
  <r>
    <d v="2023-05-03T14:00:10"/>
    <s v="Kankan"/>
    <s v="Bordeaux"/>
    <s v="Collectif"/>
    <s v="SOAGALGUI"/>
    <n v="610592067"/>
    <n v="0"/>
    <s v="Moribayah"/>
    <n v="100"/>
    <s v="Labour - uniquement"/>
    <n v="40"/>
    <s v="Lanyeri"/>
    <s v="Variété locale"/>
    <s v="5 mois"/>
    <d v="2023-05-07T00:00:00"/>
    <s v="Une société"/>
    <s v="Moussa Alamako Keita"/>
    <s v="Riz"/>
    <x v="0"/>
    <m/>
    <m/>
    <x v="0"/>
    <m/>
    <m/>
    <m/>
    <m/>
  </r>
  <r>
    <d v="2023-05-03T14:49:49"/>
    <s v="Boké"/>
    <s v="Boké centre"/>
    <s v="Collectif"/>
    <s v="Aries Farms Sarlu"/>
    <n v="629007465"/>
    <n v="0"/>
    <s v="Kolaboui"/>
    <n v="35"/>
    <s v="Labour + Pulvérisation"/>
    <n v="50"/>
    <s v="non"/>
    <s v="non"/>
    <s v="4 mois"/>
    <d v="2023-05-20T00:00:00"/>
    <s v="c est société indienne"/>
    <s v="Elhadj Souaré Mamadou Dian"/>
    <s v="Riz"/>
    <x v="1"/>
    <n v="12.5"/>
    <d v="2023-05-17T00:00:00"/>
    <x v="4"/>
    <s v="3BKE002T"/>
    <m/>
    <m/>
    <m/>
  </r>
  <r>
    <d v="2023-05-03T15:00:13"/>
    <s v="Dabola"/>
    <s v="Foundeng 1"/>
    <s v="Individuel"/>
    <s v="Souleymane KANTE"/>
    <n v="622413072"/>
    <n v="664827862"/>
    <s v="Bissikrima"/>
    <n v="55"/>
    <s v="Labour + Pulvérisation"/>
    <n v="20"/>
    <s v="Ck90"/>
    <s v="Ck90"/>
    <s v="4 mois"/>
    <d v="2023-05-15T00:00:00"/>
    <m/>
    <s v="Souleymane Kanté"/>
    <s v="Riz"/>
    <x v="1"/>
    <n v="10"/>
    <d v="2023-05-11T00:00:00"/>
    <x v="16"/>
    <s v="6DLA002T"/>
    <m/>
    <m/>
    <m/>
  </r>
  <r>
    <d v="2023-05-03T15:03:09"/>
    <s v="Dabola"/>
    <s v="Foundeng 1"/>
    <s v="Individuel"/>
    <s v="Ibrahima Kaba"/>
    <n v="625974981"/>
    <m/>
    <s v="Konindou"/>
    <n v="39"/>
    <s v="Labour - uniquement"/>
    <n v="10"/>
    <s v="Ck90"/>
    <s v="Ck90"/>
    <s v="4 mois"/>
    <d v="2023-05-05T00:00:00"/>
    <m/>
    <s v="Souleymane Kanté"/>
    <s v="Riz"/>
    <x v="0"/>
    <m/>
    <m/>
    <x v="0"/>
    <m/>
    <m/>
    <m/>
    <m/>
  </r>
  <r>
    <d v="2023-05-03T15:10:05"/>
    <s v="Dabola"/>
    <s v="Foundeng 1"/>
    <s v="Individuel"/>
    <s v="Bagou Diallo"/>
    <n v="622205851"/>
    <m/>
    <s v="Dabola Centre"/>
    <n v="10"/>
    <s v="Labour - uniquement"/>
    <n v="4"/>
    <s v="Ck90"/>
    <s v="Ck90"/>
    <s v="4 mois"/>
    <d v="2023-05-10T00:00:00"/>
    <m/>
    <s v="Souleymane Kanté"/>
    <s v="Riz"/>
    <x v="0"/>
    <m/>
    <m/>
    <x v="0"/>
    <m/>
    <m/>
    <m/>
    <m/>
  </r>
  <r>
    <d v="2023-05-03T15:12:53"/>
    <s v="Dabola"/>
    <s v="Foundeng 1"/>
    <s v="Individuel"/>
    <s v="Banfa Camara"/>
    <n v="622628655"/>
    <m/>
    <s v="Dabola Centre"/>
    <n v="5"/>
    <s v="Labour - uniquement"/>
    <n v="1"/>
    <s v="Ck90"/>
    <s v="Ck90"/>
    <s v="4 mois"/>
    <d v="2023-05-11T00:00:00"/>
    <m/>
    <s v="Souleymane Kanté"/>
    <s v="Riz"/>
    <x v="0"/>
    <m/>
    <m/>
    <x v="0"/>
    <m/>
    <m/>
    <m/>
    <m/>
  </r>
  <r>
    <d v="2023-05-03T15:51:07"/>
    <s v="Mamou"/>
    <s v="Petel Mamou"/>
    <s v="Individuel"/>
    <s v="Lamine savane"/>
    <n v="628692480"/>
    <m/>
    <s v="Ouré-Kaba"/>
    <n v="56"/>
    <s v="Labour - uniquement"/>
    <n v="1"/>
    <s v="Seydouba"/>
    <s v="CK90"/>
    <s v="4 mois"/>
    <d v="2023-11-11T00:00:00"/>
    <s v="Tout commence bien"/>
    <s v="Mamadouba Camara"/>
    <s v="Riz"/>
    <x v="1"/>
    <n v="1"/>
    <d v="2023-05-23T00:00:00"/>
    <x v="18"/>
    <s v="4MOU002T"/>
    <m/>
    <m/>
    <m/>
  </r>
  <r>
    <d v="2023-05-03T15:55:36"/>
    <s v="Mamou"/>
    <s v="Petel Mamou"/>
    <s v="Individuel"/>
    <s v="Hawa savane"/>
    <n v="629074889"/>
    <m/>
    <s v="Ouré-Kaba"/>
    <n v="1"/>
    <s v="Labour - uniquement"/>
    <n v="1"/>
    <s v="Seydouba"/>
    <s v="CK90"/>
    <s v="4 mois"/>
    <d v="2023-11-12T00:00:00"/>
    <s v="Tout commence bien"/>
    <s v="Mamadouba Camara"/>
    <s v="Riz"/>
    <x v="1"/>
    <n v="1"/>
    <d v="2023-05-23T00:00:00"/>
    <x v="18"/>
    <s v="4MOU002T"/>
    <m/>
    <m/>
    <m/>
  </r>
  <r>
    <d v="2023-05-03T15:59:28"/>
    <s v="Macenta"/>
    <s v="Direction préfectorale de l'agriculture et de l'élevage de macenta"/>
    <s v="Collectif"/>
    <s v="Koumba Camara"/>
    <n v="624256010"/>
    <m/>
    <s v="Ourémai"/>
    <n v="22"/>
    <s v="Labour - uniquement"/>
    <n v="10"/>
    <s v="Malopolo"/>
    <s v="Oriza sativa"/>
    <s v="5 mois"/>
    <d v="2023-05-13T00:00:00"/>
    <s v="Pas"/>
    <s v="Alexandre Kpoghomou"/>
    <s v="Riz"/>
    <x v="0"/>
    <m/>
    <m/>
    <x v="0"/>
    <m/>
    <m/>
    <m/>
    <m/>
  </r>
  <r>
    <d v="2023-05-03T16:00:00"/>
    <s v="Mamou"/>
    <s v="Petel Mamou"/>
    <s v="Individuel"/>
    <s v="N'fakaba"/>
    <n v="625456336"/>
    <m/>
    <s v="Ouré-Kaba"/>
    <n v="56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</r>
  <r>
    <d v="2023-05-03T16:03:45"/>
    <s v="Mamou"/>
    <s v="Petel Mamou"/>
    <s v="Individuel"/>
    <s v="Sidiki kaba"/>
    <n v="620395958"/>
    <m/>
    <s v="Ouré-Kaba"/>
    <n v="59"/>
    <s v="Labour - uniquement"/>
    <n v="1"/>
    <s v="Seydouba"/>
    <s v="CK90"/>
    <s v="4 mois"/>
    <d v="2023-05-14T00:00:00"/>
    <s v="Tout commence bien"/>
    <s v="Mamadouba Camara"/>
    <s v="Riz"/>
    <x v="0"/>
    <m/>
    <m/>
    <x v="0"/>
    <m/>
    <m/>
    <m/>
    <m/>
  </r>
  <r>
    <d v="2023-05-03T16:07:27"/>
    <s v="Mamou"/>
    <s v="Petel Mamou"/>
    <s v="Individuel"/>
    <s v="Lansana koita"/>
    <n v="625692465"/>
    <m/>
    <s v="Ouré-Kaba"/>
    <n v="56"/>
    <s v="Labour - uniquement"/>
    <n v="1"/>
    <s v="Seydouba"/>
    <s v="CK90"/>
    <s v="4 mois"/>
    <d v="2023-05-14T00:00:00"/>
    <s v="Tout commence bien"/>
    <s v="Mamadouba Camara"/>
    <s v="Riz"/>
    <x v="1"/>
    <n v="1"/>
    <d v="2023-05-23T00:00:00"/>
    <x v="18"/>
    <s v="4MOU002T"/>
    <m/>
    <m/>
    <m/>
  </r>
  <r>
    <d v="2023-05-03T16:08:38"/>
    <s v="Kankan"/>
    <s v="Bordeaux"/>
    <s v="Collectif"/>
    <s v="Solo Keita"/>
    <n v="628348894"/>
    <n v="0"/>
    <s v="Missamana"/>
    <n v="45"/>
    <s v="Labour - uniquement"/>
    <n v="40"/>
    <s v="Kaoulaka"/>
    <s v="Variété locale"/>
    <s v="5 mois"/>
    <d v="2023-05-06T00:00:00"/>
    <s v="Champ collectif"/>
    <s v="Moussa Alamako Keita"/>
    <s v="Riz"/>
    <x v="1"/>
    <n v="40"/>
    <d v="2023-05-03T00:00:00"/>
    <x v="17"/>
    <s v="7KAN001T"/>
    <m/>
    <m/>
    <m/>
  </r>
  <r>
    <d v="2023-05-03T16:14:11"/>
    <s v="Kankan"/>
    <s v="Bordeaux"/>
    <s v="Collectif"/>
    <s v="SOAGALGUI"/>
    <n v="610592067"/>
    <n v="0"/>
    <s v="Moribayah"/>
    <n v="100"/>
    <s v="Labour - uniquement"/>
    <n v="40"/>
    <s v="Lanyeri"/>
    <n v="5"/>
    <s v="5 mois"/>
    <d v="2023-05-07T00:00:00"/>
    <s v="Pour une société"/>
    <s v="Moussa Alamako Keita"/>
    <s v="Riz"/>
    <x v="1"/>
    <n v="40"/>
    <d v="2023-05-03T00:00:00"/>
    <x v="17"/>
    <s v="7KAN005T"/>
    <m/>
    <m/>
    <m/>
  </r>
  <r>
    <d v="2023-05-03T16:24:15"/>
    <s v="Kankan"/>
    <s v="Bordeaux"/>
    <s v="Collectif"/>
    <s v="Konkokele"/>
    <n v="628451165"/>
    <n v="0"/>
    <s v="Boula"/>
    <n v="185"/>
    <s v="Labour - uniquement"/>
    <n v="22"/>
    <s v="Samorikelet"/>
    <s v="Variété locale"/>
    <s v="4 mois"/>
    <d v="2023-05-05T00:00:00"/>
    <s v="Groupement"/>
    <s v="Moussa Alamako Keita"/>
    <s v="Riz"/>
    <x v="1"/>
    <n v="22"/>
    <d v="2023-05-03T00:00:00"/>
    <x v="17"/>
    <s v="7KAN002T"/>
    <m/>
    <m/>
    <m/>
  </r>
  <r>
    <d v="2023-05-03T17:00:51"/>
    <s v="Mandiana"/>
    <s v="Cours du bloc Administratif"/>
    <s v="Individuel"/>
    <s v="Lanceï KEÏTA"/>
    <n v="622440516"/>
    <m/>
    <s v="Kiniéran"/>
    <n v="84"/>
    <s v="Labour + Pulvérisation"/>
    <n v="25"/>
    <s v="Nerica 19, tchokotchoko"/>
    <s v="Nerica"/>
    <s v="4 mois"/>
    <d v="2023-06-15T00:00:00"/>
    <s v="Aptes pour la mécanisation"/>
    <s v="Nounkè Doumbouya"/>
    <s v="Riz"/>
    <x v="0"/>
    <m/>
    <m/>
    <x v="0"/>
    <m/>
    <m/>
    <m/>
    <m/>
  </r>
  <r>
    <d v="2023-05-03T17:03:24"/>
    <s v="Mandiana"/>
    <s v="Cours du bloc Administratif"/>
    <s v="Individuel"/>
    <s v="Mandè SIDIBÉ"/>
    <n v="628120180"/>
    <m/>
    <s v="Kiniéran"/>
    <n v="84"/>
    <s v="Labour + Pulvérisation"/>
    <n v="10"/>
    <s v="Sweta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3T17:06:04"/>
    <s v="Mandiana"/>
    <s v="Cours du bloc Administratif"/>
    <s v="Individuel"/>
    <s v="Lancinè SYLLA"/>
    <n v="661828776"/>
    <m/>
    <s v="Kiniéran"/>
    <n v="80"/>
    <s v="Labour + Pulvérisation"/>
    <n v="10"/>
    <s v="Nerica 19"/>
    <s v="Nerica"/>
    <s v="4 mois"/>
    <d v="2023-06-15T00:00:00"/>
    <s v="Aptes pour la mécanisation"/>
    <s v="Nounkè Doumbouya"/>
    <s v="Riz"/>
    <x v="0"/>
    <m/>
    <m/>
    <x v="0"/>
    <m/>
    <m/>
    <m/>
    <m/>
  </r>
  <r>
    <d v="2023-05-03T17:12:20"/>
    <s v="Mandiana"/>
    <s v="Cours du bloc Administratif"/>
    <s v="Collectif"/>
    <s v="Nouman Koulibaly"/>
    <n v="628600514"/>
    <m/>
    <s v="Kiniéran"/>
    <n v="83"/>
    <s v="Labour + Pulvérisation"/>
    <n v="25"/>
    <s v="Nerica 4 et 19"/>
    <s v="Nerica"/>
    <s v="4 mois"/>
    <d v="2023-06-25T00:00:00"/>
    <s v="Aptes pour la mécanisation"/>
    <s v="Nounkè Doumbouya"/>
    <s v="Riz"/>
    <x v="0"/>
    <m/>
    <m/>
    <x v="0"/>
    <m/>
    <m/>
    <m/>
    <m/>
  </r>
  <r>
    <d v="2023-05-03T17:15:09"/>
    <s v="Mandiana"/>
    <s v="Cours du bloc Administratif"/>
    <s v="Individuel"/>
    <s v="Kalou TRAORÉ"/>
    <n v="661814538"/>
    <m/>
    <s v="Kiniéran"/>
    <n v="80"/>
    <s v="Labour + Pulvérisation"/>
    <n v="15"/>
    <s v="ADRAO"/>
    <s v="ADRAO"/>
    <s v="5 mois"/>
    <d v="2023-05-25T00:00:00"/>
    <s v="Aptes pour la mécanisation"/>
    <s v="Nounkè Doumbouya"/>
    <s v="Riz"/>
    <x v="0"/>
    <m/>
    <m/>
    <x v="0"/>
    <m/>
    <m/>
    <m/>
    <m/>
  </r>
  <r>
    <d v="2023-05-03T17:17:47"/>
    <s v="Mandiana"/>
    <s v="Cours du bloc Administratif"/>
    <s v="Individuel"/>
    <s v="Soumaïla DOUMBOUYA"/>
    <n v="661770323"/>
    <m/>
    <s v="Kiniéran"/>
    <n v="82"/>
    <s v="Labour + Pulvérisation"/>
    <n v="8"/>
    <s v="Nerica 19"/>
    <s v="Nerica"/>
    <s v="4 mois"/>
    <d v="2023-06-30T00:00:00"/>
    <s v="Aptes pour la mécanisation"/>
    <s v="Nounkè Doumbouya"/>
    <s v="Riz"/>
    <x v="0"/>
    <m/>
    <m/>
    <x v="0"/>
    <m/>
    <m/>
    <m/>
    <m/>
  </r>
  <r>
    <d v="2023-05-03T17:25:06"/>
    <s v="Mandiana"/>
    <s v="Cours du bloc Administratif"/>
    <s v="Individuel"/>
    <s v="Soumaïla TRAORÉ"/>
    <n v="628936110"/>
    <m/>
    <s v="Kiniéran"/>
    <n v="93"/>
    <s v="Labour - uniquement"/>
    <n v="10"/>
    <s v="Bebalawouli"/>
    <s v="Ne connais pas"/>
    <s v="4 mois"/>
    <d v="2023-06-30T00:00:00"/>
    <s v="Aptes pour la mécanisation"/>
    <s v="Nounkè Doumbouya"/>
    <s v="Riz"/>
    <x v="0"/>
    <m/>
    <m/>
    <x v="0"/>
    <m/>
    <m/>
    <m/>
    <m/>
  </r>
  <r>
    <d v="2023-05-03T17:29:12"/>
    <s v="Mandiana"/>
    <s v="Cours du bloc Administratif"/>
    <s v="Individuel"/>
    <s v="Kandiabou KOULIBALY"/>
    <n v="622597497"/>
    <m/>
    <s v="Kiniéran"/>
    <n v="78"/>
    <s v="Labour + Pulvérisation"/>
    <n v="15"/>
    <s v="Nerica 19"/>
    <s v="Nerica"/>
    <s v="4 mois"/>
    <d v="2023-06-30T00:00:00"/>
    <s v="Aptes pour la mécanisation"/>
    <s v="Nounkè Doumbouya"/>
    <s v="Riz"/>
    <x v="0"/>
    <m/>
    <m/>
    <x v="0"/>
    <m/>
    <m/>
    <m/>
    <m/>
  </r>
  <r>
    <d v="2023-05-03T17:37:16"/>
    <s v="Mandiana"/>
    <s v="Cours du bloc Administratif"/>
    <s v="Individuel"/>
    <s v="Bourlaye KEÏTA"/>
    <n v="622960280"/>
    <m/>
    <s v="Kiniéran"/>
    <n v="78"/>
    <s v="Labour + Pulvérisation"/>
    <n v="12"/>
    <s v="Bebalawouli"/>
    <s v="Ne connais pas"/>
    <s v="4 mois"/>
    <d v="2023-06-03T00:00:00"/>
    <s v="Aptes pour la mécanisation"/>
    <s v="Nounkè Doumbouya"/>
    <s v="Riz"/>
    <x v="0"/>
    <m/>
    <m/>
    <x v="0"/>
    <m/>
    <m/>
    <m/>
    <m/>
  </r>
  <r>
    <d v="2023-05-03T17:40:19"/>
    <s v="Mandiana"/>
    <s v="Cours du bloc Administratif"/>
    <s v="Collectif"/>
    <s v="Sagaba oulen KOULIBALY"/>
    <n v="628195776"/>
    <m/>
    <s v="Kiniéran"/>
    <n v="83"/>
    <s v="Labour + Pulvérisation"/>
    <n v="165"/>
    <s v="Nerica 4 et 19, sweta, ADRAO"/>
    <s v="Nerica"/>
    <s v="5 mois"/>
    <d v="2023-06-01T00:00:00"/>
    <s v="Aptes pour la mécanisation"/>
    <s v="Nounkè Doumbouya"/>
    <s v="Riz"/>
    <x v="0"/>
    <m/>
    <m/>
    <x v="0"/>
    <m/>
    <m/>
    <m/>
    <m/>
  </r>
  <r>
    <d v="2023-05-03T17:47:44"/>
    <s v="Mandiana"/>
    <s v="Cours du bloc Administratif"/>
    <s v="Individuel"/>
    <s v="Namissa SANGARÉ"/>
    <n v="628254438"/>
    <m/>
    <s v="Kiniéran"/>
    <n v="83"/>
    <s v="Labour + Pulvérisation"/>
    <n v="10"/>
    <s v="Nerica 19"/>
    <s v="Nerica"/>
    <s v="4 mois"/>
    <d v="2023-06-16T00:00:00"/>
    <s v="Aptes pour la mécanisation"/>
    <s v="Nounkè Doumbouya"/>
    <s v="Riz"/>
    <x v="0"/>
    <m/>
    <m/>
    <x v="0"/>
    <m/>
    <m/>
    <m/>
    <m/>
  </r>
  <r>
    <d v="2023-05-03T21:55:40"/>
    <s v="Dubréka"/>
    <s v="Ouassou"/>
    <s v="Individuel"/>
    <s v="Kade Bangoura"/>
    <n v="624763587"/>
    <n v="624763587"/>
    <s v="Koba-Tatema"/>
    <n v="6"/>
    <s v="Labour - uniquement"/>
    <n v="1"/>
    <s v="Balenta"/>
    <s v="Rock5"/>
    <s v="6 mois"/>
    <d v="2023-05-07T00:00:00"/>
    <s v="Accord"/>
    <s v="Kissi Camara"/>
    <s v="Riz"/>
    <x v="0"/>
    <m/>
    <m/>
    <x v="0"/>
    <m/>
    <m/>
    <m/>
    <m/>
  </r>
  <r>
    <d v="2023-05-03T22:00:41"/>
    <s v="Dubréka"/>
    <s v="Ouassou"/>
    <s v="Individuel"/>
    <s v="Hadja yarie Sylla"/>
    <n v="622598370"/>
    <n v="622598370"/>
    <s v="Koba-Tatema"/>
    <n v="10"/>
    <s v="Labour - uniquement"/>
    <n v="1"/>
    <s v="Massaraka"/>
    <s v="Nereka"/>
    <s v="6 mois"/>
    <d v="2023-05-08T00:00:00"/>
    <s v="Accord"/>
    <s v="Kissi Camara"/>
    <s v="Riz"/>
    <x v="0"/>
    <m/>
    <m/>
    <x v="0"/>
    <m/>
    <m/>
    <m/>
    <m/>
  </r>
  <r>
    <d v="2023-05-03T22:05:44"/>
    <s v="Dubréka"/>
    <s v="Ouassou"/>
    <s v="Individuel"/>
    <s v="Assatou Diallo"/>
    <n v="626016648"/>
    <n v="626016648"/>
    <s v="Koba-Tatema"/>
    <n v="4"/>
    <s v="Labour - uniquement"/>
    <n v="1"/>
    <s v="Balenta"/>
    <s v="Rock5"/>
    <s v="6 mois"/>
    <d v="2023-05-09T00:00:00"/>
    <s v="Accord"/>
    <s v="Kissi Camara"/>
    <s v="Riz"/>
    <x v="0"/>
    <m/>
    <m/>
    <x v="0"/>
    <m/>
    <m/>
    <m/>
    <m/>
  </r>
  <r>
    <d v="2023-05-03T22:09:38"/>
    <s v="Dubréka"/>
    <s v="Ouassou"/>
    <s v="Individuel"/>
    <s v="Sita camara"/>
    <n v="621732963"/>
    <n v="621733963"/>
    <s v="Koba-Tatema"/>
    <n v="4"/>
    <s v="Labour - uniquement"/>
    <n v="3"/>
    <s v="Makoto"/>
    <s v="Makoto"/>
    <s v="6 mois"/>
    <d v="2023-05-10T00:00:00"/>
    <s v="Accord"/>
    <s v="Kissi Camara"/>
    <s v="Riz"/>
    <x v="0"/>
    <m/>
    <m/>
    <x v="0"/>
    <m/>
    <m/>
    <m/>
    <m/>
  </r>
  <r>
    <d v="2023-05-03T22:13:47"/>
    <s v="Dubréka"/>
    <s v="Ouassou"/>
    <s v="Individuel"/>
    <s v="Salifou Sylla"/>
    <n v="629648696"/>
    <n v="629648696"/>
    <s v="Koba-Tatema"/>
    <n v="3"/>
    <s v="Labour - uniquement"/>
    <n v="2"/>
    <s v="Balenta"/>
    <s v="Rock5"/>
    <s v="6 mois"/>
    <d v="2023-05-11T00:00:00"/>
    <s v="Accord"/>
    <s v="Kissi Camara"/>
    <s v="Riz"/>
    <x v="0"/>
    <m/>
    <m/>
    <x v="0"/>
    <m/>
    <m/>
    <m/>
    <m/>
  </r>
  <r>
    <d v="2023-05-03T22:22:42"/>
    <s v="Dubréka"/>
    <s v="Ouassou"/>
    <s v="Individuel"/>
    <s v="Alymane camara"/>
    <n v="626155719"/>
    <n v="626155719"/>
    <s v="Koba-Tatema"/>
    <n v="3"/>
    <s v="Labour - uniquement"/>
    <n v="2"/>
    <s v="Massaraka"/>
    <s v="Nereka"/>
    <s v="6 mois"/>
    <d v="2023-05-13T00:00:00"/>
    <s v="Accord"/>
    <s v="Kissi Camara"/>
    <s v="Riz"/>
    <x v="0"/>
    <m/>
    <m/>
    <x v="0"/>
    <m/>
    <m/>
    <m/>
    <m/>
  </r>
  <r>
    <d v="2023-05-03T22:26:41"/>
    <s v="Dubréka"/>
    <s v="Ouassou"/>
    <s v="Individuel"/>
    <s v="Alseni camara"/>
    <n v="622364307"/>
    <n v="623364307"/>
    <s v="Koba-Tatema"/>
    <n v="5"/>
    <s v="Labour - uniquement"/>
    <n v="1"/>
    <s v="Balenta"/>
    <s v="Rock5"/>
    <s v="6 mois"/>
    <d v="2023-05-14T00:00:00"/>
    <s v="Accord"/>
    <s v="Kissi Camara"/>
    <s v="Riz"/>
    <x v="0"/>
    <m/>
    <m/>
    <x v="0"/>
    <m/>
    <m/>
    <m/>
    <m/>
  </r>
  <r>
    <d v="2023-05-03T22:30:45"/>
    <s v="Dubréka"/>
    <s v="Ouassou"/>
    <s v="Individuel"/>
    <s v="Man camara"/>
    <n v="624465679"/>
    <n v="624465679"/>
    <s v="Koba-Tatema"/>
    <n v="3"/>
    <s v="Labour - uniquement"/>
    <n v="2"/>
    <s v="Makoto"/>
    <s v="Makoto"/>
    <s v="6 mois"/>
    <d v="2023-05-15T00:00:00"/>
    <s v="Accord"/>
    <s v="Kissi Camara"/>
    <s v="Riz"/>
    <x v="0"/>
    <m/>
    <m/>
    <x v="0"/>
    <m/>
    <m/>
    <m/>
    <m/>
  </r>
  <r>
    <d v="2023-05-03T22:32:38"/>
    <s v="Mandiana"/>
    <s v="Cours du bloc Administratif"/>
    <s v="Individuel"/>
    <s v="Sory Koulibaly"/>
    <n v="622656802"/>
    <m/>
    <s v="Kiniéran"/>
    <n v="84"/>
    <s v="Labour + Pulvérisation"/>
    <n v="12"/>
    <s v="Nerica 19"/>
    <s v="Nerica"/>
    <s v="4 mois"/>
    <d v="2023-06-29T00:00:00"/>
    <s v="Aptes pour la mécanisation"/>
    <s v="Nounkè Doumbouya"/>
    <s v="Riz"/>
    <x v="0"/>
    <m/>
    <m/>
    <x v="0"/>
    <m/>
    <m/>
    <m/>
    <m/>
  </r>
  <r>
    <d v="2023-05-03T22:33:02"/>
    <s v="Mandiana"/>
    <s v="Cours du bloc Administratif"/>
    <s v="Individuel"/>
    <s v="Sory Koulibaly"/>
    <n v="622656802"/>
    <m/>
    <s v="Kiniéran"/>
    <n v="84"/>
    <s v="Labour + Pulvérisation"/>
    <n v="12"/>
    <s v="Nerica 19"/>
    <s v="Nerica"/>
    <s v="4 mois"/>
    <d v="2023-06-29T00:00:00"/>
    <s v="Aptes pour la mécanisation"/>
    <s v="Nounkè Doumbouya"/>
    <s v="Riz"/>
    <x v="0"/>
    <m/>
    <m/>
    <x v="0"/>
    <m/>
    <m/>
    <m/>
    <m/>
  </r>
  <r>
    <d v="2023-05-03T22:36:53"/>
    <s v="Dubréka"/>
    <s v="Ouassou"/>
    <s v="Individuel"/>
    <s v="Moctar Sylla"/>
    <n v="622395137"/>
    <n v="622395137"/>
    <s v="Koba-Tatema"/>
    <n v="6"/>
    <s v="Labour - uniquement"/>
    <n v="2"/>
    <s v="Balenta"/>
    <s v="Rock5"/>
    <s v="6 mois"/>
    <d v="2023-05-18T00:00:00"/>
    <s v="Accord"/>
    <s v="Kissi Camara"/>
    <s v="Riz"/>
    <x v="0"/>
    <m/>
    <m/>
    <x v="0"/>
    <m/>
    <m/>
    <m/>
    <m/>
  </r>
  <r>
    <d v="2023-05-03T23:02:20"/>
    <s v="Mandiana"/>
    <s v="Cours du bloc Administratif"/>
    <s v="Individuel"/>
    <s v="Kalou TRAORÉ"/>
    <n v="622342782"/>
    <m/>
    <s v="Kiniéran"/>
    <n v="90"/>
    <s v="Labour + Pulvérisation"/>
    <n v="15"/>
    <s v="Sweta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4T00:56:48"/>
    <s v="Dinguiraye"/>
    <s v="Dinguiraye centre"/>
    <s v="Individuel"/>
    <s v="Sekou Kourouma"/>
    <n v="627690045"/>
    <m/>
    <s v="Dialakoro"/>
    <n v="65"/>
    <s v="Labour + Pulvérisation"/>
    <n v="8"/>
    <s v="Dissiba-oulén"/>
    <s v="Dissiba-oulén"/>
    <s v="4 mois"/>
    <d v="2023-05-25T00:00:00"/>
    <m/>
    <s v="Mamadou 1 Diallo"/>
    <s v="Riz"/>
    <x v="0"/>
    <m/>
    <m/>
    <x v="0"/>
    <m/>
    <m/>
    <m/>
    <m/>
  </r>
  <r>
    <d v="2023-05-04T01:02:59"/>
    <s v="Dinguiraye"/>
    <s v="Dinguiraye centre"/>
    <s v="Individuel"/>
    <s v="Mamoudou Diallo"/>
    <n v="628255105"/>
    <m/>
    <s v="Dialakoro"/>
    <n v="62"/>
    <s v="Labour + Pulvérisation"/>
    <n v="5"/>
    <s v="Dissiba-oulén"/>
    <s v="Dissiba-oulén"/>
    <s v="4 mois"/>
    <d v="2023-06-05T00:00:00"/>
    <m/>
    <s v="Mamadou 1 Diallo"/>
    <s v="Riz"/>
    <x v="0"/>
    <m/>
    <m/>
    <x v="0"/>
    <m/>
    <m/>
    <m/>
    <m/>
  </r>
  <r>
    <d v="2023-05-04T01:06:38"/>
    <s v="Dinguiraye"/>
    <s v="Dinguiraye centre"/>
    <s v="Individuel"/>
    <s v="Djenabou kouyaté"/>
    <n v="622598728"/>
    <m/>
    <s v="Dialakoro"/>
    <n v="60"/>
    <s v="Labour + Pulvérisation"/>
    <n v="2"/>
    <s v="Maloningbè"/>
    <s v="Nerica blanc"/>
    <s v="3 mois"/>
    <d v="2023-06-25T00:00:00"/>
    <m/>
    <s v="Mamadou 1 Diallo"/>
    <s v="Riz"/>
    <x v="0"/>
    <m/>
    <m/>
    <x v="0"/>
    <m/>
    <m/>
    <m/>
    <m/>
  </r>
  <r>
    <d v="2023-05-04T01:09:38"/>
    <s v="Dinguiraye"/>
    <s v="Dinguiraye centre"/>
    <s v="Individuel"/>
    <s v="Mariame savané"/>
    <n v="624401464"/>
    <m/>
    <s v="Dialakoro"/>
    <n v="67"/>
    <s v="Labour + Pulvérisation"/>
    <n v="1"/>
    <s v="Maloningbè"/>
    <s v="Nankin blanc"/>
    <s v="3 mois"/>
    <d v="2023-06-20T00:00:00"/>
    <m/>
    <s v="Mamadou 1 Diallo"/>
    <s v="Riz"/>
    <x v="0"/>
    <m/>
    <m/>
    <x v="0"/>
    <m/>
    <m/>
    <m/>
    <m/>
  </r>
  <r>
    <d v="2023-05-04T01:12:39"/>
    <s v="Dinguiraye"/>
    <s v="Dinguiraye centre"/>
    <s v="Individuel"/>
    <s v="Abdoulaye condé"/>
    <n v="626812360"/>
    <m/>
    <s v="Kalinko"/>
    <n v="75"/>
    <s v="Labour + Pulvérisation"/>
    <n v="8"/>
    <s v="Daffing"/>
    <s v="Daffing"/>
    <s v="4 mois"/>
    <d v="2023-05-30T00:00:00"/>
    <m/>
    <s v="Mamadou 1 Diallo"/>
    <s v="Riz"/>
    <x v="0"/>
    <m/>
    <m/>
    <x v="0"/>
    <m/>
    <m/>
    <m/>
    <m/>
  </r>
  <r>
    <d v="2023-05-04T01:15:24"/>
    <s v="Dinguiraye"/>
    <s v="Dinguiraye centre"/>
    <s v="Individuel"/>
    <s v="Hassane oulare"/>
    <n v="628791955"/>
    <m/>
    <s v="Dialakoro"/>
    <n v="60"/>
    <s v="Labour + Pulvérisation"/>
    <n v="8"/>
    <s v="Djoukeme"/>
    <s v="Djoukeme"/>
    <s v="4 mois"/>
    <d v="2023-05-25T00:00:00"/>
    <m/>
    <s v="Mamadou 1 Diallo"/>
    <s v="Riz"/>
    <x v="0"/>
    <m/>
    <m/>
    <x v="0"/>
    <m/>
    <m/>
    <m/>
    <m/>
  </r>
  <r>
    <d v="2023-05-04T01:18:25"/>
    <s v="Dinguiraye"/>
    <s v="Dinguiraye centre"/>
    <s v="Individuel"/>
    <s v="Sekou toure"/>
    <n v="627317031"/>
    <m/>
    <s v="Dialakoro"/>
    <n v="58"/>
    <s v="Labour + Pulvérisation"/>
    <n v="6"/>
    <s v="Dissi"/>
    <s v="Dissi"/>
    <s v="4 mois"/>
    <d v="2023-05-25T00:00:00"/>
    <m/>
    <s v="Mamadou 1 Diallo"/>
    <s v="Riz"/>
    <x v="0"/>
    <m/>
    <m/>
    <x v="0"/>
    <m/>
    <m/>
    <m/>
    <m/>
  </r>
  <r>
    <d v="2023-05-04T01:21:00"/>
    <s v="Dinguiraye"/>
    <s v="Dinguiraye centre"/>
    <s v="Individuel"/>
    <s v="Djaka Keita"/>
    <n v="622507476"/>
    <m/>
    <s v="Dialakoro"/>
    <n v="56"/>
    <s v="Labour + Pulvérisation"/>
    <n v="1"/>
    <s v="Nankin"/>
    <s v="Nankin"/>
    <s v="3 mois"/>
    <d v="2023-06-15T00:00:00"/>
    <m/>
    <s v="Mamadou 1 Diallo"/>
    <s v="Riz"/>
    <x v="0"/>
    <m/>
    <m/>
    <x v="0"/>
    <m/>
    <m/>
    <m/>
    <m/>
  </r>
  <r>
    <d v="2023-05-04T01:23:49"/>
    <s v="Dinguiraye"/>
    <s v="Dinguiraye centre"/>
    <s v="Individuel"/>
    <s v="Tidanké kante"/>
    <n v="622485475"/>
    <m/>
    <s v="Dialakoro"/>
    <n v="60"/>
    <s v="Labour + Pulvérisation"/>
    <n v="1"/>
    <s v="Dissiba-oulén"/>
    <s v="Dissiba-oulén"/>
    <s v="4 mois"/>
    <d v="2023-06-05T00:00:00"/>
    <m/>
    <s v="Mamadou 1 Diallo"/>
    <s v="Riz"/>
    <x v="0"/>
    <m/>
    <m/>
    <x v="0"/>
    <m/>
    <m/>
    <m/>
    <m/>
  </r>
  <r>
    <d v="2023-05-04T01:29:08"/>
    <s v="Dinguiraye"/>
    <s v="Dinguiraye centre"/>
    <s v="Individuel"/>
    <s v="Ibrahima Doumbouya"/>
    <n v="626525947"/>
    <m/>
    <s v="Sélouma"/>
    <n v="37"/>
    <s v="Labour + Pulvérisation"/>
    <n v="4"/>
    <s v="Morice"/>
    <s v="Morice"/>
    <s v="4 mois"/>
    <d v="2023-05-30T00:00:00"/>
    <m/>
    <s v="Mamadou 1 Diallo"/>
    <s v="Riz"/>
    <x v="0"/>
    <m/>
    <m/>
    <x v="0"/>
    <m/>
    <m/>
    <m/>
    <m/>
  </r>
  <r>
    <d v="2023-05-04T01:31:50"/>
    <s v="Dinguiraye"/>
    <s v="Dinguiraye centre"/>
    <s v="Individuel"/>
    <s v="Adama oury Diallo"/>
    <n v="627350079"/>
    <m/>
    <s v="Sélouma"/>
    <n v="37"/>
    <s v="Labour + Pulvérisation"/>
    <n v="4"/>
    <s v="Morice"/>
    <s v="Morice"/>
    <s v="4 mois"/>
    <d v="2023-05-25T00:00:00"/>
    <m/>
    <s v="Mamadou 1 Diallo"/>
    <s v="Riz"/>
    <x v="0"/>
    <m/>
    <m/>
    <x v="0"/>
    <m/>
    <m/>
    <m/>
    <m/>
  </r>
  <r>
    <d v="2023-05-04T01:34:30"/>
    <s v="Dinguiraye"/>
    <s v="Dinguiraye centre"/>
    <s v="Individuel"/>
    <s v="Ousmane camara"/>
    <n v="621318517"/>
    <m/>
    <s v="Sélouma"/>
    <n v="40"/>
    <s v="Labour + Pulvérisation"/>
    <n v="3"/>
    <s v="Morice"/>
    <s v="Morice"/>
    <s v="4 mois"/>
    <d v="2023-06-05T00:00:00"/>
    <m/>
    <s v="Mamadou 1 Diallo"/>
    <s v="Riz"/>
    <x v="0"/>
    <m/>
    <m/>
    <x v="0"/>
    <m/>
    <m/>
    <m/>
    <m/>
  </r>
  <r>
    <d v="2023-05-04T10:42:53"/>
    <s v="Kouroussa"/>
    <s v="Wassabada"/>
    <s v="Collectif"/>
    <s v="s"/>
    <n v="622546635"/>
    <m/>
    <s v="Cisséla"/>
    <n v="116"/>
    <s v="Labour - uniquement"/>
    <n v="120"/>
    <s v="Bagnain"/>
    <s v="Bagnain"/>
    <s v="4 mois"/>
    <d v="2023-05-15T00:00:00"/>
    <s v="Les producteurs sont déjà prêts pour l'opération"/>
    <s v="Ibrahima Kalil Fofana"/>
    <s v="Riz"/>
    <x v="1"/>
    <n v="15"/>
    <d v="2023-05-12T00:00:00"/>
    <x v="16"/>
    <s v="7KSA004T"/>
    <m/>
    <m/>
    <m/>
  </r>
  <r>
    <d v="2023-05-04T10:48:27"/>
    <s v="Kouroussa"/>
    <s v="Wassabada"/>
    <s v="Collectif"/>
    <s v="Sékou Camara"/>
    <n v="622546635"/>
    <m/>
    <s v="Cisséla"/>
    <n v="120"/>
    <s v="Labour - uniquement"/>
    <n v="87"/>
    <s v="Brema -malony"/>
    <s v="Brema-malony"/>
    <s v="4 mois"/>
    <d v="2023-05-15T00:00:00"/>
    <s v="Les producteurs sont déjà prêts pour l'opération"/>
    <s v="Ibrahima Kalil Fofana"/>
    <s v="Riz"/>
    <x v="1"/>
    <n v="25"/>
    <d v="2023-05-15T00:00:00"/>
    <x v="4"/>
    <s v="7KSA004T"/>
    <m/>
    <m/>
    <m/>
  </r>
  <r>
    <d v="2023-05-04T10:53:47"/>
    <s v="Kouroussa"/>
    <s v="Wassabada"/>
    <s v="Collectif"/>
    <s v="Mamady dialo"/>
    <n v="628850895"/>
    <m/>
    <s v="Cisséla"/>
    <n v="114"/>
    <s v="Labour - uniquement"/>
    <n v="250"/>
    <s v="Bagnain"/>
    <s v="Bagnain"/>
    <s v="4 mois"/>
    <d v="2023-05-15T00:00:00"/>
    <m/>
    <s v="Ibrahima Kalil Fofana"/>
    <s v="Riz"/>
    <x v="0"/>
    <m/>
    <m/>
    <x v="0"/>
    <m/>
    <m/>
    <m/>
    <m/>
  </r>
  <r>
    <d v="2023-05-04T10:58:21"/>
    <s v="Kouroussa"/>
    <s v="Wassabada"/>
    <s v="Collectif"/>
    <s v="Mamady dialo"/>
    <n v="628850895"/>
    <m/>
    <s v="Cisséla"/>
    <n v="114"/>
    <s v="Labour - uniquement"/>
    <n v="150"/>
    <s v="Badja"/>
    <s v="Badja"/>
    <s v="6 mois"/>
    <d v="2023-05-15T00:00:00"/>
    <m/>
    <s v="Ibrahima Kalil Fofana"/>
    <s v="Riz"/>
    <x v="0"/>
    <m/>
    <m/>
    <x v="0"/>
    <m/>
    <m/>
    <m/>
    <m/>
  </r>
  <r>
    <d v="2023-05-04T11:01:02"/>
    <s v="Kouroussa"/>
    <s v="Wassabada"/>
    <s v="Collectif"/>
    <s v="Mamady dialo"/>
    <n v="628850895"/>
    <m/>
    <s v="Cisséla"/>
    <n v="114"/>
    <s v="Labour - uniquement"/>
    <n v="100"/>
    <s v="Mauris"/>
    <s v="Mauris"/>
    <s v="4 mois"/>
    <d v="2023-05-15T00:00:00"/>
    <m/>
    <s v="Ibrahima Kalil Fofana"/>
    <s v="Riz"/>
    <x v="0"/>
    <m/>
    <m/>
    <x v="0"/>
    <m/>
    <m/>
    <m/>
    <m/>
  </r>
  <r>
    <d v="2023-05-04T11:04:57"/>
    <s v="Kouroussa"/>
    <s v="Wassabada"/>
    <s v="Collectif"/>
    <s v="Ibrahima dabo"/>
    <n v="622092526"/>
    <m/>
    <s v="Cisséla"/>
    <n v="116"/>
    <s v="Labour - uniquement"/>
    <n v="150"/>
    <s v="Bagnain"/>
    <s v="Bagnain"/>
    <s v="4 mois"/>
    <d v="2023-05-15T00:00:00"/>
    <m/>
    <s v="Ibrahima Kalil Fofana"/>
    <s v="Riz"/>
    <x v="0"/>
    <m/>
    <m/>
    <x v="0"/>
    <m/>
    <m/>
    <m/>
    <m/>
  </r>
  <r>
    <d v="2023-05-04T11:10:39"/>
    <s v="Kouroussa"/>
    <s v="Wassabada"/>
    <s v="Individuel"/>
    <s v="El. Mory Camara"/>
    <n v="628582219"/>
    <m/>
    <s v="Sanguiana"/>
    <n v="36"/>
    <s v="Labour - uniquement"/>
    <n v="50"/>
    <s v="Bagnain"/>
    <s v="Bagnain"/>
    <s v="4 mois"/>
    <d v="2023-05-20T00:00:00"/>
    <m/>
    <s v="Ibrahima Kalil Fofana"/>
    <s v="Riz"/>
    <x v="0"/>
    <m/>
    <m/>
    <x v="0"/>
    <m/>
    <m/>
    <m/>
    <m/>
  </r>
  <r>
    <d v="2023-05-04T11:10:39"/>
    <s v="Mamou"/>
    <s v="Petel Mamou"/>
    <s v="Individuel"/>
    <s v="Noumez Camara"/>
    <n v="629883272"/>
    <m/>
    <s v="Ouré-Kaba"/>
    <n v="56"/>
    <s v="Labour - uniquement"/>
    <n v="1"/>
    <s v="Seydouba"/>
    <s v="CK90"/>
    <s v="4 mois"/>
    <d v="2023-11-11T00:00:00"/>
    <s v="Tout commence bien"/>
    <s v="Mamadouba Camara"/>
    <s v="Riz"/>
    <x v="0"/>
    <m/>
    <m/>
    <x v="0"/>
    <m/>
    <m/>
    <m/>
    <m/>
  </r>
  <r>
    <d v="2023-05-04T11:14:19"/>
    <s v="Mamou"/>
    <s v="Petel Mamou"/>
    <s v="Individuel"/>
    <s v="Sadou Camara"/>
    <n v="629883272"/>
    <m/>
    <s v="Ouré-Kaba"/>
    <n v="56"/>
    <s v="Labour - uniquement"/>
    <n v="1"/>
    <s v="Seydouba"/>
    <s v="CK90"/>
    <s v="4 mois"/>
    <d v="2023-05-14T00:00:00"/>
    <s v="Tout commence bien"/>
    <s v="Mamadouba Camara"/>
    <s v="Riz"/>
    <x v="0"/>
    <m/>
    <m/>
    <x v="0"/>
    <m/>
    <m/>
    <m/>
    <m/>
  </r>
  <r>
    <d v="2023-05-04T11:16:50"/>
    <s v="Kouroussa"/>
    <s v="Wassabada"/>
    <s v="Individuel"/>
    <s v="Mami Condé"/>
    <n v="624203246"/>
    <m/>
    <s v="Kiniéro"/>
    <n v="50"/>
    <s v="Labour - uniquement"/>
    <n v="60"/>
    <s v="Nankein"/>
    <s v="CEKA 90"/>
    <s v="3 mois"/>
    <d v="2023-05-20T00:00:00"/>
    <m/>
    <s v="Ibrahima Kalil Fofana"/>
    <s v="Riz"/>
    <x v="0"/>
    <m/>
    <m/>
    <x v="0"/>
    <m/>
    <m/>
    <m/>
    <m/>
  </r>
  <r>
    <d v="2023-05-04T11:21:25"/>
    <s v="Kouroussa"/>
    <s v="Wassabada"/>
    <s v="Individuel"/>
    <s v="Diaty Conde"/>
    <n v="628205979"/>
    <m/>
    <s v="Kiniéro"/>
    <n v="48"/>
    <s v="Labour - uniquement"/>
    <n v="50"/>
    <s v="Bagnain"/>
    <s v="Bagnain"/>
    <s v="4 mois"/>
    <d v="2023-05-20T00:00:00"/>
    <m/>
    <s v="Ibrahima Kalil Fofana"/>
    <s v="Riz"/>
    <x v="0"/>
    <m/>
    <m/>
    <x v="0"/>
    <m/>
    <m/>
    <m/>
    <m/>
  </r>
  <r>
    <d v="2023-05-04T11:25:50"/>
    <s v="Kouroussa"/>
    <s v="Wassabada"/>
    <s v="Individuel"/>
    <s v="Ibrahima dort Conde"/>
    <n v="628054013"/>
    <m/>
    <s v="Kouroussa Centre"/>
    <n v="22"/>
    <s v="Labour - uniquement"/>
    <n v="6"/>
    <s v="Bagnain"/>
    <s v="Bagnain"/>
    <s v="4 mois"/>
    <d v="2023-05-20T00:00:00"/>
    <m/>
    <s v="Ibrahima Kalil Fofana"/>
    <s v="Riz"/>
    <x v="0"/>
    <m/>
    <m/>
    <x v="0"/>
    <m/>
    <m/>
    <m/>
    <m/>
  </r>
  <r>
    <d v="2023-05-04T11:41:39"/>
    <s v="Kouroussa"/>
    <s v="Wassabada"/>
    <s v="Collectif"/>
    <s v="Kabine Keita"/>
    <n v="628051083"/>
    <m/>
    <s v="Kouroussa Centre"/>
    <n v="3"/>
    <s v="Labour - uniquement"/>
    <n v="39"/>
    <s v="Bagnain"/>
    <s v="Bagnain"/>
    <s v="4 mois"/>
    <d v="2023-05-25T00:00:00"/>
    <m/>
    <s v="Ibrahima Kalil Fofana"/>
    <s v="Riz"/>
    <x v="0"/>
    <m/>
    <m/>
    <x v="0"/>
    <m/>
    <m/>
    <m/>
    <m/>
  </r>
  <r>
    <d v="2023-05-04T11:44:14"/>
    <s v="Kouroussa"/>
    <s v="Wassabada"/>
    <s v="Collectif"/>
    <s v="Kabine Keita"/>
    <n v="628051083"/>
    <m/>
    <s v="Kouroussa Centre"/>
    <n v="3"/>
    <s v="Labour - uniquement"/>
    <n v="20"/>
    <s v="Nankein"/>
    <s v="Nankein"/>
    <s v="3 mois"/>
    <d v="2023-05-25T00:00:00"/>
    <m/>
    <s v="Ibrahima Kalil Fofana"/>
    <s v="Riz"/>
    <x v="0"/>
    <m/>
    <m/>
    <x v="0"/>
    <m/>
    <m/>
    <m/>
    <m/>
  </r>
  <r>
    <d v="2023-05-04T11:48:22"/>
    <s v="Kouroussa"/>
    <s v="Wassabada"/>
    <s v="Collectif"/>
    <s v="El. Doubany Touré"/>
    <n v="622911379"/>
    <m/>
    <s v="Kouroussa Centre"/>
    <n v="8"/>
    <s v="Labour - uniquement"/>
    <n v="8"/>
    <s v="Nankein"/>
    <s v="Nankein"/>
    <s v="3 mois"/>
    <d v="2023-05-15T00:00:00"/>
    <m/>
    <s v="Ibrahima Kalil Fofana"/>
    <s v="Riz"/>
    <x v="0"/>
    <m/>
    <m/>
    <x v="0"/>
    <m/>
    <m/>
    <m/>
    <m/>
  </r>
  <r>
    <d v="2023-05-04T11:50:58"/>
    <s v="Kouroussa"/>
    <s v="Wassabada"/>
    <s v="Collectif"/>
    <s v="El. Doubany Touré"/>
    <n v="622911379"/>
    <m/>
    <s v="Kouroussa Centre"/>
    <n v="8"/>
    <s v="Labour - uniquement"/>
    <n v="7"/>
    <s v="Nerica"/>
    <s v="Nerica"/>
    <s v="4 mois"/>
    <d v="2023-05-15T00:00:00"/>
    <m/>
    <s v="Ibrahima Kalil Fofana"/>
    <s v="Riz"/>
    <x v="0"/>
    <m/>
    <m/>
    <x v="0"/>
    <m/>
    <m/>
    <m/>
    <m/>
  </r>
  <r>
    <d v="2023-05-04T12:12:25"/>
    <s v="Lola"/>
    <s v="Direction Préfectoral de l'Agriculture et de l'Élevage de Lola"/>
    <s v="Individuel"/>
    <s v="Bakary Traoré"/>
    <n v="622036411"/>
    <m/>
    <s v="Guéassou"/>
    <n v="60"/>
    <s v="Labour - uniquement"/>
    <n v="20"/>
    <s v="Jaune _jaune"/>
    <s v="Zea Mays"/>
    <s v="3 mois"/>
    <d v="2023-05-08T00:00:00"/>
    <m/>
    <s v="Pokpa Delamou"/>
    <s v="Maïs"/>
    <x v="0"/>
    <m/>
    <m/>
    <x v="0"/>
    <m/>
    <m/>
    <m/>
    <m/>
  </r>
  <r>
    <d v="2023-05-04T12:17:30"/>
    <s v="Mamou"/>
    <s v="Petel Mamou"/>
    <s v="Individuel"/>
    <s v="Moussa conde"/>
    <n v="629231442"/>
    <m/>
    <s v="Ouré-Kaba"/>
    <n v="56"/>
    <s v="Labour - uniquement"/>
    <n v="1"/>
    <s v="Seydouba"/>
    <s v="CK90"/>
    <s v="4 mois"/>
    <d v="2023-11-12T00:00:00"/>
    <s v="Tout commence bien"/>
    <s v="Mamadouba Camara"/>
    <s v="Riz"/>
    <x v="0"/>
    <m/>
    <m/>
    <x v="0"/>
    <m/>
    <m/>
    <m/>
    <m/>
  </r>
  <r>
    <d v="2023-05-04T12:20:25"/>
    <s v="Mamou"/>
    <s v="Petel Mamou"/>
    <s v="Individuel"/>
    <s v="Alpha Oumar Mansare"/>
    <n v="610497442"/>
    <m/>
    <s v="Ouré-Kaba"/>
    <n v="56"/>
    <s v="Labour - uniquement"/>
    <n v="1"/>
    <s v="Seydouba"/>
    <s v="CK90"/>
    <s v="4 mois"/>
    <d v="2023-11-12T00:00:00"/>
    <s v="Tout commence bien"/>
    <s v="Mamadouba Camara"/>
    <s v="Riz"/>
    <x v="0"/>
    <m/>
    <m/>
    <x v="0"/>
    <m/>
    <m/>
    <m/>
    <m/>
  </r>
  <r>
    <d v="2023-05-04T12:28:13"/>
    <s v="Mamou"/>
    <s v="Petel Mamou"/>
    <s v="Individuel"/>
    <s v="Sory balen sanoh"/>
    <n v="623231522"/>
    <m/>
    <s v="Ouré-Kaba"/>
    <n v="56"/>
    <s v="Labour - uniquement"/>
    <n v="1"/>
    <s v="Seydouba"/>
    <s v="CK90"/>
    <s v="4 mois"/>
    <d v="2023-11-13T00:00:00"/>
    <s v="Tout commence bien"/>
    <s v="Mamadouba Camara"/>
    <s v="Riz"/>
    <x v="0"/>
    <m/>
    <m/>
    <x v="0"/>
    <m/>
    <m/>
    <m/>
    <m/>
  </r>
  <r>
    <d v="2023-05-04T12:49:26"/>
    <s v="Dabola"/>
    <s v="Foundeng 1"/>
    <s v="Individuel"/>
    <s v="Almamy Aguibou Diallo"/>
    <n v="622067630"/>
    <m/>
    <s v="Dabola Centre"/>
    <n v="15"/>
    <s v="Labour - uniquement"/>
    <n v="4"/>
    <s v="Ck90"/>
    <s v="Ck90"/>
    <s v="4 mois"/>
    <d v="2023-05-14T00:00:00"/>
    <m/>
    <s v="Souleymane Kanté"/>
    <s v="Riz"/>
    <x v="0"/>
    <m/>
    <m/>
    <x v="0"/>
    <m/>
    <m/>
    <m/>
    <m/>
  </r>
  <r>
    <d v="2023-05-04T12:53:06"/>
    <s v="Dabola"/>
    <s v="Foundeng 1"/>
    <s v="Individuel"/>
    <s v="Sadjo Kaba"/>
    <n v="624688278"/>
    <m/>
    <s v="Bissikrima"/>
    <n v="56"/>
    <s v="Labour - uniquement"/>
    <n v="5"/>
    <s v="Ck90"/>
    <s v="Ck90"/>
    <s v="4 mois"/>
    <d v="2023-05-15T00:00:00"/>
    <m/>
    <s v="Souleymane Kanté"/>
    <s v="Riz"/>
    <x v="0"/>
    <m/>
    <m/>
    <x v="0"/>
    <m/>
    <m/>
    <m/>
    <m/>
  </r>
  <r>
    <d v="2023-05-04T12:55:17"/>
    <s v="Boffa"/>
    <s v="Koba"/>
    <s v="Individuel"/>
    <s v="Naby laye Sylla"/>
    <n v="622619901"/>
    <m/>
    <s v="Koba-Tatema"/>
    <n v="15"/>
    <s v="Labour - uniquement"/>
    <n v="30"/>
    <s v="Faya"/>
    <s v="J'ignore"/>
    <s v="4 mois"/>
    <d v="2023-05-13T00:00:00"/>
    <s v="Manque criant de tracteur"/>
    <s v="Alya Foulématou Camara"/>
    <s v="Riz"/>
    <x v="0"/>
    <m/>
    <m/>
    <x v="0"/>
    <m/>
    <m/>
    <m/>
    <m/>
  </r>
  <r>
    <d v="2023-05-04T13:00:54"/>
    <s v="Boffa"/>
    <s v="Koba"/>
    <s v="Individuel"/>
    <s v="Fana soumah"/>
    <n v="622909171"/>
    <m/>
    <s v="Koba-Tatema"/>
    <n v="15"/>
    <s v="Labour - uniquement"/>
    <n v="50"/>
    <s v="Fanayah"/>
    <s v="J'ignore"/>
    <s v="6 mois"/>
    <d v="2023-05-18T00:00:00"/>
    <s v="Manque de tracteur"/>
    <s v="Alya Foulématou Camara"/>
    <s v="Riz"/>
    <x v="0"/>
    <m/>
    <m/>
    <x v="0"/>
    <m/>
    <m/>
    <m/>
    <m/>
  </r>
  <r>
    <d v="2023-05-04T13:03:10"/>
    <s v="Dabola"/>
    <s v="Foundeng 1"/>
    <s v="Individuel"/>
    <s v="Mamadou Oury Barry"/>
    <n v="628054540"/>
    <m/>
    <s v="Kankama"/>
    <n v="65"/>
    <s v="Labour - uniquement"/>
    <n v="10"/>
    <s v="Ck21"/>
    <s v="Ck21"/>
    <s v="4 mois"/>
    <d v="2023-05-20T00:00:00"/>
    <m/>
    <s v="Souleymane Kanté"/>
    <s v="Riz"/>
    <x v="0"/>
    <m/>
    <m/>
    <x v="0"/>
    <m/>
    <m/>
    <m/>
    <m/>
  </r>
  <r>
    <d v="2023-05-04T13:16:14"/>
    <s v="Lola"/>
    <s v="Direction Préfectoral de l'Agriculture et de l'Élevage de Lola"/>
    <s v="Individuel"/>
    <s v="Nèma Robert Mamy"/>
    <n v="622558420"/>
    <m/>
    <s v="Bossou"/>
    <n v="18"/>
    <s v="Labour - uniquement"/>
    <n v="2"/>
    <s v="Manioc douce"/>
    <s v="Manihot utillisuma"/>
    <s v="4 mois"/>
    <d v="2023-05-08T00:00:00"/>
    <m/>
    <s v="Pokpa Delamou"/>
    <s v="Manioc"/>
    <x v="0"/>
    <m/>
    <m/>
    <x v="0"/>
    <m/>
    <m/>
    <m/>
    <m/>
  </r>
  <r>
    <d v="2023-05-04T13:17:47"/>
    <s v="Dabola"/>
    <s v="Foundeng 1"/>
    <s v="Individuel"/>
    <s v="Oumar Camara"/>
    <n v="622062867"/>
    <m/>
    <s v="Konindou"/>
    <n v="40"/>
    <s v="Labour - uniquement"/>
    <n v="8"/>
    <s v="Maïs"/>
    <s v="Maïs"/>
    <s v="4 mois"/>
    <d v="2023-05-25T00:00:00"/>
    <m/>
    <s v="Souleymane Kanté"/>
    <s v="Maïs"/>
    <x v="0"/>
    <m/>
    <m/>
    <x v="0"/>
    <m/>
    <m/>
    <m/>
    <m/>
  </r>
  <r>
    <d v="2023-05-04T14:34:31"/>
    <s v="Mamou"/>
    <s v="Petel Mamou"/>
    <s v="Individuel"/>
    <s v="Houssainatou Diallo"/>
    <n v="622700302"/>
    <m/>
    <s v="Ouré-Kaba"/>
    <n v="64"/>
    <s v="Labour - uniquement"/>
    <n v="1"/>
    <s v="Seydouba"/>
    <s v="CK90"/>
    <s v="4 mois"/>
    <d v="2023-11-13T00:00:00"/>
    <s v="Tout commence bien"/>
    <s v="Mamadouba Camara"/>
    <s v="Riz"/>
    <x v="0"/>
    <m/>
    <m/>
    <x v="0"/>
    <m/>
    <m/>
    <m/>
    <m/>
  </r>
  <r>
    <d v="2023-05-04T14:37:39"/>
    <s v="Mamou"/>
    <s v="Petel Mamou"/>
    <s v="Individuel"/>
    <s v="Fodé Cissé"/>
    <n v="622700302"/>
    <m/>
    <s v="Ouré-Kaba"/>
    <n v="64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</r>
  <r>
    <d v="2023-05-04T14:38:31"/>
    <s v="Kérouané"/>
    <s v="Centre"/>
    <s v="Individuel"/>
    <s v="Kaba kourouma"/>
    <n v="623546940"/>
    <n v="623546940"/>
    <s v="Kérouane Centre"/>
    <n v="16"/>
    <s v="Labour - uniquement"/>
    <n v="3"/>
    <s v="Samory"/>
    <s v="Samory"/>
    <s v="6 mois"/>
    <d v="2023-05-06T00:00:00"/>
    <m/>
    <s v="Moussa Kadia Camara"/>
    <s v="Riz"/>
    <x v="1"/>
    <n v="3"/>
    <d v="2023-05-05T00:00:00"/>
    <x v="17"/>
    <s v="7KNE001T"/>
    <m/>
    <m/>
    <m/>
  </r>
  <r>
    <d v="2023-05-04T14:41:10"/>
    <s v="Kérouané"/>
    <s v="Centre"/>
    <s v="Individuel"/>
    <s v="Kalou Conde"/>
    <n v="622113376"/>
    <n v="622113376"/>
    <s v="Kérouane Centre"/>
    <n v="12"/>
    <s v="Labour - uniquement"/>
    <n v="3"/>
    <s v="Moussagbe"/>
    <s v="Moussagbe"/>
    <s v="9 mois"/>
    <d v="2023-05-06T00:00:00"/>
    <m/>
    <s v="Moussa Kadia Camara"/>
    <s v="Riz"/>
    <x v="1"/>
    <n v="3"/>
    <d v="2023-05-05T00:00:00"/>
    <x v="17"/>
    <s v="7KNE001T"/>
    <m/>
    <m/>
    <m/>
  </r>
  <r>
    <d v="2023-05-04T14:41:35"/>
    <s v="Mamou"/>
    <s v="Petel Mamou"/>
    <s v="Individuel"/>
    <s v="ELH Cissé"/>
    <n v="622700302"/>
    <m/>
    <s v="Ouré-Kaba"/>
    <n v="64"/>
    <s v="Labour - uniquement"/>
    <n v="1"/>
    <s v="Seydouba"/>
    <s v="Ck90"/>
    <s v="4 mois"/>
    <d v="2023-11-15T00:00:00"/>
    <s v="Tout commence bien"/>
    <s v="Mamadouba Camara"/>
    <s v="Riz"/>
    <x v="0"/>
    <m/>
    <m/>
    <x v="0"/>
    <m/>
    <m/>
    <m/>
    <m/>
  </r>
  <r>
    <d v="2023-05-04T14:49:50"/>
    <s v="Kérouané"/>
    <s v="Centre"/>
    <s v="Individuel"/>
    <s v="Mory vice Camara"/>
    <n v="626857980"/>
    <n v="626857980"/>
    <s v="Kérouane Centre"/>
    <n v="4"/>
    <s v="Labour - uniquement"/>
    <n v="1"/>
    <s v="Chinois"/>
    <s v="Chinois"/>
    <s v="9 mois"/>
    <d v="2023-05-06T00:00:00"/>
    <m/>
    <s v="Moussa Kadia Camara"/>
    <s v="Riz"/>
    <x v="1"/>
    <n v="1"/>
    <d v="2023-05-05T00:00:00"/>
    <x v="17"/>
    <s v="7MNA006T"/>
    <m/>
    <m/>
    <m/>
  </r>
  <r>
    <d v="2023-05-04T14:52:27"/>
    <s v="Kérouané"/>
    <s v="Centre"/>
    <s v="Individuel"/>
    <s v="Famoudou Conde"/>
    <n v="622537147"/>
    <n v="622537147"/>
    <s v="Kérouane Centre"/>
    <n v="17"/>
    <s v="Labour - uniquement"/>
    <n v="5"/>
    <s v="Seka"/>
    <s v="Seka"/>
    <s v="6 mois"/>
    <d v="2023-05-07T00:00:00"/>
    <m/>
    <s v="Moussa Kadia Camara"/>
    <s v="Riz"/>
    <x v="1"/>
    <n v="5"/>
    <d v="2023-05-05T00:00:00"/>
    <x v="17"/>
    <s v="7KNE002T"/>
    <m/>
    <m/>
    <m/>
  </r>
  <r>
    <d v="2023-05-04T14:59:39"/>
    <s v="Kérouané"/>
    <s v="Centre"/>
    <s v="Individuel"/>
    <s v="Simba edouare loua"/>
    <n v="622509473"/>
    <n v="622509473"/>
    <s v="Kérouane Centre"/>
    <n v="3"/>
    <s v="Labour - uniquement"/>
    <n v="1"/>
    <s v="Samory"/>
    <s v="Samory"/>
    <s v="5 mois"/>
    <d v="2023-05-06T00:00:00"/>
    <m/>
    <s v="Moussa Kadia Camara"/>
    <s v="Riz"/>
    <x v="1"/>
    <n v="1"/>
    <d v="2023-05-05T00:00:00"/>
    <x v="17"/>
    <s v="7MNA006T"/>
    <m/>
    <m/>
    <m/>
  </r>
  <r>
    <d v="2023-05-04T14:59:39"/>
    <s v="Kérouané"/>
    <s v="Centre"/>
    <s v="Individuel"/>
    <s v="Laye kaba kourouma"/>
    <n v="625558812"/>
    <n v="625558812"/>
    <s v="Kérouane Centre"/>
    <n v="18"/>
    <s v="Labour - uniquement"/>
    <n v="3"/>
    <s v="Sanbadji"/>
    <s v="Sanbadji"/>
    <s v="6 mois"/>
    <d v="2023-05-07T00:00:00"/>
    <m/>
    <s v="Moussa Kadia Camara"/>
    <s v="Riz"/>
    <x v="1"/>
    <n v="3"/>
    <d v="2023-05-05T00:00:00"/>
    <x v="17"/>
    <s v="7MNA006T"/>
    <m/>
    <m/>
    <m/>
  </r>
  <r>
    <d v="2023-05-04T15:02:15"/>
    <s v="Kérouané"/>
    <s v="Centre"/>
    <s v="Individuel"/>
    <s v="Dame Camara"/>
    <n v="624249904"/>
    <n v="624249904"/>
    <s v="Kérouane Centre"/>
    <n v="3"/>
    <s v="Labour - uniquement"/>
    <n v="2"/>
    <s v="Kissikelamalo"/>
    <s v="Kissikelamalo"/>
    <s v="6 mois"/>
    <d v="2023-05-05T00:00:00"/>
    <m/>
    <s v="Moussa Kadia Camara"/>
    <s v="Riz"/>
    <x v="1"/>
    <n v="2"/>
    <d v="2023-05-05T00:00:00"/>
    <x v="17"/>
    <s v="7KNE001T"/>
    <m/>
    <m/>
    <m/>
  </r>
  <r>
    <d v="2023-05-04T15:04:39"/>
    <s v="Kérouané"/>
    <s v="Centre"/>
    <s v="Individuel"/>
    <s v="Bonko vieux Camara"/>
    <n v="620311680"/>
    <n v="620311680"/>
    <s v="Kérouane Centre"/>
    <n v="2"/>
    <s v="Labour - uniquement"/>
    <n v="3"/>
    <s v="Samory"/>
    <s v="Samory"/>
    <s v="5 mois"/>
    <d v="2023-05-05T00:00:00"/>
    <m/>
    <s v="Moussa Kadia Camara"/>
    <s v="Riz"/>
    <x v="1"/>
    <n v="3"/>
    <d v="2023-05-05T00:00:00"/>
    <x v="17"/>
    <s v="7MNA006T"/>
    <m/>
    <m/>
    <m/>
  </r>
  <r>
    <d v="2023-05-04T15:07:15"/>
    <s v="Kérouané"/>
    <s v="Centre"/>
    <s v="Individuel"/>
    <s v="Sangbe Laye Camara"/>
    <n v="628569230"/>
    <n v="628569230"/>
    <s v="Kérouane Centre"/>
    <n v="3"/>
    <s v="Labour - uniquement"/>
    <n v="2"/>
    <s v="Kaoulaka"/>
    <s v="Kaoulaka"/>
    <s v="6 mois"/>
    <d v="2023-05-06T00:00:00"/>
    <m/>
    <s v="Moussa Kadia Camara"/>
    <s v="Riz"/>
    <x v="1"/>
    <n v="2"/>
    <d v="2023-05-05T00:00:00"/>
    <x v="17"/>
    <s v="7KNE002T"/>
    <m/>
    <m/>
    <m/>
  </r>
  <r>
    <d v="2023-05-04T15:10:20"/>
    <s v="Mamou"/>
    <s v="Petel Mamou"/>
    <s v="Individuel"/>
    <s v="Fodé savane"/>
    <n v="622700302"/>
    <m/>
    <s v="Ouré-Kaba"/>
    <n v="66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</r>
  <r>
    <d v="2023-05-04T15:13:58"/>
    <s v="Mamou"/>
    <s v="Petel Mamou"/>
    <s v="Individuel"/>
    <s v="Karfalla Kante"/>
    <n v="623150361"/>
    <m/>
    <s v="Ouré-Kaba"/>
    <n v="66"/>
    <s v="Labour - uniquement"/>
    <n v="2"/>
    <s v="Seydouba"/>
    <s v="Ck90"/>
    <s v="4 mois"/>
    <d v="2023-11-15T00:00:00"/>
    <s v="Tout commence bien"/>
    <s v="Mamadouba Camara"/>
    <s v="Riz"/>
    <x v="1"/>
    <n v="2"/>
    <d v="2023-05-23T00:00:00"/>
    <x v="18"/>
    <s v="4MOU002T"/>
    <m/>
    <m/>
    <m/>
  </r>
  <r>
    <d v="2023-05-04T15:17:20"/>
    <s v="Mamou"/>
    <s v="Petel Mamou"/>
    <s v="Individuel"/>
    <s v="Sire Mansare"/>
    <n v="621867641"/>
    <m/>
    <s v="Ouré-Kaba"/>
    <n v="66"/>
    <s v="Labour - uniquement"/>
    <n v="2"/>
    <s v="Seydouba"/>
    <s v="Ck90"/>
    <s v="4 mois"/>
    <d v="2023-11-15T00:00:00"/>
    <s v="Tout commence bien"/>
    <s v="Mamadouba Camara"/>
    <s v="Riz"/>
    <x v="0"/>
    <m/>
    <m/>
    <x v="0"/>
    <m/>
    <m/>
    <m/>
    <m/>
  </r>
  <r>
    <d v="2023-05-04T15:20:43"/>
    <s v="Mamou"/>
    <s v="Petel Mamou"/>
    <s v="Individuel"/>
    <s v="Baba Camara"/>
    <n v="621435805"/>
    <m/>
    <s v="Ouré-Kaba"/>
    <n v="67"/>
    <s v="Labour - uniquement"/>
    <n v="3"/>
    <s v="Seydouba"/>
    <s v="Ck90"/>
    <s v="4 mois"/>
    <d v="2023-11-16T00:00:00"/>
    <s v="Tout commence"/>
    <s v="Mamadouba Camara"/>
    <s v="Riz"/>
    <x v="0"/>
    <m/>
    <m/>
    <x v="0"/>
    <m/>
    <m/>
    <m/>
    <m/>
  </r>
  <r>
    <d v="2023-05-04T15:24:21"/>
    <s v="Mamou"/>
    <s v="Petel Mamou"/>
    <s v="Individuel"/>
    <s v="Balla Mansare"/>
    <n v="620722451"/>
    <m/>
    <s v="Ouré-Kaba"/>
    <n v="67"/>
    <s v="Labour - uniquement"/>
    <n v="3"/>
    <s v="Seydouba"/>
    <s v="Ck90"/>
    <s v="4 mois"/>
    <d v="2023-11-16T00:00:00"/>
    <s v="Tout commence bien"/>
    <s v="Mamadouba Camara"/>
    <s v="Riz"/>
    <x v="0"/>
    <m/>
    <m/>
    <x v="0"/>
    <m/>
    <m/>
    <m/>
    <m/>
  </r>
  <r>
    <d v="2023-05-04T15:28:01"/>
    <s v="Mamou"/>
    <s v="Petel Mamou"/>
    <s v="Individuel"/>
    <s v="Sory Camara"/>
    <n v="623150361"/>
    <m/>
    <s v="Ouré-Kaba"/>
    <n v="66"/>
    <s v="Labour - uniquement"/>
    <n v="3"/>
    <s v="Seydouba"/>
    <s v="Ck90"/>
    <s v="4 mois"/>
    <d v="2023-11-17T00:00:00"/>
    <s v="Tout commence bien"/>
    <s v="Mamadouba Camara"/>
    <s v="Riz"/>
    <x v="0"/>
    <m/>
    <m/>
    <x v="0"/>
    <m/>
    <m/>
    <m/>
    <m/>
  </r>
  <r>
    <d v="2023-05-04T15:33:00"/>
    <s v="Mamou"/>
    <s v="Petel Mamou"/>
    <s v="Individuel"/>
    <s v="Fodé Alseny savane"/>
    <n v="622755550"/>
    <m/>
    <s v="Ouré-Kaba"/>
    <n v="66"/>
    <s v="Labour - uniquement"/>
    <n v="2"/>
    <s v="Seydouba"/>
    <s v="Ck90"/>
    <s v="4 mois"/>
    <d v="2023-11-16T00:00:00"/>
    <s v="Tout commence bien"/>
    <s v="Mamadouba Camara"/>
    <s v="Riz"/>
    <x v="0"/>
    <m/>
    <m/>
    <x v="0"/>
    <m/>
    <m/>
    <m/>
    <m/>
  </r>
  <r>
    <d v="2023-05-04T15:39:17"/>
    <s v="Macenta"/>
    <s v="Direction préfectorale de l'agriculture et de l'élevage de Macenta"/>
    <s v="Individuel"/>
    <s v="Aly Keita"/>
    <n v="628095010"/>
    <m/>
    <s v="Macenta Centre"/>
    <n v="12"/>
    <s v="Labour - uniquement"/>
    <n v="2"/>
    <s v="Djoukèmè"/>
    <s v="Oriza sativa"/>
    <s v="5 mois"/>
    <d v="2023-05-05T00:00:00"/>
    <s v="Pas"/>
    <s v="Alexandre Kpoghomou"/>
    <s v="Riz"/>
    <x v="1"/>
    <n v="3"/>
    <d v="2023-05-05T00:00:00"/>
    <x v="17"/>
    <s v="8MTA004T"/>
    <m/>
    <m/>
    <m/>
  </r>
  <r>
    <d v="2023-05-04T15:39:41"/>
    <s v="Mamou"/>
    <s v="Petel Mamou"/>
    <s v="Individuel"/>
    <s v="Mohamed kaba"/>
    <n v="621278650"/>
    <m/>
    <s v="Ouré-Kaba"/>
    <n v="67"/>
    <s v="Labour - uniquement"/>
    <n v="3"/>
    <s v="Seydouba"/>
    <s v="Ck90"/>
    <s v="4 mois"/>
    <d v="2023-11-17T00:00:00"/>
    <s v="Tout commence bien"/>
    <s v="Mamadouba Camara"/>
    <s v="Riz"/>
    <x v="1"/>
    <n v="2"/>
    <d v="2023-05-17T00:00:00"/>
    <x v="4"/>
    <s v="4MOU002T"/>
    <m/>
    <m/>
    <m/>
  </r>
  <r>
    <d v="2023-05-04T15:42:02"/>
    <s v="Kérouané"/>
    <s v="Centre"/>
    <s v="Individuel"/>
    <s v="Lancine Camara"/>
    <n v="620548116"/>
    <n v="620548116"/>
    <s v="Kérouane Centre"/>
    <n v="12"/>
    <s v="Labour - uniquement"/>
    <n v="3"/>
    <s v="Chinois"/>
    <s v="Chinois"/>
    <s v="9 mois"/>
    <d v="2023-05-06T00:00:00"/>
    <m/>
    <s v="Moussa Kadia Camara"/>
    <s v="Riz"/>
    <x v="1"/>
    <n v="3"/>
    <d v="2023-05-05T00:00:00"/>
    <x v="17"/>
    <s v="7KNE002T"/>
    <m/>
    <m/>
    <m/>
  </r>
  <r>
    <d v="2023-05-04T15:43:46"/>
    <s v="Mamou"/>
    <s v="Petel"/>
    <s v="Individuel"/>
    <s v="Tenemba Mansare"/>
    <n v="620682854"/>
    <m/>
    <s v="Ouré-Kaba"/>
    <n v="65"/>
    <s v="Labour - uniquement"/>
    <n v="3"/>
    <s v="Seydouba"/>
    <s v="Ck90"/>
    <s v="4 mois"/>
    <d v="2023-11-17T00:00:00"/>
    <s v="Tout commence bien"/>
    <s v="Mamadouba Camara"/>
    <s v="Riz"/>
    <x v="0"/>
    <m/>
    <m/>
    <x v="0"/>
    <m/>
    <m/>
    <m/>
    <m/>
  </r>
  <r>
    <d v="2023-05-04T15:46:12"/>
    <s v="Macenta"/>
    <s v="Direction préfectorale de l'agriculture et de l'élevage de macenta"/>
    <s v="Individuel"/>
    <s v="Yakounba Keita"/>
    <n v="621816250"/>
    <m/>
    <s v="Kouankan"/>
    <n v="60"/>
    <s v="Labour - uniquement"/>
    <n v="2"/>
    <s v="Niebé"/>
    <s v="Niebé"/>
    <s v="3 mois"/>
    <d v="2023-05-10T00:00:00"/>
    <s v="Pas"/>
    <s v="Alexandre Kpoghomou"/>
    <s v="Riz"/>
    <x v="1"/>
    <n v="2"/>
    <d v="2023-05-05T00:00:00"/>
    <x v="17"/>
    <s v="8MTA003T"/>
    <m/>
    <m/>
    <m/>
  </r>
  <r>
    <d v="2023-05-04T16:20:48"/>
    <s v="Mamou"/>
    <s v="Petel Mamou"/>
    <s v="Individuel"/>
    <s v="Mamadou Mansare"/>
    <n v="628066073"/>
    <m/>
    <s v="Ouré-Kaba"/>
    <n v="66"/>
    <s v="Labour - uniquement"/>
    <n v="2"/>
    <s v="Seydouba"/>
    <s v="Ck90"/>
    <s v="4 mois"/>
    <d v="2023-11-16T00:00:00"/>
    <s v="Tout commence bien"/>
    <s v="Mamadouba Camara"/>
    <s v="Riz"/>
    <x v="0"/>
    <m/>
    <m/>
    <x v="0"/>
    <m/>
    <m/>
    <m/>
    <m/>
  </r>
  <r>
    <d v="2023-05-04T16:45:19"/>
    <s v="Mamou"/>
    <s v="Petel Mamou"/>
    <s v="Individuel"/>
    <s v="Ousmane Camara"/>
    <n v="622044007"/>
    <m/>
    <s v="Ouré-Kaba"/>
    <n v="66"/>
    <s v="Labour - uniquement"/>
    <n v="2"/>
    <s v="Seydouba"/>
    <s v="Ck90"/>
    <s v="4 mois"/>
    <d v="2023-11-17T00:00:00"/>
    <s v="Tout commence bien"/>
    <s v="Mamadouba Camara"/>
    <s v="Riz"/>
    <x v="0"/>
    <m/>
    <m/>
    <x v="0"/>
    <m/>
    <m/>
    <m/>
    <m/>
  </r>
  <r>
    <d v="2023-05-04T16:52:21"/>
    <s v="Mamou"/>
    <s v="Petel Mamou"/>
    <s v="Individuel"/>
    <s v="Boubacar Mansare"/>
    <n v="623844820"/>
    <m/>
    <s v="Ouré-Kaba"/>
    <n v="67"/>
    <s v="Labour - uniquement"/>
    <n v="2"/>
    <s v="Seydouba"/>
    <s v="Ck90"/>
    <s v="4 mois"/>
    <d v="2023-11-17T00:00:00"/>
    <s v="Tout commence bien"/>
    <s v="Mamadouba Camara"/>
    <s v="Riz"/>
    <x v="0"/>
    <m/>
    <m/>
    <x v="0"/>
    <m/>
    <m/>
    <m/>
    <m/>
  </r>
  <r>
    <d v="2023-05-04T16:56:10"/>
    <s v="Mamou"/>
    <s v="Petel Mamou"/>
    <s v="Individuel"/>
    <s v="Mamadou loin Mansare"/>
    <n v="625833152"/>
    <m/>
    <s v="Ouré-Kaba"/>
    <n v="66"/>
    <s v="Labour - uniquement"/>
    <n v="1"/>
    <s v="Seydouba"/>
    <s v="Ck90"/>
    <s v="4 mois"/>
    <d v="2023-11-17T00:00:00"/>
    <s v="Tout commence bien"/>
    <s v="Mamadouba Camara"/>
    <s v="Riz"/>
    <x v="0"/>
    <m/>
    <m/>
    <x v="0"/>
    <m/>
    <m/>
    <m/>
    <m/>
  </r>
  <r>
    <d v="2023-05-04T17:04:20"/>
    <s v="Mamou"/>
    <s v="Petel Mamou"/>
    <s v="Individuel"/>
    <s v="Mamadou kissia Sow"/>
    <n v="626365685"/>
    <m/>
    <s v="Ouré-Kaba"/>
    <n v="72"/>
    <s v="Labour - uniquement"/>
    <n v="25"/>
    <s v="Kissimale"/>
    <s v="Kaolack"/>
    <s v="5 mois"/>
    <d v="2023-11-18T00:00:00"/>
    <s v="Tout commence bien"/>
    <s v="Mamadouba Camara"/>
    <s v="Riz"/>
    <x v="0"/>
    <m/>
    <m/>
    <x v="0"/>
    <m/>
    <m/>
    <m/>
    <m/>
  </r>
  <r>
    <d v="2023-05-04T17:08:39"/>
    <s v="Mamou"/>
    <s v="Petel Mamou"/>
    <s v="Individuel"/>
    <s v="Madame Sylla"/>
    <n v="627741637"/>
    <m/>
    <s v="Ouré-Kaba"/>
    <n v="80"/>
    <s v="Labour - uniquement"/>
    <n v="1"/>
    <s v="Kalya"/>
    <s v="Ck21"/>
    <s v="4 mois"/>
    <d v="2023-11-17T00:00:00"/>
    <s v="Tout commence bien"/>
    <s v="Mamadouba Camara"/>
    <s v="Riz"/>
    <x v="0"/>
    <m/>
    <m/>
    <x v="0"/>
    <m/>
    <m/>
    <m/>
    <m/>
  </r>
  <r>
    <d v="2023-05-04T17:12:31"/>
    <s v="Mamou"/>
    <s v="Petel Mamou"/>
    <s v="Individuel"/>
    <s v="Seny Mansare"/>
    <n v="627741637"/>
    <m/>
    <s v="Ouré-Kaba"/>
    <n v="80"/>
    <s v="Labour - uniquement"/>
    <n v="4"/>
    <s v="Kalya"/>
    <s v="Ck21"/>
    <s v="4 mois"/>
    <d v="2023-05-18T00:00:00"/>
    <s v="Tout commence bien"/>
    <s v="Mamadouba Camara"/>
    <s v="Riz"/>
    <x v="0"/>
    <m/>
    <m/>
    <x v="0"/>
    <m/>
    <m/>
    <m/>
    <m/>
  </r>
  <r>
    <d v="2023-05-04T17:16:09"/>
    <s v="Mamou"/>
    <s v="Petel Mamou"/>
    <s v="Individuel"/>
    <s v="Oudy kaba"/>
    <n v="621342558"/>
    <m/>
    <s v="Ouré-Kaba"/>
    <n v="81"/>
    <s v="Labour - uniquement"/>
    <n v="3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4T17:20:09"/>
    <s v="Mamou"/>
    <s v="Petel Mamou"/>
    <s v="Individuel"/>
    <s v="Karamo Saly Camara"/>
    <n v="621342558"/>
    <m/>
    <s v="Ouré-Kaba"/>
    <n v="80"/>
    <s v="Labour - uniquement"/>
    <n v="3"/>
    <s v="Kalya"/>
    <s v="Ck 21"/>
    <s v="4 mois"/>
    <d v="2023-11-20T00:00:00"/>
    <s v="Tout commence bien"/>
    <s v="Mamadouba Camara"/>
    <s v="Riz"/>
    <x v="0"/>
    <m/>
    <m/>
    <x v="0"/>
    <m/>
    <m/>
    <m/>
    <m/>
  </r>
  <r>
    <d v="2023-05-04T17:22:06"/>
    <s v="Dubréka"/>
    <s v="Ouassou"/>
    <s v="Individuel"/>
    <s v="Lamine Soumah"/>
    <n v="629620624"/>
    <n v="629620624"/>
    <s v="Koba-Tatema"/>
    <n v="4"/>
    <s v="Labour - uniquement"/>
    <n v="1"/>
    <s v="Massaraka"/>
    <s v="Nereka"/>
    <s v="6 mois"/>
    <d v="2023-05-04T00:00:00"/>
    <s v="Accord"/>
    <s v="Kissi Camara"/>
    <s v="Riz"/>
    <x v="1"/>
    <n v="1"/>
    <d v="2023-05-08T00:00:00"/>
    <x v="16"/>
    <s v="2DKA001T"/>
    <m/>
    <m/>
    <m/>
  </r>
  <r>
    <d v="2023-05-04T17:23:40"/>
    <s v="Mamou"/>
    <s v="Petel Mamou"/>
    <s v="Individuel"/>
    <s v="Sano Condé"/>
    <n v="627741637"/>
    <m/>
    <s v="Ouré-Kaba"/>
    <n v="80"/>
    <s v="Labour - uniquement"/>
    <n v="3"/>
    <s v="Kalya"/>
    <s v="Ck21"/>
    <s v="4 mois"/>
    <d v="2023-05-21T00:00:00"/>
    <s v="Tout commence bien"/>
    <s v="Mamadouba Camara"/>
    <s v="Riz"/>
    <x v="0"/>
    <m/>
    <m/>
    <x v="0"/>
    <m/>
    <m/>
    <m/>
    <m/>
  </r>
  <r>
    <d v="2023-05-04T17:34:38"/>
    <s v="Coyah"/>
    <s v="Manéah"/>
    <s v="Individuel"/>
    <s v="Aboubacar Camara"/>
    <n v="621734464"/>
    <m/>
    <s v="Kouriya"/>
    <n v="14"/>
    <s v="Labour - uniquement"/>
    <n v="2"/>
    <s v="Variete local"/>
    <s v="CK90"/>
    <s v="5 mois"/>
    <d v="2023-05-14T00:00:00"/>
    <m/>
    <s v="Ousmane Tangaly Balde"/>
    <s v="Riz"/>
    <x v="1"/>
    <n v="2"/>
    <d v="2023-05-09T00:00:00"/>
    <x v="16"/>
    <s v="2CAH001T"/>
    <m/>
    <m/>
    <m/>
  </r>
  <r>
    <d v="2023-05-04T18:01:44"/>
    <s v="Boké"/>
    <s v="Boké centre"/>
    <s v="Individuel"/>
    <s v="Abdoul Karim Nabé"/>
    <n v="622728446"/>
    <n v="0"/>
    <s v="Tanéné"/>
    <n v="30"/>
    <s v="Labour + Pulvérisation"/>
    <n v="7"/>
    <s v="non"/>
    <s v="non"/>
    <s v="4 mois"/>
    <d v="2023-05-20T00:00:00"/>
    <s v="c'est dans Tanéné"/>
    <s v="Elhadj Souaré Mamadou Dian"/>
    <s v="Riz"/>
    <x v="0"/>
    <m/>
    <m/>
    <x v="0"/>
    <m/>
    <m/>
    <m/>
    <m/>
  </r>
  <r>
    <d v="2023-05-04T18:09:35"/>
    <s v="Boké"/>
    <s v="Boké centre"/>
    <s v="Individuel"/>
    <s v="Monsieur Keïta"/>
    <n v="620758936"/>
    <n v="0"/>
    <s v="Bintimodiya"/>
    <n v="55"/>
    <s v="Labour + Pulvérisation"/>
    <n v="27"/>
    <s v="non"/>
    <s v="non"/>
    <s v="4 mois"/>
    <d v="2023-05-25T00:00:00"/>
    <s v="tous les producteurs visent sur le mois de mai et juin pour les labours"/>
    <s v="Elhadj Souaré Mamadou Dian"/>
    <s v="Riz"/>
    <x v="0"/>
    <m/>
    <m/>
    <x v="0"/>
    <m/>
    <m/>
    <m/>
    <m/>
  </r>
  <r>
    <d v="2023-05-04T18:15:28"/>
    <s v="Boké"/>
    <s v="Boké centre"/>
    <s v="Collectif"/>
    <s v="Dpae Condé"/>
    <n v="628288427"/>
    <n v="0"/>
    <s v="Tanéné"/>
    <n v="20"/>
    <s v="Labour + Pulvérisation"/>
    <n v="100"/>
    <s v="non"/>
    <s v="non"/>
    <s v="5 mois"/>
    <d v="2023-05-27T00:00:00"/>
    <s v="C'est l'association des cadres dela Dpae"/>
    <s v="Elhadj Souaré Mamadou Dian"/>
    <s v="Riz"/>
    <x v="0"/>
    <m/>
    <m/>
    <x v="0"/>
    <m/>
    <m/>
    <m/>
    <m/>
  </r>
  <r>
    <d v="2023-05-04T18:30:24"/>
    <s v="Boffa"/>
    <s v="Koba"/>
    <s v="Individuel"/>
    <s v="Hasmiou bangoura"/>
    <n v="620463277"/>
    <m/>
    <s v="Koba-Tatema"/>
    <n v="15"/>
    <s v="Labour - uniquement"/>
    <n v="6"/>
    <s v="Massarka"/>
    <s v="J'ignore"/>
    <s v="4 mois"/>
    <d v="2023-05-20T00:00:00"/>
    <s v="Manque de tracteur"/>
    <s v="Alya Foulématou Camara"/>
    <s v="Riz"/>
    <x v="0"/>
    <m/>
    <m/>
    <x v="0"/>
    <m/>
    <m/>
    <m/>
    <m/>
  </r>
  <r>
    <d v="2023-05-04T18:35:24"/>
    <s v="Boffa"/>
    <s v="Koba"/>
    <s v="Individuel"/>
    <s v="Yola Sylla"/>
    <n v="623465553"/>
    <m/>
    <s v="Tougnifili"/>
    <n v="160"/>
    <s v="Labour - uniquement"/>
    <n v="2"/>
    <s v="Baga Malé"/>
    <s v="J'ignore"/>
    <s v="6 mois"/>
    <d v="2023-05-12T00:00:00"/>
    <s v="Manque de tracteur"/>
    <s v="Alya Foulématou Camara"/>
    <s v="Riz"/>
    <x v="0"/>
    <m/>
    <m/>
    <x v="0"/>
    <m/>
    <m/>
    <m/>
    <m/>
  </r>
  <r>
    <d v="2023-05-04T18:40:46"/>
    <s v="Boffa"/>
    <s v="Koba"/>
    <s v="Individuel"/>
    <s v="Aboubacar Bayp"/>
    <n v="627820424"/>
    <m/>
    <s v="Tougnifili"/>
    <n v="160"/>
    <s v="Labour - uniquement"/>
    <n v="11"/>
    <s v="Baga Malé"/>
    <s v="J'ignore"/>
    <s v="6 mois"/>
    <d v="2023-05-13T00:00:00"/>
    <s v="Manque de tracteur"/>
    <s v="Alya Foulématou Camara"/>
    <s v="Riz"/>
    <x v="0"/>
    <m/>
    <m/>
    <x v="0"/>
    <m/>
    <m/>
    <m/>
    <m/>
  </r>
  <r>
    <d v="2023-05-04T18:45:00"/>
    <s v="Boffa"/>
    <s v="Koba"/>
    <s v="Individuel"/>
    <s v="Seidouba Sylla"/>
    <n v="621916367"/>
    <m/>
    <s v="Tougnifili"/>
    <n v="160"/>
    <s v="Labour - uniquement"/>
    <n v="6"/>
    <s v="Hawa Bangoura"/>
    <s v="J' ignore"/>
    <s v="4 mois"/>
    <d v="2023-06-05T00:00:00"/>
    <s v="Manque de tracteur"/>
    <s v="Alya Foulématou Camara"/>
    <s v="Riz"/>
    <x v="0"/>
    <m/>
    <m/>
    <x v="0"/>
    <m/>
    <m/>
    <m/>
    <m/>
  </r>
  <r>
    <d v="2023-05-04T18:48:50"/>
    <s v="Boffa"/>
    <s v="Koba"/>
    <s v="Individuel"/>
    <s v="Yamoussa Bangoura"/>
    <n v="626996031"/>
    <m/>
    <s v="Koba-Tatema"/>
    <n v="15"/>
    <s v="Labour - uniquement"/>
    <n v="13"/>
    <s v="Mbapeya"/>
    <s v="J'ignore"/>
    <s v="4 mois"/>
    <d v="2023-05-15T00:00:00"/>
    <s v="Manque de tracteur"/>
    <s v="Alya Foulématou Camara"/>
    <s v="Riz"/>
    <x v="0"/>
    <m/>
    <m/>
    <x v="0"/>
    <m/>
    <m/>
    <m/>
    <m/>
  </r>
  <r>
    <d v="2023-05-04T18:52:36"/>
    <s v="Boffa"/>
    <s v="Koba"/>
    <s v="Individuel"/>
    <s v="Faber Bangoura"/>
    <n v="620750752"/>
    <m/>
    <s v="Tougnifili"/>
    <n v="160"/>
    <s v="Labour - uniquement"/>
    <n v="4"/>
    <s v="Hawa Bangoura"/>
    <s v="J'ignore"/>
    <s v="4 mois"/>
    <d v="2023-06-15T00:00:00"/>
    <s v="Manque de tracteur"/>
    <s v="Alya Foulématou Camara"/>
    <s v="Riz"/>
    <x v="0"/>
    <m/>
    <m/>
    <x v="0"/>
    <m/>
    <m/>
    <m/>
    <m/>
  </r>
  <r>
    <d v="2023-05-04T22:31:21"/>
    <s v="Mandiana"/>
    <s v="Cours du bloc Administratif"/>
    <s v="Individuel"/>
    <s v="Sékou BAYO"/>
    <n v="628293341"/>
    <m/>
    <s v="Kiniéran"/>
    <n v="85"/>
    <s v="Labour + Pulvérisation"/>
    <n v="10"/>
    <s v="Nerica 19"/>
    <s v="Nerica"/>
    <s v="4 mois"/>
    <d v="2023-06-29T00:00:00"/>
    <s v="Aptes pour la mécanisation"/>
    <s v="Nounkè Doumbouya"/>
    <s v="Riz"/>
    <x v="0"/>
    <m/>
    <m/>
    <x v="0"/>
    <m/>
    <m/>
    <m/>
    <m/>
  </r>
  <r>
    <d v="2023-05-04T22:42:20"/>
    <s v="Mandiana"/>
    <s v="Cours du bloc Administratif"/>
    <s v="Individuel"/>
    <s v="Mamadiba Koulibaly"/>
    <n v="628959500"/>
    <m/>
    <s v="Kiniéran"/>
    <n v="80"/>
    <s v="Labour + Pulvérisation"/>
    <n v="8"/>
    <s v="Nerica 4"/>
    <s v="Nerica"/>
    <s v="3 mois"/>
    <d v="2023-07-01T00:00:00"/>
    <s v="Aptes pour la mécanisation"/>
    <s v="Nounkè Doumbouya"/>
    <s v="Riz"/>
    <x v="0"/>
    <m/>
    <m/>
    <x v="0"/>
    <m/>
    <m/>
    <m/>
    <m/>
  </r>
  <r>
    <d v="2023-05-05T07:50:43"/>
    <s v="Guéckédou"/>
    <s v="Guéckédou"/>
    <s v="Individuel"/>
    <s v="Condé Hawa"/>
    <n v="621857819"/>
    <n v="621857819"/>
    <s v="Guendembou"/>
    <n v="2"/>
    <s v="Labour - uniquement"/>
    <n v="2"/>
    <s v="CK 90"/>
    <s v="Ck90"/>
    <s v="4 mois"/>
    <d v="2023-04-30T00:00:00"/>
    <s v="Ok"/>
    <s v="Lamine Condé"/>
    <s v="Riz"/>
    <x v="1"/>
    <n v="2"/>
    <d v="2023-05-08T00:00:00"/>
    <x v="16"/>
    <s v="8GOU002T"/>
    <m/>
    <m/>
    <m/>
  </r>
  <r>
    <d v="2023-05-05T08:18:52"/>
    <s v="Kissidougou"/>
    <s v="Commune urbaine"/>
    <s v="Individuel"/>
    <s v="Byli Camara"/>
    <n v="626432539"/>
    <n v="626432539"/>
    <s v="Fermesadou"/>
    <n v="25"/>
    <s v="Labour - uniquement"/>
    <n v="5"/>
    <s v="CK 90"/>
    <s v="CK 90"/>
    <s v="5 mois"/>
    <d v="2023-05-02T00:00:00"/>
    <s v="Ok"/>
    <s v="Mamady 2 Camara"/>
    <s v="Riz"/>
    <x v="1"/>
    <n v="5"/>
    <d v="2023-05-04T00:00:00"/>
    <x v="17"/>
    <s v="6KOU002T"/>
    <m/>
    <m/>
    <m/>
  </r>
  <r>
    <d v="2023-05-05T08:19:14"/>
    <s v="Boffa"/>
    <s v="Koba"/>
    <s v="Individuel"/>
    <s v="Fodé conté"/>
    <n v="628735567"/>
    <m/>
    <s v="Koba-Tatema"/>
    <n v="15"/>
    <s v="Labour - uniquement"/>
    <n v="3"/>
    <s v="Balanta"/>
    <s v="J'ignore"/>
    <s v="4 mois"/>
    <d v="2023-05-20T00:00:00"/>
    <s v="Manque de tracteur"/>
    <s v="Alya Foulématou Camara"/>
    <s v="Riz"/>
    <x v="0"/>
    <m/>
    <m/>
    <x v="0"/>
    <m/>
    <m/>
    <m/>
    <m/>
  </r>
  <r>
    <d v="2023-05-05T09:00:11"/>
    <s v="Dubréka"/>
    <s v="Ouassou"/>
    <s v="Individuel"/>
    <s v="Isiaga Sylla"/>
    <n v="629665065"/>
    <n v="629665065"/>
    <s v="Koba-Tatema"/>
    <n v="4"/>
    <s v="Labour - uniquement"/>
    <n v="10"/>
    <s v="Massaraka"/>
    <s v="Nereka"/>
    <s v="6 mois"/>
    <d v="2023-05-06T00:00:00"/>
    <s v="Accord"/>
    <s v="Kissi Camara"/>
    <s v="Riz"/>
    <x v="1"/>
    <n v="3"/>
    <d v="2023-05-08T00:00:00"/>
    <x v="16"/>
    <s v="2DKA001T"/>
    <m/>
    <m/>
    <m/>
  </r>
  <r>
    <d v="2023-05-05T10:11:42"/>
    <s v="Guéckédou"/>
    <s v="Guéckédou"/>
    <s v="Individuel"/>
    <s v="Wandera kantambadouno"/>
    <n v="622545479"/>
    <n v="622545479"/>
    <s v="Nongoa"/>
    <n v="27"/>
    <s v="Labour - uniquement"/>
    <n v="5"/>
    <s v="Ck90"/>
    <s v="Ck90"/>
    <s v="4 mois"/>
    <d v="2023-05-01T00:00:00"/>
    <s v="Ok"/>
    <s v="Lamine Condé"/>
    <s v="Riz"/>
    <x v="1"/>
    <n v="5"/>
    <d v="2023-05-08T00:00:00"/>
    <x v="16"/>
    <s v="8GOU001T"/>
    <m/>
    <m/>
    <m/>
  </r>
  <r>
    <d v="2023-05-05T10:22:08"/>
    <s v="Guéckédou"/>
    <s v="Guéckédou centre"/>
    <s v="Individuel"/>
    <s v="Joseph kourouma"/>
    <n v="621180902"/>
    <n v="621180902"/>
    <s v="Guéckédou Centre"/>
    <n v="5"/>
    <s v="Labour - uniquement"/>
    <n v="3"/>
    <s v="Ck90"/>
    <s v="Ck90"/>
    <s v="4 mois"/>
    <d v="2023-05-05T00:00:00"/>
    <s v="Ok"/>
    <s v="Lamine Condé"/>
    <s v="Riz"/>
    <x v="1"/>
    <n v="3"/>
    <d v="2023-05-08T00:00:00"/>
    <x v="16"/>
    <s v="8GOU003T"/>
    <m/>
    <m/>
    <m/>
  </r>
  <r>
    <d v="2023-05-05T10:22:50"/>
    <s v="Beyla"/>
    <s v="Beyla centre"/>
    <s v="Individuel"/>
    <s v="Nouhan kante"/>
    <n v="628166932"/>
    <m/>
    <s v="Diassadou"/>
    <n v="30"/>
    <s v="Labour - uniquement"/>
    <n v="4"/>
    <s v="Samolimalo"/>
    <s v="Riz"/>
    <s v="5 mois"/>
    <d v="2023-05-05T00:00:00"/>
    <m/>
    <s v="Moussa Conde"/>
    <s v="Riz"/>
    <x v="1"/>
    <n v="4"/>
    <d v="2023-05-05T00:00:00"/>
    <x v="17"/>
    <s v="8BLA013T"/>
    <m/>
    <m/>
    <m/>
  </r>
  <r>
    <d v="2023-05-05T10:24:01"/>
    <s v="Mamou"/>
    <s v="Petel Mamou"/>
    <s v="Individuel"/>
    <s v="Alpha Oumar Mansare"/>
    <n v="621342558"/>
    <m/>
    <s v="Ouré-Kaba"/>
    <n v="80"/>
    <s v="Labour - uniquement"/>
    <n v="1"/>
    <s v="Kalya"/>
    <s v="Ck21"/>
    <s v="4 mois"/>
    <d v="2023-11-16T00:00:00"/>
    <s v="Tout commence bien"/>
    <s v="Mamadouba Camara"/>
    <s v="Riz"/>
    <x v="0"/>
    <m/>
    <m/>
    <x v="0"/>
    <m/>
    <m/>
    <m/>
    <m/>
  </r>
  <r>
    <d v="2023-05-05T10:29:06"/>
    <s v="Mamou"/>
    <s v="Petel Mamou"/>
    <s v="Individuel"/>
    <s v="Lamina Sylla"/>
    <n v="621342558"/>
    <m/>
    <s v="Ouré-Kaba"/>
    <n v="80"/>
    <s v="Labour - uniquement"/>
    <n v="2"/>
    <s v="Kalya"/>
    <s v="Ck 21"/>
    <s v="4 mois"/>
    <d v="2023-11-17T00:00:00"/>
    <s v="Tout commence bien"/>
    <s v="Mamadouba Camara"/>
    <s v="Riz"/>
    <x v="0"/>
    <m/>
    <m/>
    <x v="0"/>
    <m/>
    <m/>
    <m/>
    <m/>
  </r>
  <r>
    <d v="2023-05-05T10:31:58"/>
    <s v="Kindia"/>
    <s v="Kindia"/>
    <s v="Individuel"/>
    <s v="TOURE Ousmane"/>
    <n v="620242299"/>
    <m/>
    <s v="Friguiagbé"/>
    <n v="20"/>
    <s v="Labour - uniquement"/>
    <n v="35"/>
    <s v="Seydouba"/>
    <s v="Rien"/>
    <s v="4 mois"/>
    <d v="2023-05-10T00:00:00"/>
    <s v="Realisable"/>
    <s v="Boubacar Gueme Bah"/>
    <s v="Riz"/>
    <x v="0"/>
    <m/>
    <m/>
    <x v="0"/>
    <m/>
    <m/>
    <m/>
    <m/>
  </r>
  <r>
    <d v="2023-05-05T10:32:21"/>
    <s v="Beyla"/>
    <s v="Beyla centre"/>
    <s v="Individuel"/>
    <s v="Adama Camara"/>
    <n v="622955525"/>
    <m/>
    <s v="Sokourala"/>
    <n v="30"/>
    <s v="Labour - uniquement"/>
    <n v="10"/>
    <s v="Tchocho"/>
    <s v="Riz"/>
    <s v="5 mois"/>
    <d v="2023-05-05T00:00:00"/>
    <m/>
    <s v="Moussa Conde"/>
    <s v="Riz"/>
    <x v="1"/>
    <n v="10"/>
    <d v="2023-05-05T00:00:00"/>
    <x v="17"/>
    <s v="8BLA012T"/>
    <m/>
    <m/>
    <m/>
  </r>
  <r>
    <d v="2023-05-05T10:35:36"/>
    <s v="Mamou"/>
    <s v="Petel Mamou"/>
    <s v="Individuel"/>
    <s v="Alpha Mansare"/>
    <n v="621342558"/>
    <m/>
    <s v="Ouré-Kaba"/>
    <n v="80"/>
    <s v="Labour - uniquement"/>
    <n v="3"/>
    <s v="Kalya"/>
    <s v="Ck21"/>
    <s v="4 mois"/>
    <d v="2023-11-18T00:00:00"/>
    <s v="Tout commence bien"/>
    <s v="Mamadouba Camara"/>
    <s v="Riz"/>
    <x v="0"/>
    <m/>
    <m/>
    <x v="0"/>
    <m/>
    <m/>
    <m/>
    <m/>
  </r>
  <r>
    <d v="2023-05-05T10:38:03"/>
    <s v="Kindia"/>
    <s v="Kindia"/>
    <s v="Individuel"/>
    <s v="SOW Talhatou"/>
    <n v="628858844"/>
    <m/>
    <s v="Lynsan"/>
    <n v="75"/>
    <s v="Labour - uniquement"/>
    <n v="20"/>
    <s v="CK 90"/>
    <s v="CK 90"/>
    <s v="5 mois"/>
    <d v="2023-05-10T00:00:00"/>
    <s v="Faisable"/>
    <s v="Boubacar Gueme Bah"/>
    <s v="Riz"/>
    <x v="0"/>
    <m/>
    <m/>
    <x v="0"/>
    <m/>
    <m/>
    <m/>
    <m/>
  </r>
  <r>
    <d v="2023-05-05T10:40:26"/>
    <s v="Mamou"/>
    <s v="Petel Mamou"/>
    <s v="Individuel"/>
    <s v="Aissatou Mansare"/>
    <n v="612342558"/>
    <m/>
    <s v="Ouré-Kaba"/>
    <n v="80"/>
    <s v="Labour - uniquement"/>
    <n v="1"/>
    <s v="Kalya"/>
    <s v="Ck21"/>
    <s v="4 mois"/>
    <d v="2023-11-19T00:00:00"/>
    <s v="Tout commence"/>
    <s v="Mamadouba Camara"/>
    <s v="Riz"/>
    <x v="0"/>
    <m/>
    <m/>
    <x v="0"/>
    <m/>
    <m/>
    <m/>
    <m/>
  </r>
  <r>
    <d v="2023-05-05T10:44:09"/>
    <s v="Mamou"/>
    <s v="Petel Mamou"/>
    <s v="Individuel"/>
    <s v="Lamina Camara"/>
    <n v="621342558"/>
    <m/>
    <s v="Ouré-Kaba"/>
    <n v="81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0:48:06"/>
    <s v="Mamou"/>
    <s v="Petel Mamou"/>
    <s v="Individuel"/>
    <s v="Moumini"/>
    <n v="621342558"/>
    <m/>
    <s v="Ouré-Kaba"/>
    <n v="81"/>
    <s v="Labour - uniquement"/>
    <n v="1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0:51:31"/>
    <s v="Mamou"/>
    <s v="Petel Mamou"/>
    <s v="Individuel"/>
    <s v="Alseny Touré"/>
    <n v="621342558"/>
    <m/>
    <s v="Ouré-Kaba"/>
    <n v="80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0:55:28"/>
    <s v="Mamou"/>
    <s v="Petel Mamou"/>
    <s v="Individuel"/>
    <s v="Diaraye Mansare"/>
    <n v="621342558"/>
    <m/>
    <s v="Ouré-Kaba"/>
    <n v="80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0:59:31"/>
    <s v="Mamou"/>
    <s v="Petel Mamou"/>
    <s v="Individuel"/>
    <s v="Noumba Camara"/>
    <n v="621339792"/>
    <m/>
    <s v="Ouré-Kaba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1:04:00"/>
    <s v="Mamou"/>
    <s v="Petel Mamou"/>
    <s v="Individuel"/>
    <s v="Mamadou Mansare"/>
    <n v="625833152"/>
    <m/>
    <s v="Ouré-Kaba"/>
    <n v="66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5T11:08:57"/>
    <s v="Mamou"/>
    <s v="Petel Mamou"/>
    <s v="Individuel"/>
    <s v="Boubacar dindeya sow"/>
    <n v="623999100"/>
    <m/>
    <s v="Ouré-Kaba"/>
    <n v="81"/>
    <s v="Labour - uniquement"/>
    <n v="3"/>
    <s v="Kalya"/>
    <s v="Ck21"/>
    <s v="4 mois"/>
    <d v="2023-11-20T00:00:00"/>
    <s v="Tout commence bien"/>
    <s v="Mamadouba Camara"/>
    <s v="Riz"/>
    <x v="0"/>
    <m/>
    <m/>
    <x v="0"/>
    <m/>
    <m/>
    <m/>
    <m/>
  </r>
  <r>
    <d v="2023-05-05T11:25:05"/>
    <s v="Kindia"/>
    <s v="Kindia"/>
    <s v="Collectif"/>
    <s v="CAMARA Abou foret (chambre )"/>
    <n v="623659483"/>
    <m/>
    <s v="Lynsan"/>
    <n v="80"/>
    <s v="Labour + Pulvérisation"/>
    <n v="40"/>
    <s v="Coyady ,Kawlaka"/>
    <s v="Rien"/>
    <s v="5 mois"/>
    <d v="2023-05-11T00:00:00"/>
    <s v="Realisable"/>
    <s v="Boubacar Gueme Bah"/>
    <s v="Riz"/>
    <x v="0"/>
    <m/>
    <m/>
    <x v="0"/>
    <m/>
    <m/>
    <m/>
    <m/>
  </r>
  <r>
    <d v="2023-05-05T11:29:43"/>
    <s v="Forécariah"/>
    <s v="Forecariah"/>
    <s v="Individuel"/>
    <s v="Momo bangoura"/>
    <n v="621272756"/>
    <m/>
    <s v="Alassoya"/>
    <n v="10"/>
    <s v="Labour - uniquement"/>
    <n v="2"/>
    <s v="Ck90"/>
    <s v="Ck-90"/>
    <s v="5 mois"/>
    <d v="2023-05-06T00:00:00"/>
    <m/>
    <s v="Moussa Diakité"/>
    <s v="Riz"/>
    <x v="1"/>
    <n v="2"/>
    <d v="2023-05-08T00:00:00"/>
    <x v="16"/>
    <s v="2FAH004T"/>
    <m/>
    <m/>
    <m/>
  </r>
  <r>
    <d v="2023-05-05T11:30:24"/>
    <s v="Kindia"/>
    <s v="Kindia"/>
    <s v="Individuel"/>
    <s v="CISSOKO Saikou Oumar"/>
    <n v="622307594"/>
    <m/>
    <s v="Friguiagbé"/>
    <n v="22"/>
    <s v="Labour - uniquement"/>
    <n v="1"/>
    <s v="Ananas"/>
    <s v="Ananas"/>
    <s v="9 mois"/>
    <d v="2023-05-13T00:00:00"/>
    <s v="Faisable"/>
    <s v="Boubacar Gueme Bah"/>
    <s v="Culture maraichère"/>
    <x v="0"/>
    <m/>
    <m/>
    <x v="19"/>
    <m/>
    <m/>
    <m/>
    <m/>
  </r>
  <r>
    <d v="2023-05-05T11:34:40"/>
    <s v="Mamou"/>
    <s v="Petel Mamou"/>
    <s v="Individuel"/>
    <s v="Mamadou Sidibé"/>
    <n v="620834175"/>
    <m/>
    <s v="Ouré-Kaba"/>
    <n v="95"/>
    <s v="Labour - uniquement"/>
    <n v="4"/>
    <s v="Kalya"/>
    <s v="Ck21"/>
    <s v="4 mois"/>
    <d v="2023-11-21T00:00:00"/>
    <s v="Tout commence bien"/>
    <s v="Mamadouba Camara"/>
    <s v="Riz"/>
    <x v="1"/>
    <n v="4"/>
    <d v="2023-05-09T00:00:00"/>
    <x v="16"/>
    <s v="4MOU002T"/>
    <m/>
    <m/>
    <m/>
  </r>
  <r>
    <d v="2023-05-05T12:16:57"/>
    <s v="Guéckédou"/>
    <s v="Guéckédou centre"/>
    <s v="Individuel"/>
    <s v="Mamadi Keira"/>
    <n v="628064799"/>
    <n v="628064799"/>
    <s v="Bolodou"/>
    <n v="20"/>
    <s v="Labour - uniquement"/>
    <n v="5"/>
    <s v="Ck90"/>
    <s v="Ck90"/>
    <s v="4 mois"/>
    <d v="2023-05-06T00:00:00"/>
    <s v="Ok"/>
    <s v="Lamine Condé"/>
    <s v="Riz"/>
    <x v="1"/>
    <n v="5"/>
    <d v="2023-05-08T00:00:00"/>
    <x v="16"/>
    <s v="8GOU003T"/>
    <m/>
    <m/>
    <m/>
  </r>
  <r>
    <d v="2023-05-05T15:28:32"/>
    <s v="Faranah"/>
    <s v="Aviation"/>
    <s v="Individuel"/>
    <s v="Maïmouna doumbouya"/>
    <n v="622553663"/>
    <m/>
    <s v="Maréla"/>
    <n v="95"/>
    <s v="Labour - uniquement"/>
    <n v="10"/>
    <s v="Malien"/>
    <s v="Malien"/>
    <s v="4 mois"/>
    <d v="2023-05-07T00:00:00"/>
    <m/>
    <s v="Mohamed Fanta kourouma"/>
    <s v="Riz"/>
    <x v="1"/>
    <n v="10"/>
    <d v="2023-05-08T00:00:00"/>
    <x v="16"/>
    <s v="6FAH002T"/>
    <m/>
    <m/>
    <m/>
  </r>
  <r>
    <d v="2023-05-05T15:32:04"/>
    <s v="Faranah"/>
    <s v="Aviation"/>
    <s v="Individuel"/>
    <s v="Famar Traoré"/>
    <n v="626110531"/>
    <m/>
    <s v="Faranah Centre"/>
    <n v="5"/>
    <s v="Labour - uniquement"/>
    <n v="3"/>
    <s v="Ck90"/>
    <s v="Ck90"/>
    <s v="4 mois"/>
    <d v="2023-05-06T00:00:00"/>
    <m/>
    <s v="Mohamed Fanta kourouma"/>
    <s v="Riz"/>
    <x v="1"/>
    <n v="3"/>
    <d v="2023-05-08T00:00:00"/>
    <x v="16"/>
    <s v="6FAH005T"/>
    <m/>
    <m/>
    <m/>
  </r>
  <r>
    <d v="2023-05-05T15:44:29"/>
    <s v="Dinguiraye"/>
    <s v="Dinguiraye centre"/>
    <s v="Individuel"/>
    <s v="Mamady sanoh"/>
    <n v="621421610"/>
    <m/>
    <s v="Banora"/>
    <n v="65"/>
    <s v="Labour - uniquement"/>
    <n v="4"/>
    <s v="Dissiba-oulén"/>
    <s v="Dissiba-oulén"/>
    <s v="4 mois"/>
    <d v="2023-05-06T00:00:00"/>
    <m/>
    <s v="Mamadou 1 Diallo"/>
    <s v="Riz"/>
    <x v="1"/>
    <n v="4"/>
    <d v="2023-05-09T00:00:00"/>
    <x v="16"/>
    <s v="6DYE004T"/>
    <m/>
    <m/>
    <m/>
  </r>
  <r>
    <d v="2023-05-05T16:44:09"/>
    <s v="Boké"/>
    <s v="Boké centre"/>
    <s v="Collectif"/>
    <s v="Mr Priyank"/>
    <n v="629007465"/>
    <n v="0"/>
    <s v="Tanéné"/>
    <n v="21"/>
    <s v="Labour + Pulvérisation"/>
    <n v="300"/>
    <s v="non"/>
    <s v="non"/>
    <s v="4 mois"/>
    <d v="2023-05-15T00:00:00"/>
    <s v="c'est une association dans Tanéné"/>
    <s v="Elhadj Souaré Mamadou Dian"/>
    <s v="Riz"/>
    <x v="0"/>
    <m/>
    <m/>
    <x v="0"/>
    <m/>
    <m/>
    <m/>
    <m/>
  </r>
  <r>
    <d v="2023-05-05T16:51:38"/>
    <s v="Boké"/>
    <s v="Boké centre"/>
    <s v="Collectif"/>
    <s v="Koulibaly Alpha Santina"/>
    <n v="624639206"/>
    <n v="0"/>
    <s v="Bintimodiya"/>
    <n v="53"/>
    <s v="Labour + Pulvérisation"/>
    <n v="200"/>
    <s v="non"/>
    <s v="non"/>
    <s v="4 mois"/>
    <d v="2023-05-15T00:00:00"/>
    <s v="tout les producteurs demandent à étre programmés pour Mai_Juin"/>
    <s v="Elhadj Souaré Mamadou Dian"/>
    <s v="Riz"/>
    <x v="0"/>
    <m/>
    <m/>
    <x v="0"/>
    <m/>
    <m/>
    <m/>
    <m/>
  </r>
  <r>
    <d v="2023-05-05T21:33:59"/>
    <s v="Dinguiraye"/>
    <s v="Dinguiraye centre"/>
    <s v="Individuel"/>
    <s v="Gnaama bah"/>
    <n v="610299851"/>
    <m/>
    <s v="Kalinko"/>
    <n v="75"/>
    <s v="Labour - uniquement"/>
    <n v="10"/>
    <s v="Tontifo"/>
    <s v="Tontifo"/>
    <s v="4 mois"/>
    <d v="2023-05-06T00:00:00"/>
    <m/>
    <s v="Mamadou 1 Diallo"/>
    <s v="Riz"/>
    <x v="1"/>
    <n v="10"/>
    <d v="2023-05-08T00:00:00"/>
    <x v="16"/>
    <s v="6DYE002T"/>
    <m/>
    <m/>
    <m/>
  </r>
  <r>
    <d v="2023-05-06T10:41:49"/>
    <s v="Kissidougou"/>
    <s v="Commune urbaine"/>
    <s v="Individuel"/>
    <s v="Pierre Kamano"/>
    <n v="622041525"/>
    <n v="622041525"/>
    <s v="Firawa"/>
    <n v="25"/>
    <s v="Labour - uniquement"/>
    <n v="5"/>
    <s v="CK 90"/>
    <s v="CK 90"/>
    <s v="5 mois"/>
    <d v="2023-05-05T00:00:00"/>
    <s v="Dondian"/>
    <s v="Mamady 2 Camara"/>
    <s v="Riz"/>
    <x v="1"/>
    <n v="1"/>
    <d v="2023-05-08T00:00:00"/>
    <x v="16"/>
    <s v="6KOU001T"/>
    <m/>
    <m/>
    <m/>
  </r>
  <r>
    <d v="2023-05-06T10:47:52"/>
    <s v="Kissidougou"/>
    <s v="Commune urbaine"/>
    <s v="Individuel"/>
    <s v="Gabriel Diawara"/>
    <n v="622699919"/>
    <m/>
    <s v="Fermesadou"/>
    <n v="15"/>
    <s v="Labour - uniquement"/>
    <n v="5"/>
    <s v="CK 90"/>
    <s v="CK 90"/>
    <s v="5 mois"/>
    <d v="2023-05-05T00:00:00"/>
    <s v="Worodou"/>
    <s v="Mamady 2 Camara"/>
    <s v="Riz"/>
    <x v="1"/>
    <n v="5"/>
    <d v="2023-05-08T00:00:00"/>
    <x v="16"/>
    <s v="6KOU003T"/>
    <m/>
    <m/>
    <m/>
  </r>
  <r>
    <d v="2023-05-06T10:51:42"/>
    <s v="Kissidougou"/>
    <s v="Commune urbaine"/>
    <s v="Individuel"/>
    <s v="Sidiki oulare"/>
    <n v="621799324"/>
    <n v="621799324"/>
    <s v="Fermesadou"/>
    <n v="20"/>
    <s v="Labour - uniquement"/>
    <n v="3"/>
    <s v="CK 90 CK 90"/>
    <s v="CK 90"/>
    <s v="5 mois"/>
    <d v="2023-05-06T00:00:00"/>
    <s v="Kongola"/>
    <s v="Mamady 2 Camara"/>
    <s v="Riz"/>
    <x v="1"/>
    <n v="3"/>
    <d v="2023-05-08T00:00:00"/>
    <x v="16"/>
    <s v="6KOU002T"/>
    <m/>
    <m/>
    <m/>
  </r>
  <r>
    <d v="2023-05-06T10:54:39"/>
    <s v="Mandiana"/>
    <s v="Cours du bloc Administratif"/>
    <s v="Individuel"/>
    <s v="Lamine CAMARA"/>
    <n v="621164764"/>
    <m/>
    <s v="Saladou"/>
    <n v="89"/>
    <s v="Labour - uniquement"/>
    <n v="50"/>
    <s v="Ck90,Nerica 19"/>
    <s v="Nerica"/>
    <s v="5 mois"/>
    <d v="2023-05-10T00:00:00"/>
    <s v="Aptes pour la mécanisation"/>
    <s v="Nounkè Doumbouya"/>
    <s v="Riz"/>
    <x v="1"/>
    <n v="50"/>
    <d v="2023-05-15T00:00:00"/>
    <x v="4"/>
    <s v="7MNA008T"/>
    <m/>
    <m/>
    <m/>
  </r>
  <r>
    <d v="2023-05-06T10:56:09"/>
    <s v="Kissidougou"/>
    <s v="Commune urbaine"/>
    <s v="Individuel"/>
    <s v="Mauriche Kamano"/>
    <n v="625207694"/>
    <n v="625207694"/>
    <s v="Fermesadou"/>
    <n v="7"/>
    <s v="Labour - uniquement"/>
    <n v="1"/>
    <s v="CK 90"/>
    <s v="CK 90"/>
    <s v="5 mois"/>
    <d v="2023-05-06T00:00:00"/>
    <s v="Broadou"/>
    <s v="Mamady 2 Camara"/>
    <s v="Riz"/>
    <x v="1"/>
    <n v="1"/>
    <d v="2023-05-08T00:00:00"/>
    <x v="16"/>
    <s v="6KOU001T"/>
    <m/>
    <m/>
    <m/>
  </r>
  <r>
    <d v="2023-05-06T10:59:35"/>
    <s v="Kissidougou"/>
    <s v="Commune urbaine"/>
    <s v="Individuel"/>
    <s v="Joseph Mansare"/>
    <n v="627605696"/>
    <n v="627605696"/>
    <s v="Kissidougou Centre"/>
    <n v="1"/>
    <s v="Labour - uniquement"/>
    <n v="4"/>
    <s v="CK 90"/>
    <s v="CK 90"/>
    <s v="5 mois"/>
    <d v="2023-05-06T00:00:00"/>
    <s v="niandan"/>
    <s v="Mamady 2 Camara"/>
    <s v="Riz"/>
    <x v="1"/>
    <n v="4"/>
    <d v="2023-05-08T00:00:00"/>
    <x v="16"/>
    <s v="6KOU002T"/>
    <m/>
    <m/>
    <m/>
  </r>
  <r>
    <d v="2023-05-06T11:00:57"/>
    <s v="Siguiri"/>
    <s v="Siguiri"/>
    <s v="Individuel"/>
    <s v="Laye Djiguibanin KEITA"/>
    <n v="623549373"/>
    <m/>
    <s v="Siguiri Centre"/>
    <n v="4"/>
    <s v="Labour - uniquement"/>
    <n v="3"/>
    <s v="Pecta"/>
    <s v="Pecta"/>
    <s v="3 mois"/>
    <d v="2023-05-08T00:00:00"/>
    <m/>
    <s v="Nanamoudou ll Magassouba"/>
    <s v="Maïs"/>
    <x v="1"/>
    <n v="3"/>
    <d v="2023-05-09T00:00:00"/>
    <x v="16"/>
    <s v="7SRI006T"/>
    <m/>
    <m/>
    <m/>
  </r>
  <r>
    <d v="2023-05-06T11:01:13"/>
    <s v="Mandiana"/>
    <s v="Cours du bloc Administratif"/>
    <s v="Collectif"/>
    <s v="Lanfia Bérété"/>
    <n v="622867383"/>
    <m/>
    <s v="Koundian"/>
    <n v="32"/>
    <s v="Labour + Pulvérisation"/>
    <n v="40"/>
    <s v="Nerica 19"/>
    <s v="Nerica"/>
    <s v="4 mois"/>
    <d v="2023-05-27T00:00:00"/>
    <s v="Aptes pour la mécanisation"/>
    <s v="Nounkè Doumbouya"/>
    <s v="Riz"/>
    <x v="0"/>
    <m/>
    <m/>
    <x v="0"/>
    <m/>
    <m/>
    <m/>
    <m/>
  </r>
  <r>
    <d v="2023-05-06T11:03:17"/>
    <s v="Kissidougou"/>
    <s v="Commune urbaine"/>
    <s v="Individuel"/>
    <s v="Benjamin Mara"/>
    <n v="620121512"/>
    <n v="620121512"/>
    <s v="Fermesadou"/>
    <n v="8"/>
    <s v="Labour - uniquement"/>
    <n v="2"/>
    <s v="CK 90"/>
    <s v="CK 90"/>
    <s v="5 mois"/>
    <d v="2023-05-06T00:00:00"/>
    <s v="Massakondou"/>
    <s v="Mamady 2 Camara"/>
    <s v="Riz"/>
    <x v="1"/>
    <n v="2"/>
    <d v="2023-05-08T00:00:00"/>
    <x v="16"/>
    <s v="6KOU001T"/>
    <m/>
    <m/>
    <m/>
  </r>
  <r>
    <d v="2023-05-06T11:06:11"/>
    <s v="Kissidougou"/>
    <s v="Commune urbaine"/>
    <s v="Individuel"/>
    <s v="Frédéric CeCe Théa"/>
    <n v="621814547"/>
    <n v="621814547"/>
    <s v="Kissidougou Centre"/>
    <n v="1"/>
    <s v="Labour - uniquement"/>
    <n v="1"/>
    <s v="CK 90"/>
    <s v="CK 90"/>
    <s v="5 mois"/>
    <d v="2023-05-06T00:00:00"/>
    <s v="Niandan"/>
    <s v="Mamady 2 Camara"/>
    <s v="Riz"/>
    <x v="1"/>
    <n v="1"/>
    <d v="2023-05-08T00:00:00"/>
    <x v="16"/>
    <s v="6KOU007T"/>
    <m/>
    <m/>
    <m/>
  </r>
  <r>
    <d v="2023-05-06T12:35:31"/>
    <s v="Kankan"/>
    <s v="Bordeaux"/>
    <s v="Individuel"/>
    <s v="Mamoudou Magassouba"/>
    <n v="622666228"/>
    <n v="0"/>
    <s v="Kankan Centre"/>
    <n v="5"/>
    <s v="Labour - uniquement"/>
    <n v="1"/>
    <s v="Nelika"/>
    <s v="Variété locale"/>
    <s v="5 mois"/>
    <d v="2023-05-06T00:00:00"/>
    <s v="Petit producteur"/>
    <s v="Moussa Alamako Keita"/>
    <s v="Riz"/>
    <x v="1"/>
    <n v="1"/>
    <d v="2023-05-08T00:00:00"/>
    <x v="16"/>
    <s v="7KAN001T"/>
    <m/>
    <m/>
    <m/>
  </r>
  <r>
    <d v="2023-05-06T12:45:27"/>
    <s v="Kankan"/>
    <s v="Bordeaux"/>
    <s v="Individuel"/>
    <s v="Bakary condé"/>
    <n v="624171386"/>
    <n v="0"/>
    <s v="Sabadou-Baranama"/>
    <n v="50"/>
    <s v="Labour - uniquement"/>
    <n v="5"/>
    <s v="Nenken"/>
    <s v="Variété locale"/>
    <s v="3 mois"/>
    <d v="2023-05-07T00:00:00"/>
    <s v="Petit producteur"/>
    <s v="Moussa Alamako Keita"/>
    <s v="Riz"/>
    <x v="1"/>
    <n v="5"/>
    <d v="2023-05-08T00:00:00"/>
    <x v="16"/>
    <s v="7KAN004T"/>
    <m/>
    <m/>
    <m/>
  </r>
  <r>
    <d v="2023-05-06T13:25:26"/>
    <s v="Kankan"/>
    <s v="Bordeaux"/>
    <s v="Individuel"/>
    <s v="Woulaba condé"/>
    <n v="623878070"/>
    <n v="0"/>
    <s v="Koumban"/>
    <n v="45"/>
    <s v="Labour - uniquement"/>
    <n v="2"/>
    <s v="Chinois"/>
    <s v="Variété locale"/>
    <s v="6 mois"/>
    <d v="2023-05-06T00:00:00"/>
    <s v="Petit producteur"/>
    <s v="Moussa Alamako Keita"/>
    <s v="Riz"/>
    <x v="1"/>
    <n v="2"/>
    <d v="2023-05-08T00:00:00"/>
    <x v="16"/>
    <s v="7KAN003T"/>
    <m/>
    <m/>
    <m/>
  </r>
  <r>
    <d v="2023-05-06T13:35:08"/>
    <s v="Kissidougou"/>
    <s v="Commune urbaine"/>
    <s v="Individuel"/>
    <s v="Yafore mansare"/>
    <n v="622746772"/>
    <n v="622746772"/>
    <s v="Kissidougou Centre"/>
    <n v="1"/>
    <s v="Labour - uniquement"/>
    <n v="3"/>
    <s v="CK 90"/>
    <s v="CK 90"/>
    <s v="5 mois"/>
    <d v="2023-05-07T00:00:00"/>
    <s v="Limanya"/>
    <s v="Mamady 2 Camara"/>
    <s v="Riz"/>
    <x v="1"/>
    <n v="3"/>
    <d v="2023-05-08T00:00:00"/>
    <x v="16"/>
    <s v="6KOU007T"/>
    <m/>
    <m/>
    <m/>
  </r>
  <r>
    <d v="2023-05-07T11:27:01"/>
    <s v="Mamou"/>
    <s v="Petel Mamou"/>
    <s v="Individuel"/>
    <s v="Lamarana Diallo"/>
    <n v="628321586"/>
    <m/>
    <s v="Mamou Centre"/>
    <n v="7"/>
    <s v="Labour - uniquement"/>
    <n v="1"/>
    <s v="Kalya"/>
    <s v="Ck21"/>
    <s v="4 mois"/>
    <d v="2023-11-12T00:00:00"/>
    <s v="Tout commence bien"/>
    <s v="Mamadouba Camara"/>
    <s v="Riz"/>
    <x v="1"/>
    <n v="1"/>
    <d v="2023-05-09T00:00:00"/>
    <x v="16"/>
    <s v="4MOU002T"/>
    <m/>
    <m/>
    <m/>
  </r>
  <r>
    <d v="2023-05-07T11:33:05"/>
    <s v="Mamou"/>
    <s v="Petel Mamou"/>
    <s v="Individuel"/>
    <s v="Thierno Mamadou Aliou Barry"/>
    <n v="622024323"/>
    <m/>
    <s v="Kegneko"/>
    <n v="55"/>
    <s v="Labour - uniquement"/>
    <n v="10"/>
    <s v="Kalya"/>
    <s v="Ck21"/>
    <s v="4 mois"/>
    <d v="2023-11-13T00:00:00"/>
    <s v="Tout commence bien"/>
    <s v="Mamadouba Camara"/>
    <s v="Riz"/>
    <x v="1"/>
    <n v="6"/>
    <d v="2023-05-15T00:00:00"/>
    <x v="4"/>
    <s v="4MOU001T"/>
    <m/>
    <m/>
    <m/>
  </r>
  <r>
    <d v="2023-05-07T11:38:16"/>
    <s v="Mamou"/>
    <s v="Petel Mamou"/>
    <s v="Individuel"/>
    <s v="Alpha Oumar Barry"/>
    <n v="628728932"/>
    <m/>
    <s v="Kegneko"/>
    <n v="55"/>
    <s v="Labour - uniquement"/>
    <n v="5"/>
    <s v="Kalya"/>
    <s v="Ck21"/>
    <s v="4 mois"/>
    <d v="2023-11-15T00:00:00"/>
    <s v="Tout commence bien"/>
    <s v="Mamadouba Camara"/>
    <s v="Riz"/>
    <x v="1"/>
    <n v="5"/>
    <d v="2023-05-15T00:00:00"/>
    <x v="4"/>
    <s v="4MOU001T"/>
    <m/>
    <m/>
    <m/>
  </r>
  <r>
    <d v="2023-05-07T11:43:11"/>
    <s v="Mamou"/>
    <s v="Petel Mamou"/>
    <s v="Individuel"/>
    <s v="Thierno Abdoulaye Barry"/>
    <n v="621885037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</r>
  <r>
    <d v="2023-05-07T11:47:08"/>
    <s v="Mamou"/>
    <s v="Petel Mamou"/>
    <s v="Individuel"/>
    <s v="Mamadou Kana Diallo"/>
    <n v="611183643"/>
    <m/>
    <s v="Kegneko"/>
    <n v="55"/>
    <s v="Labour - uniquement"/>
    <n v="3"/>
    <s v="Kalya"/>
    <s v="Ck21"/>
    <s v="4 mois"/>
    <d v="2023-11-20T00:00:00"/>
    <s v="Tout commence bien"/>
    <s v="Mamadouba Camara"/>
    <s v="Riz"/>
    <x v="1"/>
    <n v="3"/>
    <d v="2023-05-15T00:00:00"/>
    <x v="4"/>
    <s v="4MOU001T"/>
    <m/>
    <m/>
    <m/>
  </r>
  <r>
    <d v="2023-05-07T11:53:24"/>
    <s v="Mamou"/>
    <s v="Petel Mamou"/>
    <s v="Individuel"/>
    <s v="ELH Amadou Oury Diallo"/>
    <n v="622212863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</r>
  <r>
    <d v="2023-05-07T11:57:10"/>
    <s v="Mamou"/>
    <s v="Petel Mamou"/>
    <s v="Individuel"/>
    <s v="Amadou Sadjo Diallo"/>
    <n v="622121325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</r>
  <r>
    <d v="2023-05-07T12:01:40"/>
    <s v="Mamou"/>
    <s v="Petel Mamou"/>
    <s v="Individuel"/>
    <s v="Alpha Boubacar Diallo"/>
    <n v="620041041"/>
    <m/>
    <s v="Kegneko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7T12:04:57"/>
    <s v="Mamou"/>
    <s v="Petel"/>
    <s v="Individuel"/>
    <s v="ELH Oumar Barry"/>
    <n v="622272148"/>
    <m/>
    <s v="Kegneko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</r>
  <r>
    <d v="2023-05-07T12:08:48"/>
    <s v="Mamou"/>
    <s v="Petel Mamou"/>
    <s v="Individuel"/>
    <s v="Elh Mamadou Diallo"/>
    <n v="628012595"/>
    <m/>
    <s v="Kegneko"/>
    <n v="55"/>
    <s v="Labour - uniquement"/>
    <n v="2"/>
    <s v="Kalya"/>
    <s v="Ck21"/>
    <s v="4 mois"/>
    <d v="2023-11-20T00:00:00"/>
    <s v="Tout commence bien"/>
    <s v="Mamadouba Camara"/>
    <s v="Riz"/>
    <x v="0"/>
    <m/>
    <m/>
    <x v="0"/>
    <m/>
    <m/>
    <m/>
    <m/>
  </r>
  <r>
    <d v="2023-05-07T12:09:52"/>
    <s v="Dabola"/>
    <s v="Foundeng 1"/>
    <s v="Individuel"/>
    <s v="Thierno kourouma"/>
    <n v="622281242"/>
    <m/>
    <s v="Dabola Centre"/>
    <n v="6"/>
    <s v="Labour - uniquement"/>
    <n v="2"/>
    <s v="Chinois"/>
    <s v="Chinois"/>
    <s v="3 mois"/>
    <d v="2023-06-04T00:00:00"/>
    <m/>
    <s v="Souleymane Kanté"/>
    <s v="Riz"/>
    <x v="0"/>
    <m/>
    <m/>
    <x v="0"/>
    <s v="8BLLA005T"/>
    <m/>
    <m/>
    <m/>
  </r>
  <r>
    <d v="2023-05-07T12:13:07"/>
    <s v="Mamou"/>
    <s v="Petel Mamou"/>
    <s v="Individuel"/>
    <s v="Thierno Mouctar Barry"/>
    <n v="627845268"/>
    <m/>
    <s v="Kegneko"/>
    <n v="55"/>
    <s v="Labour - uniquement"/>
    <n v="1"/>
    <s v="Kalya"/>
    <s v="Ck21"/>
    <s v="4 mois"/>
    <d v="2023-11-20T00:00:00"/>
    <s v="Tout commence bien"/>
    <s v="Mamadouba Camara"/>
    <s v="Riz"/>
    <x v="0"/>
    <m/>
    <m/>
    <x v="0"/>
    <m/>
    <m/>
    <m/>
    <m/>
  </r>
  <r>
    <d v="2023-05-07T12:17:34"/>
    <s v="Mamou"/>
    <s v="Petel Mamou"/>
    <s v="Individuel"/>
    <s v="Alphadjo Barry"/>
    <n v="628706991"/>
    <m/>
    <s v="Kegneko"/>
    <n v="55"/>
    <s v="Labour - uniquement"/>
    <n v="1"/>
    <s v="Kalya"/>
    <s v="Ck21"/>
    <s v="4 mois"/>
    <d v="2023-11-20T00:00:00"/>
    <s v="Tout commence bien"/>
    <s v="Mamadouba Camara"/>
    <s v="Riz"/>
    <x v="0"/>
    <m/>
    <m/>
    <x v="0"/>
    <m/>
    <m/>
    <m/>
    <m/>
  </r>
  <r>
    <d v="2023-05-07T12:21:07"/>
    <s v="Mamou"/>
    <s v="Petel"/>
    <s v="Individuel"/>
    <s v="Thierno Mamadou Diallo"/>
    <n v="629992689"/>
    <m/>
    <s v="Kegneko"/>
    <n v="55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</r>
  <r>
    <d v="2023-05-07T12:25:02"/>
    <s v="Mamou"/>
    <s v="Petel"/>
    <s v="Individuel"/>
    <s v="Oumar Savané"/>
    <n v="628069365"/>
    <m/>
    <s v="Kegneko"/>
    <n v="55"/>
    <s v="Labour - uniquement"/>
    <n v="2"/>
    <s v="Kalya"/>
    <s v="Ck21"/>
    <s v="4 mois"/>
    <d v="2023-11-21T00:00:00"/>
    <s v="Tout commence bien"/>
    <s v="Mamadouba Camara"/>
    <s v="Riz"/>
    <x v="1"/>
    <n v="1"/>
    <d v="2023-05-23T00:00:00"/>
    <x v="18"/>
    <s v="4MOU002T"/>
    <m/>
    <m/>
    <m/>
  </r>
  <r>
    <d v="2023-05-07T13:49:28"/>
    <s v="Beyla"/>
    <s v="Beyla ville"/>
    <s v="Individuel"/>
    <s v="Abou Balladou"/>
    <n v="627389364"/>
    <m/>
    <s v="Diarraguerela"/>
    <n v="10"/>
    <s v="Labour - uniquement"/>
    <n v="10"/>
    <s v="Djoufini"/>
    <s v="Riz"/>
    <s v="5 mois"/>
    <d v="2023-05-08T00:00:00"/>
    <m/>
    <s v="Moussa Conde"/>
    <s v="Riz"/>
    <x v="1"/>
    <n v="10"/>
    <d v="2023-05-09T00:00:00"/>
    <x v="16"/>
    <s v="8BLA014T"/>
    <m/>
    <m/>
    <m/>
  </r>
  <r>
    <d v="2023-05-07T14:04:15"/>
    <s v="Beyla"/>
    <s v="Beyla centre"/>
    <s v="Individuel"/>
    <s v="Moussa Traore"/>
    <n v="620453004"/>
    <m/>
    <s v="Boola"/>
    <n v="15"/>
    <s v="Labour - uniquement"/>
    <n v="5"/>
    <s v="Malogbeni"/>
    <s v="Riz"/>
    <s v="5 mois"/>
    <d v="2023-05-08T00:00:00"/>
    <m/>
    <s v="Moussa Conde"/>
    <s v="Riz"/>
    <x v="1"/>
    <n v="5"/>
    <d v="2023-05-08T00:00:00"/>
    <x v="16"/>
    <s v="8BLA005T"/>
    <m/>
    <m/>
    <m/>
  </r>
  <r>
    <d v="2023-05-07T14:43:05"/>
    <s v="Kérouané"/>
    <s v="Centre"/>
    <s v="Individuel"/>
    <s v="Sidiky kourouma"/>
    <n v="620354092"/>
    <n v="620354092"/>
    <s v="Kérouane Centre"/>
    <n v="3"/>
    <s v="Labour - uniquement"/>
    <n v="2"/>
    <s v="Kaoulaka"/>
    <s v="Kaoulaka"/>
    <s v="5 mois"/>
    <d v="2023-05-09T00:00:00"/>
    <m/>
    <s v="Moussa Kadia Camara"/>
    <s v="Riz"/>
    <x v="1"/>
    <n v="2"/>
    <d v="2023-05-08T00:00:00"/>
    <x v="16"/>
    <s v="7MNA006T"/>
    <m/>
    <m/>
    <m/>
  </r>
  <r>
    <d v="2023-05-07T14:45:35"/>
    <s v="Kérouané"/>
    <s v="Centre"/>
    <s v="Individuel"/>
    <s v="Laye Soko Camara"/>
    <n v="628999205"/>
    <n v="628999205"/>
    <s v="Kérouane Centre"/>
    <n v="2"/>
    <s v="Labour - uniquement"/>
    <n v="1"/>
    <s v="Djoufini"/>
    <s v="Djoufini"/>
    <s v="6 mois"/>
    <d v="2023-05-09T00:00:00"/>
    <m/>
    <s v="Moussa Kadia Camara"/>
    <s v="Riz"/>
    <x v="1"/>
    <n v="1"/>
    <d v="2023-05-08T00:00:00"/>
    <x v="16"/>
    <s v="7MNA006T"/>
    <m/>
    <m/>
    <m/>
  </r>
  <r>
    <d v="2023-05-07T14:49:21"/>
    <s v="Kérouané"/>
    <s v="Centre"/>
    <s v="Individuel"/>
    <s v="Mamadi Traoré"/>
    <n v="622910884"/>
    <n v="622910884"/>
    <s v="Kérouane Centre"/>
    <n v="22"/>
    <s v="Labour - uniquement"/>
    <n v="15"/>
    <s v="Chinois"/>
    <s v="Chinois"/>
    <s v="9 mois"/>
    <d v="2023-05-10T00:00:00"/>
    <m/>
    <s v="Moussa Kadia Camara"/>
    <s v="Riz"/>
    <x v="1"/>
    <n v="15"/>
    <d v="2023-05-08T00:00:00"/>
    <x v="16"/>
    <s v="7KNE002T"/>
    <m/>
    <m/>
    <m/>
  </r>
  <r>
    <d v="2023-05-07T14:53:03"/>
    <s v="Kérouané"/>
    <s v="Centre"/>
    <s v="Individuel"/>
    <s v="Kaba Sangaré"/>
    <n v="628701511"/>
    <n v="628701511"/>
    <s v="Kérouane Centre"/>
    <n v="3"/>
    <s v="Déchaumage"/>
    <n v="2"/>
    <s v="Samory"/>
    <s v="Samory"/>
    <s v="5 mois"/>
    <d v="2023-05-09T00:00:00"/>
    <m/>
    <s v="Moussa Kadia Camara"/>
    <s v="Riz"/>
    <x v="1"/>
    <n v="2"/>
    <d v="2023-05-08T00:00:00"/>
    <x v="16"/>
    <s v="7KNE001T"/>
    <m/>
    <m/>
    <m/>
  </r>
  <r>
    <d v="2023-05-07T14:55:43"/>
    <s v="Kérouané"/>
    <s v="Centre"/>
    <s v="Individuel"/>
    <s v="Karim Camara"/>
    <n v="620206275"/>
    <n v="620206275"/>
    <s v="Kérouane Centre"/>
    <n v="12"/>
    <s v="Labour - uniquement"/>
    <n v="4"/>
    <s v="Sanbadji"/>
    <s v="Sanbadji"/>
    <s v="6 mois"/>
    <d v="2023-05-10T00:00:00"/>
    <m/>
    <s v="Moussa Kadia Camara"/>
    <s v="Riz"/>
    <x v="1"/>
    <n v="4"/>
    <d v="2023-05-08T00:00:00"/>
    <x v="16"/>
    <s v="7KNE001T"/>
    <m/>
    <m/>
    <m/>
  </r>
  <r>
    <d v="2023-05-07T14:59:07"/>
    <s v="Kérouané"/>
    <s v="Centre"/>
    <s v="Individuel"/>
    <s v="Fara N'lonana Kamano"/>
    <n v="629131395"/>
    <n v="629131395"/>
    <s v="Kérouane Centre"/>
    <n v="13"/>
    <s v="Labour - uniquement"/>
    <n v="4"/>
    <s v="Dafini"/>
    <s v="Dafini"/>
    <s v="5 mois"/>
    <d v="2023-05-10T00:00:00"/>
    <m/>
    <s v="Moussa Kadia Camara"/>
    <s v="Riz"/>
    <x v="1"/>
    <n v="4"/>
    <d v="2023-05-08T00:00:00"/>
    <x v="16"/>
    <s v="7MNA007T"/>
    <m/>
    <m/>
    <m/>
  </r>
  <r>
    <d v="2023-05-07T15:05:05"/>
    <s v="Kérouané"/>
    <s v="Centre"/>
    <s v="Individuel"/>
    <s v="Lonceny Traoré"/>
    <n v="623400834"/>
    <n v="623400834"/>
    <s v="Kérouane Centre"/>
    <n v="13"/>
    <s v="Labour - uniquement"/>
    <n v="5"/>
    <s v="Sanbadji"/>
    <s v="Sanbadji"/>
    <s v="5 mois"/>
    <d v="2023-05-09T00:00:00"/>
    <m/>
    <s v="Moussa Kadia Camara"/>
    <s v="Riz"/>
    <x v="1"/>
    <n v="5"/>
    <d v="2023-05-08T00:00:00"/>
    <x v="16"/>
    <s v="7KNE001T"/>
    <m/>
    <m/>
    <m/>
  </r>
  <r>
    <d v="2023-05-07T15:07:43"/>
    <s v="Kérouané"/>
    <s v="Centre"/>
    <s v="Individuel"/>
    <s v="Sékou Doubate"/>
    <n v="620399163"/>
    <n v="620399163"/>
    <s v="Kérouane Centre"/>
    <n v="12"/>
    <s v="Déchaumage"/>
    <n v="1"/>
    <s v="Samory"/>
    <s v="Samory"/>
    <s v="5 mois"/>
    <d v="2023-05-08T00:00:00"/>
    <m/>
    <s v="Moussa Kadia Camara"/>
    <s v="Riz"/>
    <x v="1"/>
    <n v="1"/>
    <d v="2023-05-08T00:00:00"/>
    <x v="16"/>
    <s v="7KNE002T"/>
    <m/>
    <m/>
    <m/>
  </r>
  <r>
    <d v="2023-05-07T15:10:13"/>
    <s v="Kérouané"/>
    <s v="Centre"/>
    <s v="Individuel"/>
    <s v="Laye Camara"/>
    <n v="625558812"/>
    <n v="624558812"/>
    <s v="Kérouane Centre"/>
    <n v="2"/>
    <s v="Labour - uniquement"/>
    <n v="1"/>
    <s v="Sanbadji"/>
    <s v="Sanbadji"/>
    <s v="6 mois"/>
    <d v="2023-05-09T00:00:00"/>
    <m/>
    <s v="Moussa Kadia Camara"/>
    <s v="Riz"/>
    <x v="1"/>
    <n v="1"/>
    <d v="2023-05-08T00:00:00"/>
    <x v="16"/>
    <s v="7KNE002T"/>
    <m/>
    <m/>
    <m/>
  </r>
  <r>
    <d v="2023-05-07T15:13:19"/>
    <s v="Kérouané"/>
    <s v="Centre"/>
    <s v="Individuel"/>
    <s v="Ousoumane Mara"/>
    <n v="612662729"/>
    <n v="612662729"/>
    <s v="Kérouane Centre"/>
    <n v="23"/>
    <s v="Labour - uniquement"/>
    <n v="5"/>
    <s v="Samory, Djoufini"/>
    <s v="Samory Djoufini"/>
    <s v="6 mois"/>
    <d v="2023-05-10T00:00:00"/>
    <m/>
    <s v="Moussa Kadia Camara"/>
    <s v="Riz"/>
    <x v="1"/>
    <n v="5"/>
    <d v="2023-05-08T00:00:00"/>
    <x v="16"/>
    <s v="7KNE001T"/>
    <m/>
    <m/>
    <m/>
  </r>
  <r>
    <d v="2023-05-07T15:16:38"/>
    <s v="Kérouané"/>
    <s v="Centre"/>
    <s v="Individuel"/>
    <s v="Mamadi Camara"/>
    <n v="620662729"/>
    <n v="620662729"/>
    <s v="Kérouane Centre"/>
    <n v="12"/>
    <s v="Labour - uniquement"/>
    <n v="2"/>
    <s v="Karosabany"/>
    <s v="Karosabany"/>
    <s v="3 mois"/>
    <d v="2023-05-10T00:00:00"/>
    <m/>
    <s v="Moussa Kadia Camara"/>
    <s v="Maïs"/>
    <x v="1"/>
    <n v="2"/>
    <d v="2023-05-08T00:00:00"/>
    <x v="16"/>
    <s v="7KNE007T"/>
    <m/>
    <m/>
    <m/>
  </r>
  <r>
    <d v="2023-05-07T18:11:06"/>
    <s v="Dabola"/>
    <s v="Foundeng 1"/>
    <s v="Individuel"/>
    <s v="Mohamed Sylla"/>
    <n v="621069779"/>
    <m/>
    <s v="Dabola Centre"/>
    <n v="5"/>
    <s v="Labour - uniquement"/>
    <n v="6"/>
    <s v="Mètre 6"/>
    <s v="Mètre 6"/>
    <s v="6 mois"/>
    <d v="2023-05-10T00:00:00"/>
    <m/>
    <s v="Souleymane Kanté"/>
    <s v="Riz"/>
    <x v="0"/>
    <m/>
    <m/>
    <x v="0"/>
    <m/>
    <m/>
    <m/>
    <m/>
  </r>
  <r>
    <d v="2023-05-07T18:25:18"/>
    <s v="Forécariah"/>
    <s v="Forecariah"/>
    <s v="Individuel"/>
    <s v="Alseny karamoko cissé"/>
    <n v="628172348"/>
    <m/>
    <s v="Farmoriah"/>
    <n v="45"/>
    <s v="Labour - uniquement"/>
    <n v="3"/>
    <s v="Ck-90"/>
    <s v="Ck-90"/>
    <s v="5 mois"/>
    <d v="2023-05-08T00:00:00"/>
    <m/>
    <s v="Diamouré keita"/>
    <s v="Riz"/>
    <x v="1"/>
    <n v="3"/>
    <d v="2023-05-08T00:00:00"/>
    <x v="16"/>
    <s v="2FAH004T"/>
    <m/>
    <m/>
    <m/>
  </r>
  <r>
    <d v="2023-05-07T18:52:16"/>
    <s v="Dabola"/>
    <s v="Foundeng 1"/>
    <s v="Individuel"/>
    <s v="Imourana Traore"/>
    <n v="626086113"/>
    <m/>
    <s v="Dabola Centre"/>
    <n v="10"/>
    <s v="Labour - uniquement"/>
    <n v="6"/>
    <s v="Ck90"/>
    <s v="Ck 90"/>
    <s v="4 mois"/>
    <d v="2023-05-14T00:00:00"/>
    <m/>
    <s v="Souleymane Kanté"/>
    <s v="Riz"/>
    <x v="1"/>
    <n v="2"/>
    <d v="2023-05-10T00:00:00"/>
    <x v="16"/>
    <s v="6DLA001T"/>
    <m/>
    <m/>
    <m/>
  </r>
  <r>
    <d v="2023-05-07T18:55:34"/>
    <s v="Dabola"/>
    <s v="Foundeng 1"/>
    <s v="Individuel"/>
    <s v="Alia soumah"/>
    <n v="622886278"/>
    <m/>
    <s v="N'Dema"/>
    <n v="45"/>
    <s v="Labour - uniquement"/>
    <n v="15"/>
    <s v="Ck90"/>
    <s v="Ck90"/>
    <s v="4 mois"/>
    <d v="2023-05-20T00:00:00"/>
    <m/>
    <s v="Souleymane Kanté"/>
    <s v="Riz"/>
    <x v="0"/>
    <m/>
    <m/>
    <x v="0"/>
    <m/>
    <m/>
    <m/>
    <m/>
  </r>
  <r>
    <d v="2023-05-08T10:11:22"/>
    <s v="Dabola"/>
    <s v="Foundeng 1"/>
    <s v="Individuel"/>
    <s v="Aboubacar Conde"/>
    <n v="624200806"/>
    <m/>
    <s v="Dabola Centre"/>
    <n v="2"/>
    <s v="Labour - uniquement"/>
    <n v="1"/>
    <s v="Ck90"/>
    <s v="Ck90"/>
    <s v="4 mois"/>
    <d v="2023-05-10T00:00:00"/>
    <m/>
    <s v="Souleymane Kanté"/>
    <s v="Riz"/>
    <x v="0"/>
    <m/>
    <m/>
    <x v="0"/>
    <m/>
    <m/>
    <m/>
    <m/>
  </r>
  <r>
    <d v="2023-05-08T10:42:13"/>
    <s v="Kouroussa"/>
    <s v="Wassabada"/>
    <s v="Individuel"/>
    <s v="Kassia Konaté"/>
    <n v="621764700"/>
    <m/>
    <s v="Kouroussa Centre"/>
    <n v="22"/>
    <s v="Labour - uniquement"/>
    <n v="8"/>
    <s v="Bagnain"/>
    <s v="Bagnain"/>
    <s v="4 mois"/>
    <d v="2023-05-18T00:00:00"/>
    <m/>
    <s v="Ibrahima Kalil Fofana"/>
    <s v="Riz"/>
    <x v="1"/>
    <n v="1"/>
    <d v="2023-05-12T00:00:00"/>
    <x v="16"/>
    <s v="7KSA006T"/>
    <m/>
    <m/>
    <m/>
  </r>
  <r>
    <d v="2023-05-08T10:46:44"/>
    <s v="Kouroussa"/>
    <s v="Wassabada"/>
    <s v="Individuel"/>
    <s v="Namory Camara"/>
    <n v="628026939"/>
    <m/>
    <s v="Kouroussa Centre"/>
    <n v="5"/>
    <s v="Labour - uniquement"/>
    <n v="1"/>
    <s v="Brema-malony"/>
    <s v="Brema-malony"/>
    <s v="4 mois"/>
    <d v="2023-05-18T00:00:00"/>
    <m/>
    <s v="Ibrahima Kalil Fofana"/>
    <s v="Riz"/>
    <x v="1"/>
    <n v="1"/>
    <d v="2023-05-12T00:00:00"/>
    <x v="16"/>
    <s v="7KSA006T"/>
    <m/>
    <m/>
    <m/>
  </r>
  <r>
    <d v="2023-05-08T10:49:51"/>
    <s v="Kouroussa"/>
    <s v="Wassabada"/>
    <s v="Individuel"/>
    <s v="Lanceï Keita"/>
    <n v="622187998"/>
    <m/>
    <s v="Kouroussa Centre"/>
    <n v="5"/>
    <s v="Labour - uniquement"/>
    <n v="2"/>
    <s v="Bagnain"/>
    <s v="Bagnain"/>
    <s v="4 mois"/>
    <d v="2023-05-18T00:00:00"/>
    <m/>
    <s v="Ibrahima Kalil Fofana"/>
    <s v="Riz"/>
    <x v="1"/>
    <n v="2"/>
    <d v="2023-05-12T00:00:00"/>
    <x v="16"/>
    <s v="7KSA006T"/>
    <m/>
    <m/>
    <m/>
  </r>
  <r>
    <d v="2023-05-08T10:52:52"/>
    <s v="Kouroussa"/>
    <s v="Wassabada"/>
    <s v="Individuel"/>
    <s v="Sékou Camara"/>
    <n v="620977396"/>
    <m/>
    <s v="Sanguiana"/>
    <n v="50"/>
    <s v="Labour - uniquement"/>
    <n v="6"/>
    <s v="CEKASOKA"/>
    <s v="CEKASOKA"/>
    <s v="4 mois"/>
    <d v="2023-05-18T00:00:00"/>
    <m/>
    <s v="Ibrahima Kalil Fofana"/>
    <s v="Riz"/>
    <x v="0"/>
    <m/>
    <m/>
    <x v="0"/>
    <m/>
    <m/>
    <m/>
    <m/>
  </r>
  <r>
    <d v="2023-05-08T10:56:18"/>
    <s v="Kouroussa"/>
    <s v="Wassabada"/>
    <s v="Individuel"/>
    <s v="Fodé 2 Camara"/>
    <n v="628279776"/>
    <m/>
    <s v="Kouroussa Centre"/>
    <n v="8"/>
    <s v="Labour - uniquement"/>
    <n v="13"/>
    <s v="Bagnain"/>
    <s v="Bagnain"/>
    <s v="4 mois"/>
    <d v="2023-05-22T00:00:00"/>
    <m/>
    <s v="Ibrahima Kalil Fofana"/>
    <s v="Riz"/>
    <x v="0"/>
    <m/>
    <m/>
    <x v="0"/>
    <m/>
    <m/>
    <m/>
    <m/>
  </r>
  <r>
    <d v="2023-05-08T10:59:52"/>
    <s v="Kouroussa"/>
    <s v="Wassabada"/>
    <s v="Collectif"/>
    <s v="Mamoudou watra"/>
    <n v="628411307"/>
    <m/>
    <s v="Sanguiana"/>
    <n v="58"/>
    <s v="Labour - uniquement"/>
    <n v="40"/>
    <s v="Toumbourouka"/>
    <s v="Toumbourouka"/>
    <s v="4 mois"/>
    <d v="2023-05-15T00:00:00"/>
    <m/>
    <s v="Ibrahima Kalil Fofana"/>
    <s v="Riz"/>
    <x v="0"/>
    <m/>
    <m/>
    <x v="0"/>
    <m/>
    <m/>
    <m/>
    <m/>
  </r>
  <r>
    <d v="2023-05-08T11:03:10"/>
    <s v="Kouroussa"/>
    <s v="Wassabada"/>
    <s v="Individuel"/>
    <s v="Sékou Fanta Keita"/>
    <n v="628597304"/>
    <m/>
    <s v="Kouroussa Centre"/>
    <n v="28"/>
    <s v="Labour - uniquement"/>
    <n v="5"/>
    <s v="Nankein"/>
    <s v="Nankein"/>
    <s v="3 mois"/>
    <d v="2023-06-10T00:00:00"/>
    <m/>
    <s v="Ibrahima Kalil Fofana"/>
    <s v="Riz"/>
    <x v="0"/>
    <m/>
    <m/>
    <x v="0"/>
    <m/>
    <m/>
    <m/>
    <m/>
  </r>
  <r>
    <d v="2023-05-08T11:08:36"/>
    <s v="Kouroussa"/>
    <s v="Wassabada"/>
    <s v="Collectif"/>
    <s v="Oumar Camara"/>
    <n v="628855982"/>
    <m/>
    <s v="Kouroussa Centre"/>
    <n v="6"/>
    <s v="Labour - uniquement"/>
    <n v="20"/>
    <s v="Djoukèmè"/>
    <s v="Djoukèmè"/>
    <s v="4 mois"/>
    <d v="2023-05-20T00:00:00"/>
    <m/>
    <s v="Ibrahima Kalil Fofana"/>
    <s v="Riz"/>
    <x v="0"/>
    <m/>
    <m/>
    <x v="0"/>
    <m/>
    <m/>
    <m/>
    <m/>
  </r>
  <r>
    <d v="2023-05-08T11:15:01"/>
    <s v="Kouroussa"/>
    <s v="Wassabada"/>
    <s v="Individuel"/>
    <s v="Daouda kourouma"/>
    <n v="621704756"/>
    <m/>
    <s v="Kouroussa Centre"/>
    <n v="6"/>
    <s v="Labour - uniquement"/>
    <n v="14"/>
    <s v="Soïta"/>
    <s v="Soïta"/>
    <s v="5 mois"/>
    <d v="2023-05-20T00:00:00"/>
    <m/>
    <s v="Ibrahima Kalil Fofana"/>
    <s v="Riz"/>
    <x v="0"/>
    <m/>
    <m/>
    <x v="0"/>
    <m/>
    <m/>
    <m/>
    <m/>
  </r>
  <r>
    <d v="2023-05-08T11:38:29"/>
    <s v="Guéckédou"/>
    <s v="Guéckédou"/>
    <s v="Individuel"/>
    <s v="Saâ Noël tolno"/>
    <n v="623216655"/>
    <n v="623216655"/>
    <s v="Nongoa"/>
    <n v="3"/>
    <s v="Labour - uniquement"/>
    <n v="3"/>
    <s v="Ck90"/>
    <s v="Ck90"/>
    <s v="4 mois"/>
    <d v="2023-05-08T00:00:00"/>
    <s v="OK"/>
    <s v="Lamine Condé"/>
    <s v="Riz"/>
    <x v="1"/>
    <n v="3"/>
    <d v="2023-05-08T00:00:00"/>
    <x v="16"/>
    <s v="8GOU001T"/>
    <m/>
    <m/>
    <m/>
  </r>
  <r>
    <d v="2023-05-08T12:08:03"/>
    <s v="Dubréka"/>
    <s v="Ouassou"/>
    <s v="Individuel"/>
    <s v="Aboubacar Soumah"/>
    <n v="628279428"/>
    <n v="628279428"/>
    <s v="Koba-Tatema"/>
    <n v="6"/>
    <s v="Labour - uniquement"/>
    <n v="2"/>
    <s v="Massaraka"/>
    <s v="Nereka"/>
    <s v="6 mois"/>
    <d v="2023-05-08T00:00:00"/>
    <s v="Accord"/>
    <s v="Kissi Camara"/>
    <s v="Riz"/>
    <x v="1"/>
    <n v="2"/>
    <d v="2023-05-09T00:00:00"/>
    <x v="16"/>
    <s v="2DKA001T"/>
    <m/>
    <m/>
    <m/>
  </r>
  <r>
    <d v="2023-05-08T12:10:43"/>
    <s v="Kérouané"/>
    <s v="Centre"/>
    <s v="Individuel"/>
    <s v="Sidiky Touré"/>
    <n v="623521622"/>
    <n v="623521622"/>
    <s v="Kérouane Centre"/>
    <n v="3"/>
    <s v="Labour - uniquement"/>
    <n v="2"/>
    <s v="Kaoulaka"/>
    <s v="Kaoulaka"/>
    <s v="5 mois"/>
    <d v="2023-05-09T00:00:00"/>
    <m/>
    <s v="Moussa Kadia Camara"/>
    <s v="Riz"/>
    <x v="1"/>
    <n v="2"/>
    <d v="2023-05-08T00:00:00"/>
    <x v="16"/>
    <s v="7KNE001T"/>
    <m/>
    <m/>
    <m/>
  </r>
  <r>
    <d v="2023-05-08T12:36:44"/>
    <s v="Nzérékoré"/>
    <s v="Kouanka centre"/>
    <s v="Individuel"/>
    <s v="Famo camara"/>
    <n v="622833959"/>
    <m/>
    <s v="Kouankan"/>
    <n v="4"/>
    <s v="Labour + Pulvérisation"/>
    <n v="3"/>
    <s v="CK90"/>
    <s v="riz"/>
    <s v="4 mois"/>
    <d v="2023-05-08T00:00:00"/>
    <m/>
    <s v="Mohamed Kone"/>
    <s v="Riz"/>
    <x v="1"/>
    <n v="3"/>
    <d v="2023-05-09T00:00:00"/>
    <x v="16"/>
    <s v="8NRE002T"/>
    <m/>
    <m/>
    <m/>
  </r>
  <r>
    <d v="2023-05-08T12:41:08"/>
    <s v="Nzérékoré"/>
    <s v="Kouankan centre"/>
    <s v="Individuel"/>
    <s v="Kassan sidiki"/>
    <n v="623833959"/>
    <m/>
    <s v="Kouankan"/>
    <n v="5"/>
    <s v="Labour - uniquement"/>
    <n v="3"/>
    <s v="Ck90"/>
    <s v="Riz"/>
    <s v="4 mois"/>
    <d v="2023-05-08T00:00:00"/>
    <m/>
    <s v="Mohamed Kone"/>
    <s v="Riz"/>
    <x v="1"/>
    <n v="3"/>
    <d v="2023-05-09T00:00:00"/>
    <x v="16"/>
    <s v="8NRE002T"/>
    <m/>
    <m/>
    <m/>
  </r>
  <r>
    <d v="2023-05-08T12:45:45"/>
    <s v="Nzérékoré"/>
    <s v="Kouanka"/>
    <s v="Individuel"/>
    <s v="Lonceny camara"/>
    <n v="628691529"/>
    <m/>
    <s v="Kouankan"/>
    <n v="3"/>
    <s v="Labour - uniquement"/>
    <n v="1"/>
    <s v="haricot rouge"/>
    <s v="haricot"/>
    <s v="3 mois"/>
    <d v="2023-05-07T00:00:00"/>
    <m/>
    <s v="Mohamed Kone"/>
    <s v="Haricot"/>
    <x v="1"/>
    <n v="1"/>
    <d v="2023-05-09T00:00:00"/>
    <x v="16"/>
    <s v="8NRE002T"/>
    <m/>
    <m/>
    <m/>
  </r>
  <r>
    <d v="2023-05-08T12:47:36"/>
    <s v="Kissidougou"/>
    <s v="Commune urbaine"/>
    <s v="Individuel"/>
    <s v="Lamine Kourouma"/>
    <n v="622315811"/>
    <n v="622315811"/>
    <s v="Gbangbadou"/>
    <n v="25"/>
    <s v="Labour - uniquement"/>
    <n v="10"/>
    <s v="CK 90"/>
    <s v="CK 90"/>
    <s v="5 mois"/>
    <d v="2023-05-08T00:00:00"/>
    <s v="Gbenikorou"/>
    <s v="Mamady 2 Camara"/>
    <s v="Riz"/>
    <x v="1"/>
    <n v="10"/>
    <d v="2023-05-08T00:00:00"/>
    <x v="16"/>
    <s v="6KOU007T"/>
    <m/>
    <m/>
    <m/>
  </r>
  <r>
    <d v="2023-05-08T13:04:04"/>
    <s v="Mandiana"/>
    <s v="Cours du bloc Administratif"/>
    <s v="Individuel"/>
    <s v="Sinè CONDÉ"/>
    <n v="622450474"/>
    <m/>
    <s v="Kiniéran"/>
    <n v="82"/>
    <s v="Labour + Pulvérisation"/>
    <n v="7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8T13:15:13"/>
    <s v="Mandiana"/>
    <s v="Cours du bloc Administratif"/>
    <s v="Individuel"/>
    <s v="Moussa KOULIBALY"/>
    <n v="628915770"/>
    <m/>
    <s v="Kiniéran"/>
    <n v="82"/>
    <s v="Labour + Pulvérisation"/>
    <n v="4"/>
    <s v="Nerica 19"/>
    <s v="Nerica"/>
    <s v="4 mois"/>
    <d v="2023-06-18T00:00:00"/>
    <s v="Aptes pour la mécanisation"/>
    <s v="Nounkè Doumbouya"/>
    <s v="Riz"/>
    <x v="0"/>
    <m/>
    <m/>
    <x v="0"/>
    <m/>
    <m/>
    <m/>
    <m/>
  </r>
  <r>
    <d v="2023-05-08T13:17:31"/>
    <s v="Mandiana"/>
    <s v="Cours du bloc Administratif"/>
    <s v="Individuel"/>
    <s v="Kidi Doumbouya"/>
    <n v="622881583"/>
    <m/>
    <s v="Kiniéran"/>
    <n v="77"/>
    <s v="Labour + Pulvérisation"/>
    <n v="6"/>
    <s v="Nerica 19"/>
    <s v="Nerica"/>
    <s v="4 mois"/>
    <d v="2023-06-29T00:00:00"/>
    <s v="Aptes à la mécanisation"/>
    <s v="Nounkè Doumbouya"/>
    <s v="Riz"/>
    <x v="0"/>
    <m/>
    <m/>
    <x v="0"/>
    <m/>
    <m/>
    <m/>
    <m/>
  </r>
  <r>
    <d v="2023-05-08T13:20:28"/>
    <s v="Mandiana"/>
    <s v="Cours du bloc Administratif"/>
    <s v="Collectif"/>
    <s v="Bourlaye Koulibaly"/>
    <n v="620838058"/>
    <m/>
    <s v="Kiniéran"/>
    <n v="91"/>
    <s v="Labour - uniquement"/>
    <n v="30"/>
    <s v="Sweta, Ck90"/>
    <s v="Ck"/>
    <s v="5 mois"/>
    <d v="2023-05-25T00:00:00"/>
    <s v="Aptes pour la mécanisation"/>
    <s v="Nounkè Doumbouya"/>
    <s v="Riz"/>
    <x v="0"/>
    <m/>
    <m/>
    <x v="0"/>
    <m/>
    <m/>
    <m/>
    <m/>
  </r>
  <r>
    <d v="2023-05-08T14:16:11"/>
    <s v="Kankan"/>
    <s v="Bordeaux"/>
    <s v="Individuel"/>
    <s v="Berema Traoré"/>
    <n v="628390161"/>
    <n v="0"/>
    <s v="Sabadou-Baranama"/>
    <n v="80"/>
    <s v="Labour - uniquement"/>
    <n v="4"/>
    <s v="Chinois"/>
    <s v="Variété locale"/>
    <s v="6 mois"/>
    <d v="2023-05-08T00:00:00"/>
    <s v="Petit producteur"/>
    <s v="Moussa Alamako Keita"/>
    <s v="Riz"/>
    <x v="1"/>
    <n v="2"/>
    <d v="2023-05-15T00:00:00"/>
    <x v="4"/>
    <s v="7KAN006T"/>
    <m/>
    <m/>
    <m/>
  </r>
  <r>
    <d v="2023-05-08T14:59:53"/>
    <s v="Kankan"/>
    <s v="Bordeaux"/>
    <s v="Collectif"/>
    <s v="Konkokele 2"/>
    <n v="628451165"/>
    <n v="0"/>
    <s v="Boula"/>
    <n v="185"/>
    <s v="Labour - uniquement"/>
    <n v="3"/>
    <s v="Samorikelet"/>
    <s v="Variété locale"/>
    <s v="3 mois"/>
    <d v="2023-05-12T00:00:00"/>
    <s v="Groupement"/>
    <s v="Moussa Alamako Keita"/>
    <s v="Riz"/>
    <x v="0"/>
    <m/>
    <m/>
    <x v="0"/>
    <m/>
    <m/>
    <m/>
    <m/>
  </r>
  <r>
    <d v="2023-05-08T15:02:23"/>
    <s v="Mandiana"/>
    <s v="Cours du bloc Administratif"/>
    <s v="Collectif"/>
    <s v="Tadymory KOULIBALY"/>
    <n v="623769003"/>
    <m/>
    <s v="Kiniéran"/>
    <n v="81"/>
    <s v="Labour + Pulvérisation"/>
    <n v="65"/>
    <s v="ADRAO, Nerica"/>
    <s v="Nerica"/>
    <s v="4 mois"/>
    <d v="2023-06-09T00:00:00"/>
    <s v="Aptes à la mécanisation"/>
    <s v="Nounkè Doumbouya"/>
    <s v="Riz"/>
    <x v="0"/>
    <m/>
    <m/>
    <x v="0"/>
    <m/>
    <m/>
    <m/>
    <m/>
  </r>
  <r>
    <d v="2023-05-08T15:04:56"/>
    <s v="Mandiana"/>
    <s v="Cours du bloc Administratif"/>
    <s v="Individuel"/>
    <s v="Moussa KOULIBALY"/>
    <n v="621176656"/>
    <m/>
    <s v="Kiniéran"/>
    <n v="76"/>
    <s v="Labour + Pulvérisation"/>
    <n v="12"/>
    <s v="Sweta"/>
    <s v="Ne connais pas"/>
    <s v="4 mois"/>
    <d v="2023-06-15T00:00:00"/>
    <s v="Aptes pour la mécanisation"/>
    <s v="Nounkè Doumbouya"/>
    <s v="Riz"/>
    <x v="0"/>
    <m/>
    <m/>
    <x v="0"/>
    <m/>
    <m/>
    <m/>
    <m/>
  </r>
  <r>
    <d v="2023-05-08T15:07:44"/>
    <s v="Mandiana"/>
    <s v="Cours du bloc Administratif"/>
    <s v="Individuel"/>
    <s v="Samou KOULIBALY"/>
    <n v="621050965"/>
    <m/>
    <s v="Kiniéran"/>
    <n v="81"/>
    <s v="Labour + Pulvérisation"/>
    <n v="12"/>
    <s v="Nerica 19"/>
    <s v="Nerica"/>
    <s v="4 mois"/>
    <d v="2023-06-25T00:00:00"/>
    <s v="Aptes pour la mécanisation"/>
    <s v="Nounkè Doumbouya"/>
    <s v="Riz"/>
    <x v="0"/>
    <m/>
    <m/>
    <x v="0"/>
    <m/>
    <m/>
    <m/>
    <m/>
  </r>
  <r>
    <d v="2023-05-08T15:10:27"/>
    <s v="Mandiana"/>
    <s v="Cours du bloc Administratif"/>
    <s v="Individuel"/>
    <s v="Zoumana Oulen Diakité"/>
    <n v="622625760"/>
    <m/>
    <s v="Kiniéran"/>
    <n v="81"/>
    <s v="Labour + Pulvérisation"/>
    <n v="11"/>
    <s v="Tchokotchoko"/>
    <s v="Ne connais pas"/>
    <s v="5 mois"/>
    <d v="2023-06-01T00:00:00"/>
    <s v="Aptes pour la mécanisation"/>
    <s v="Nounkè Doumbouya"/>
    <s v="Riz"/>
    <x v="0"/>
    <m/>
    <m/>
    <x v="0"/>
    <m/>
    <m/>
    <m/>
    <m/>
  </r>
  <r>
    <d v="2023-05-08T15:40:25"/>
    <s v="Mandiana"/>
    <s v="Cours du bloc Administratif"/>
    <s v="Collectif"/>
    <s v="Ciné Diallo"/>
    <n v="628869695"/>
    <m/>
    <s v="Dialakoro"/>
    <n v="135"/>
    <s v="Labour - uniquement"/>
    <n v="175"/>
    <s v="Dadoumani malo, nenken"/>
    <s v="Ne connais pas"/>
    <s v="4 mois"/>
    <d v="2023-06-30T00:00:00"/>
    <s v="Aptes pour la mécanisation"/>
    <s v="Nounkè Doumbouya"/>
    <s v="Riz"/>
    <x v="0"/>
    <m/>
    <m/>
    <x v="0"/>
    <m/>
    <m/>
    <m/>
    <m/>
  </r>
  <r>
    <d v="2023-05-08T15:56:49"/>
    <s v="Mandiana"/>
    <s v="Cours du bloc Administratif"/>
    <s v="Collectif"/>
    <s v="Moussa KOULIBALY"/>
    <n v="628002236"/>
    <m/>
    <s v="Dialakoro"/>
    <n v="142"/>
    <s v="Labour + Pulvérisation"/>
    <n v="42"/>
    <s v="Nerica 19"/>
    <s v="Nerica"/>
    <s v="4 mois"/>
    <d v="2023-06-15T00:00:00"/>
    <s v="Aptes pour la mécanisation"/>
    <s v="Nounkè Doumbouya"/>
    <s v="Riz"/>
    <x v="0"/>
    <m/>
    <m/>
    <x v="0"/>
    <m/>
    <m/>
    <m/>
    <m/>
  </r>
  <r>
    <d v="2023-05-08T15:59:50"/>
    <s v="Mandiana"/>
    <s v="Cours du bloc Administratif"/>
    <s v="Collectif"/>
    <s v="Siaka SOUMAORO"/>
    <n v="625599201"/>
    <m/>
    <s v="Dialakoro"/>
    <n v="129"/>
    <s v="Labour + Pulvérisation"/>
    <n v="142"/>
    <s v="Nerica 19 et 4"/>
    <s v="Nerica"/>
    <s v="4 mois"/>
    <d v="2023-06-30T00:00:00"/>
    <s v="Aptes pour la mécanisation"/>
    <s v="Nounkè Doumbouya"/>
    <s v="Riz"/>
    <x v="0"/>
    <m/>
    <m/>
    <x v="0"/>
    <m/>
    <m/>
    <m/>
    <m/>
  </r>
  <r>
    <d v="2023-05-08T16:02:42"/>
    <s v="Mandiana"/>
    <s v="Cours du bloc Administratif"/>
    <s v="Collectif"/>
    <s v="Moussa CAMARA"/>
    <n v="628065705"/>
    <m/>
    <s v="Dialakoro"/>
    <n v="129"/>
    <s v="Labour + Pulvérisation"/>
    <n v="108"/>
    <s v="Dadoumani malo, sweta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8T16:12:59"/>
    <s v="Mandiana"/>
    <s v="Cours du bloc Administratif"/>
    <s v="Collectif"/>
    <s v="Moussa CAMARA"/>
    <n v="621397695"/>
    <m/>
    <s v="Dialakoro"/>
    <n v="132"/>
    <s v="Labour + Pulvérisation"/>
    <n v="80"/>
    <s v="Nerica 19 , Ck90"/>
    <s v="Ck"/>
    <s v="5 mois"/>
    <d v="2023-05-28T00:00:00"/>
    <s v="Aptes pour la mécanisation"/>
    <s v="Nounkè Doumbouya"/>
    <s v="Riz"/>
    <x v="0"/>
    <m/>
    <m/>
    <x v="0"/>
    <m/>
    <m/>
    <m/>
    <m/>
  </r>
  <r>
    <d v="2023-05-08T16:17:08"/>
    <s v="Mandiana"/>
    <s v="Cours du bloc Administratif"/>
    <s v="Collectif"/>
    <s v="Sidiki Keïta"/>
    <n v="622349493"/>
    <m/>
    <s v="Dialakoro"/>
    <n v="122"/>
    <s v="Labour + Pulvérisation"/>
    <n v="45"/>
    <s v="Nerica 19"/>
    <s v="Nerica"/>
    <s v="4 mois"/>
    <d v="2023-06-30T00:00:00"/>
    <s v="Aptes pour la mécanisation"/>
    <s v="Nounkè Doumbouya"/>
    <s v="Riz"/>
    <x v="0"/>
    <m/>
    <m/>
    <x v="0"/>
    <m/>
    <m/>
    <m/>
    <m/>
  </r>
  <r>
    <d v="2023-05-08T16:55:48"/>
    <s v="Guéckédou"/>
    <s v="Guéckédou"/>
    <s v="Individuel"/>
    <s v="Augustin Faya kantambadouno"/>
    <n v="628987227"/>
    <n v="628987227"/>
    <s v="Nongoa"/>
    <n v="27"/>
    <s v="Labour - uniquement"/>
    <n v="4"/>
    <s v="Ck90"/>
    <s v="Ck90"/>
    <s v="4 mois"/>
    <d v="2023-04-29T00:00:00"/>
    <s v="Ok"/>
    <s v="Lamine Condé"/>
    <s v="Riz"/>
    <x v="1"/>
    <n v="4"/>
    <d v="2023-05-08T00:00:00"/>
    <x v="16"/>
    <s v="8GOU001T"/>
    <m/>
    <m/>
    <m/>
  </r>
  <r>
    <d v="2023-05-08T17:06:03"/>
    <s v="Dabola"/>
    <s v="Foundeng 1"/>
    <s v="Individuel"/>
    <s v="Mamadi Kaba"/>
    <n v="623857302"/>
    <m/>
    <s v="Dabola Centre"/>
    <n v="3"/>
    <s v="Labour - uniquement"/>
    <n v="1"/>
    <s v="Kaniye"/>
    <s v="Kaniye"/>
    <s v="4 mois"/>
    <d v="2023-05-13T00:00:00"/>
    <m/>
    <s v="Souleymane Kanté"/>
    <s v="Riz"/>
    <x v="0"/>
    <m/>
    <m/>
    <x v="0"/>
    <m/>
    <m/>
    <m/>
    <m/>
  </r>
  <r>
    <d v="2023-05-09T09:48:20"/>
    <s v="Guéckédou"/>
    <s v="Guéckédou centre"/>
    <s v="Individuel"/>
    <s v="Augustin Faya kantambadouno"/>
    <n v="628987227"/>
    <n v="628987227"/>
    <s v="Nongoa"/>
    <n v="27"/>
    <s v="Labour - uniquement"/>
    <n v="4"/>
    <s v="Ck90"/>
    <s v="Ck90"/>
    <s v="4 mois"/>
    <d v="2023-04-29T00:00:00"/>
    <s v="OK"/>
    <s v="Lamine Condé"/>
    <s v="Riz"/>
    <x v="0"/>
    <m/>
    <m/>
    <x v="0"/>
    <m/>
    <m/>
    <m/>
    <m/>
  </r>
  <r>
    <d v="2023-05-09T11:47:56"/>
    <s v="Coyah"/>
    <s v="Maneah"/>
    <s v="Individuel"/>
    <s v="Issagha kaba"/>
    <n v="612211215"/>
    <m/>
    <s v="Wonkifong"/>
    <n v="35"/>
    <s v="Labour - uniquement"/>
    <n v="25"/>
    <s v="Sédouya( kakossa )"/>
    <s v="Oriza sativa"/>
    <s v="4 mois"/>
    <s v="12/05/0202"/>
    <s v="Respect de calendrier agricol"/>
    <s v="Ousmane Tangaly Balde"/>
    <s v="Maïs"/>
    <x v="1"/>
    <n v="5"/>
    <d v="2023-05-23T00:00:00"/>
    <x v="18"/>
    <s v="2CAH001T"/>
    <m/>
    <m/>
    <m/>
  </r>
  <r>
    <d v="2023-05-09T11:48:09"/>
    <s v="Siguiri"/>
    <s v="Siguiri"/>
    <s v="Individuel"/>
    <s v="Abou KOULIBALY"/>
    <n v="622530068"/>
    <m/>
    <s v="Siguiri Centre"/>
    <n v="3"/>
    <s v="Labour - uniquement"/>
    <n v="2"/>
    <s v="Maïs coton"/>
    <s v="Maïs coton"/>
    <s v="3 mois"/>
    <d v="2023-05-09T00:00:00"/>
    <m/>
    <s v="Nanamoudou ll Magassouba"/>
    <s v="Maïs"/>
    <x v="1"/>
    <n v="2"/>
    <d v="2023-05-09T00:00:00"/>
    <x v="16"/>
    <s v="7SRI006T"/>
    <m/>
    <m/>
    <m/>
  </r>
  <r>
    <d v="2023-05-09T12:02:26"/>
    <s v="Coyah"/>
    <s v="Maneah"/>
    <s v="Individuel"/>
    <s v="Cheik Ahmed fadiga"/>
    <n v="623808267"/>
    <m/>
    <s v="Wonkifong"/>
    <n v="42"/>
    <s v="Labour - uniquement"/>
    <n v="6"/>
    <s v="Varieté amelioré ck 90"/>
    <s v="Oriza glaberima"/>
    <s v="4 mois"/>
    <d v="2023-05-11T00:00:00"/>
    <s v="Respect du calendrier agricol par rapport au montant versé"/>
    <s v="Ousmane Tangaly Balde"/>
    <s v="Riz"/>
    <x v="1"/>
    <n v="4"/>
    <d v="2023-05-09T00:00:00"/>
    <x v="16"/>
    <s v="2CAH001T"/>
    <m/>
    <m/>
    <m/>
  </r>
  <r>
    <d v="2023-05-09T12:34:45"/>
    <s v="Macenta"/>
    <s v="Direction préfectorale de l'agriculture et de l'élevage de macenta"/>
    <s v="Collectif"/>
    <m/>
    <n v="622222621"/>
    <m/>
    <s v="Kouankan"/>
    <n v="90"/>
    <s v="Labour - uniquement"/>
    <n v="5"/>
    <s v="Chinoiba"/>
    <s v="Oriza sativa"/>
    <s v="5 mois"/>
    <d v="2023-05-16T00:00:00"/>
    <s v="Pas"/>
    <s v="Alexandre Kpoghomou"/>
    <s v="Riz"/>
    <x v="1"/>
    <n v="5"/>
    <d v="2023-05-09T00:00:00"/>
    <x v="16"/>
    <s v="8MTA003T"/>
    <m/>
    <m/>
    <m/>
  </r>
  <r>
    <d v="2023-05-09T12:36:28"/>
    <s v="Faranah"/>
    <s v="Aviation"/>
    <s v="Individuel"/>
    <s v="Mamadi cissé"/>
    <n v="629349941"/>
    <m/>
    <s v="Songoyah"/>
    <n v="35"/>
    <s v="Labour - uniquement"/>
    <n v="2"/>
    <s v="Sayon soumah"/>
    <s v="Sayon soumah"/>
    <s v="5 mois"/>
    <d v="2023-05-10T00:00:00"/>
    <s v="Manque de pulveriseur"/>
    <s v="Mohamed Fanta kourouma"/>
    <s v="Riz"/>
    <x v="1"/>
    <n v="2"/>
    <d v="2023-05-10T00:00:00"/>
    <x v="16"/>
    <s v="6FAH005T"/>
    <m/>
    <m/>
    <m/>
  </r>
  <r>
    <d v="2023-05-09T12:38:09"/>
    <s v="Mamou"/>
    <s v="Petel Mamou"/>
    <s v="Individuel"/>
    <s v="Mamadou bailo Diallo"/>
    <n v="622105151"/>
    <m/>
    <s v="Kegneko"/>
    <n v="66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</r>
  <r>
    <d v="2023-05-09T12:40:04"/>
    <s v="Mandiana"/>
    <s v="Cours du bloc Administratif"/>
    <s v="Collectif"/>
    <s v="Modibo Keïta"/>
    <n v="624659122"/>
    <m/>
    <s v="Dialakoro"/>
    <n v="142"/>
    <s v="Labour + Pulvérisation"/>
    <n v="23"/>
    <s v="Dadoumani malo"/>
    <s v="Ne connais pas"/>
    <s v="4 mois"/>
    <d v="2023-06-25T00:00:00"/>
    <s v="Aptes"/>
    <s v="Nounkè Doumbouya"/>
    <s v="Riz"/>
    <x v="0"/>
    <m/>
    <m/>
    <x v="0"/>
    <m/>
    <m/>
    <m/>
    <m/>
  </r>
  <r>
    <d v="2023-05-09T12:41:12"/>
    <s v="Mamou"/>
    <s v="Petel Mamou"/>
    <s v="Individuel"/>
    <s v="Mamadou Sidibé"/>
    <n v="628690163"/>
    <m/>
    <s v="Kegneko"/>
    <n v="55"/>
    <s v="Labour - uniquement"/>
    <n v="2"/>
    <s v="Kalya"/>
    <s v="Ck21"/>
    <s v="4 mois"/>
    <d v="2023-11-21T00:00:00"/>
    <s v="Tout commence bien"/>
    <s v="Mamadouba Camara"/>
    <s v="Riz"/>
    <x v="0"/>
    <m/>
    <m/>
    <x v="0"/>
    <m/>
    <m/>
    <m/>
    <m/>
  </r>
  <r>
    <d v="2023-05-09T12:44:51"/>
    <s v="Mamou"/>
    <s v="Petel Mamou"/>
    <s v="Individuel"/>
    <s v="ElhMamadou Diallo"/>
    <n v="628019595"/>
    <m/>
    <s v="Kegneko"/>
    <n v="55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</r>
  <r>
    <d v="2023-05-09T12:46:36"/>
    <s v="Mandiana"/>
    <s v="Cours du bloc Administratif"/>
    <s v="Collectif"/>
    <s v="Daba KEÏTA"/>
    <n v="624326467"/>
    <m/>
    <s v="Dialakoro"/>
    <n v="105"/>
    <s v="Labour + Pulvérisation"/>
    <n v="50"/>
    <s v="Nerica 19"/>
    <s v="Nerica"/>
    <s v="4 mois"/>
    <d v="2023-05-28T00:00:00"/>
    <s v="Aptes à la mécanisation"/>
    <s v="Nounkè Doumbouya"/>
    <s v="Riz"/>
    <x v="0"/>
    <m/>
    <m/>
    <x v="0"/>
    <m/>
    <m/>
    <m/>
    <m/>
  </r>
  <r>
    <d v="2023-05-09T12:49:35"/>
    <s v="Mandiana"/>
    <s v="Cours du bloc Administratif"/>
    <s v="Collectif"/>
    <s v="Satigui SANGARÉ"/>
    <n v="622781730"/>
    <m/>
    <s v="Dialakoro"/>
    <n v="150"/>
    <s v="Labour + Pulvérisation"/>
    <n v="35"/>
    <s v="Tchokotchoko, nenken"/>
    <s v="Ne connais pas"/>
    <s v="5 mois"/>
    <d v="2023-05-25T00:00:00"/>
    <s v="Aptes pour la mécanisation"/>
    <s v="Nounkè Doumbouya"/>
    <s v="Riz"/>
    <x v="0"/>
    <m/>
    <m/>
    <x v="0"/>
    <m/>
    <m/>
    <m/>
    <m/>
  </r>
  <r>
    <d v="2023-05-09T12:52:44"/>
    <s v="Mandiana"/>
    <s v="Cours du bloc Administratif"/>
    <s v="Collectif"/>
    <s v="Adama SOUMAORO"/>
    <n v="621443479"/>
    <m/>
    <s v="Dialakoro"/>
    <n v="133"/>
    <s v="Labour - uniquement"/>
    <n v="34"/>
    <s v="Ck90, Nerica"/>
    <s v="Nerica"/>
    <s v="5 mois"/>
    <d v="2023-06-02T00:00:00"/>
    <s v="Aptes à la mécanisation"/>
    <s v="Nounkè Doumbouya"/>
    <s v="Riz"/>
    <x v="0"/>
    <m/>
    <m/>
    <x v="0"/>
    <m/>
    <m/>
    <m/>
    <m/>
  </r>
  <r>
    <d v="2023-05-09T12:55:11"/>
    <s v="Mandiana"/>
    <s v="Cours du bloc Administratif"/>
    <s v="Collectif"/>
    <s v="Bourley KEÏTA"/>
    <n v="628676670"/>
    <m/>
    <s v="Dialakoro"/>
    <n v="136"/>
    <s v="Labour + Pulvérisation"/>
    <n v="55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</r>
  <r>
    <d v="2023-05-09T12:57:48"/>
    <s v="Mandiana"/>
    <s v="Cours du bloc Administratif"/>
    <s v="Individuel"/>
    <s v="Nouhan KANTÉ"/>
    <n v="621460025"/>
    <m/>
    <s v="Dialakoro"/>
    <n v="134"/>
    <s v="Labour + Pulvérisation"/>
    <n v="26"/>
    <s v="Dadoumani malo"/>
    <s v="Ne connais pas"/>
    <s v="4 mois"/>
    <d v="2023-06-04T00:00:00"/>
    <s v="Aptes pour la mécanisation"/>
    <s v="Nounkè Doumbouya"/>
    <s v="Riz"/>
    <x v="0"/>
    <m/>
    <m/>
    <x v="0"/>
    <m/>
    <m/>
    <m/>
    <m/>
  </r>
  <r>
    <d v="2023-05-09T12:59:44"/>
    <s v="Faranah"/>
    <s v="Aviation"/>
    <s v="Individuel"/>
    <s v="Yakouba condé"/>
    <n v="623938171"/>
    <m/>
    <s v="Banfélé"/>
    <n v="150"/>
    <s v="Labour - uniquement"/>
    <n v="15"/>
    <s v="Mettre 6"/>
    <s v="Mettre 6"/>
    <s v="6 mois"/>
    <d v="2023-05-10T00:00:00"/>
    <m/>
    <s v="Mohamed Fanta kourouma"/>
    <s v="Riz"/>
    <x v="1"/>
    <n v="15"/>
    <d v="2023-05-09T00:00:00"/>
    <x v="16"/>
    <s v="6FAH008T"/>
    <m/>
    <m/>
    <m/>
  </r>
  <r>
    <d v="2023-05-09T13:00:32"/>
    <s v="Mandiana"/>
    <s v="Cours du bloc Administratif"/>
    <s v="Collectif"/>
    <s v="Yaya Keïta"/>
    <n v="626679485"/>
    <m/>
    <s v="Dialakoro"/>
    <n v="143"/>
    <s v="Labour + Pulvérisation"/>
    <n v="115"/>
    <s v="52, nenken, Nerica"/>
    <s v="Nerica"/>
    <s v="5 mois"/>
    <d v="2023-05-26T00:00:00"/>
    <s v="Aptes pour la mécanisation"/>
    <s v="Nounkè Doumbouya"/>
    <s v="Riz"/>
    <x v="0"/>
    <m/>
    <m/>
    <x v="0"/>
    <m/>
    <m/>
    <m/>
    <m/>
  </r>
  <r>
    <d v="2023-05-09T13:08:44"/>
    <s v="Coyah"/>
    <s v="Maneah"/>
    <s v="Individuel"/>
    <s v="Abdoulaye Soumah"/>
    <n v="657812838"/>
    <m/>
    <s v="Kouriya"/>
    <n v="19"/>
    <s v="Labour - uniquement"/>
    <n v="1"/>
    <s v="Seydoua"/>
    <s v="Oriza sativa"/>
    <s v="4 mois"/>
    <d v="2023-05-15T00:00:00"/>
    <m/>
    <s v="Ousmane Tangaly Balde"/>
    <s v="Riz"/>
    <x v="1"/>
    <n v="2"/>
    <d v="2023-05-09T00:00:00"/>
    <x v="16"/>
    <s v="2CAH001T"/>
    <m/>
    <m/>
    <m/>
  </r>
  <r>
    <d v="2023-05-09T13:14:38"/>
    <s v="Mandiana"/>
    <s v="Cours du bloc Administratif"/>
    <s v="Collectif"/>
    <s v="Daouda KOULIBALY"/>
    <n v="622867878"/>
    <m/>
    <s v="Dialakoro"/>
    <n v="127"/>
    <s v="Labour + Pulvérisation"/>
    <n v="125"/>
    <s v="Sweta, Nerica"/>
    <s v="Nerica"/>
    <s v="5 mois"/>
    <d v="2023-06-15T00:00:00"/>
    <s v="Aptes pour la mécanisation"/>
    <s v="Nounkè Doumbouya"/>
    <s v="Riz"/>
    <x v="0"/>
    <m/>
    <m/>
    <x v="0"/>
    <m/>
    <m/>
    <m/>
    <m/>
  </r>
  <r>
    <d v="2023-05-09T13:20:52"/>
    <s v="Mandiana"/>
    <s v="Cours du bloc Administratif"/>
    <s v="Collectif"/>
    <s v="Amara KOULIBALY"/>
    <n v="620276427"/>
    <m/>
    <s v="Dialakoro"/>
    <n v="129"/>
    <s v="Labour + Pulvérisation"/>
    <n v="155"/>
    <s v="52, nenken, kaolac"/>
    <s v="Ne connais pas"/>
    <s v="5 mois"/>
    <d v="2023-06-02T00:00:00"/>
    <s v="Aptes à la mécanisation"/>
    <s v="Nounkè Doumbouya"/>
    <s v="Riz"/>
    <x v="0"/>
    <m/>
    <m/>
    <x v="0"/>
    <m/>
    <m/>
    <m/>
    <m/>
  </r>
  <r>
    <d v="2023-05-09T13:27:20"/>
    <s v="Mandiana"/>
    <s v="Cours du bloc Administratif"/>
    <s v="Collectif"/>
    <s v="Moussa KOULIBALY"/>
    <n v="622545164"/>
    <m/>
    <s v="Dialakoro"/>
    <n v="121"/>
    <s v="Labour + Pulvérisation"/>
    <n v="170"/>
    <s v="Nerica 19, Nerica 4,nenken"/>
    <s v="Nerica"/>
    <s v="4 mois"/>
    <d v="2023-06-05T00:00:00"/>
    <s v="Aptes pour la mécanisation"/>
    <s v="Nounkè Doumbouya"/>
    <s v="Riz"/>
    <x v="0"/>
    <m/>
    <m/>
    <x v="0"/>
    <m/>
    <m/>
    <m/>
    <m/>
  </r>
  <r>
    <d v="2023-05-09T13:31:14"/>
    <s v="Mandiana"/>
    <s v="Cours du bloc Administratif"/>
    <s v="Collectif"/>
    <s v="Sadan sékou Koulibaly"/>
    <n v="621312399"/>
    <m/>
    <s v="Dialakoro"/>
    <n v="132"/>
    <s v="Labour + Pulvérisation"/>
    <n v="180"/>
    <s v="Tchokotchoko, dadoumani malo"/>
    <s v="Ne connais pas"/>
    <s v="5 mois"/>
    <d v="2023-06-06T00:00:00"/>
    <s v="Aptes pour la mécanisation"/>
    <s v="Nounkè Doumbouya"/>
    <s v="Riz"/>
    <x v="0"/>
    <m/>
    <m/>
    <x v="0"/>
    <m/>
    <m/>
    <m/>
    <m/>
  </r>
  <r>
    <d v="2023-05-09T13:35:41"/>
    <s v="Mandiana"/>
    <s v="Cours du bloc Administratif"/>
    <s v="Collectif"/>
    <s v="Damankodo Moussa KOULIBALY"/>
    <n v="621884029"/>
    <m/>
    <s v="Dialakoro"/>
    <n v="131"/>
    <s v="Labour + Pulvérisation"/>
    <n v="35"/>
    <s v="Dadoumani malo"/>
    <s v="Ne connais pas"/>
    <s v="5 mois"/>
    <d v="2023-06-01T00:00:00"/>
    <s v="Aptes pour la mécanisation"/>
    <s v="Nounkè Doumbouya"/>
    <s v="Riz"/>
    <x v="0"/>
    <m/>
    <m/>
    <x v="0"/>
    <m/>
    <m/>
    <m/>
    <m/>
  </r>
  <r>
    <d v="2023-05-09T13:38:06"/>
    <s v="Mandiana"/>
    <s v="Cours du bloc"/>
    <s v="Collectif"/>
    <s v="Diakaria KOULIBALY"/>
    <n v="621061051"/>
    <m/>
    <s v="Dialakoro"/>
    <n v="125"/>
    <s v="Labour + Pulvérisation"/>
    <n v="30"/>
    <s v="Tchokotchoko"/>
    <s v="Ne connais pas"/>
    <s v="5 mois"/>
    <d v="2023-06-08T00:00:00"/>
    <s v="Aptes à la mécanisation"/>
    <s v="Nounkè Doumbouya"/>
    <s v="Riz"/>
    <x v="0"/>
    <m/>
    <m/>
    <x v="0"/>
    <m/>
    <m/>
    <m/>
    <m/>
  </r>
  <r>
    <d v="2023-05-09T13:40:34"/>
    <s v="Mandiana"/>
    <s v="Cours du bloc Administratif"/>
    <s v="Collectif"/>
    <s v="Mory DOUMBOUYA"/>
    <n v="621334678"/>
    <m/>
    <s v="Dialakoro"/>
    <n v="120"/>
    <s v="Labour + Pulvérisation"/>
    <n v="36"/>
    <s v="Sweta , Nerica 19"/>
    <s v="Nerica"/>
    <s v="5 mois"/>
    <d v="2023-06-08T00:00:00"/>
    <s v="Aptes à la mécanisation"/>
    <s v="Nounkè Doumbouya"/>
    <s v="Riz"/>
    <x v="0"/>
    <m/>
    <m/>
    <x v="0"/>
    <m/>
    <m/>
    <m/>
    <m/>
  </r>
  <r>
    <d v="2023-05-09T14:51:34"/>
    <s v="Kindia"/>
    <s v="Kindia"/>
    <s v="Individuel"/>
    <s v="BARRY Amafou Saikou"/>
    <n v="622170163"/>
    <m/>
    <s v="Kindia Centre"/>
    <n v="45"/>
    <s v="Labour - uniquement"/>
    <n v="10"/>
    <s v="CK 90"/>
    <s v="CK"/>
    <s v="5 mois"/>
    <d v="2023-05-12T00:00:00"/>
    <s v="Faisable"/>
    <s v="Boubacar Gueme Bah"/>
    <s v="Riz"/>
    <x v="1"/>
    <n v="10"/>
    <d v="2023-05-15T00:00:00"/>
    <x v="4"/>
    <s v="2KIA003T"/>
    <m/>
    <m/>
    <m/>
  </r>
  <r>
    <d v="2023-05-09T14:59:05"/>
    <s v="Kindia"/>
    <s v="Kindia"/>
    <s v="Individuel"/>
    <s v="SYLLS Mamadouba"/>
    <n v="625096080"/>
    <m/>
    <s v="Lynsan"/>
    <n v="107"/>
    <s v="Labour - uniquement"/>
    <n v="50"/>
    <s v="COYADY ,SEYDOUBA"/>
    <s v="RIEN"/>
    <s v="5 mois"/>
    <d v="2023-05-12T00:00:00"/>
    <s v="Realisable"/>
    <s v="Boubacar Gueme Bah"/>
    <s v="Riz"/>
    <x v="0"/>
    <m/>
    <m/>
    <x v="19"/>
    <m/>
    <m/>
    <m/>
    <m/>
  </r>
  <r>
    <d v="2023-05-09T15:01:36"/>
    <s v="Dubréka"/>
    <s v="Ouassou"/>
    <s v="Individuel"/>
    <s v="Hinla fofana"/>
    <n v="622653438"/>
    <n v="622653438"/>
    <s v="Koba-Tatema"/>
    <n v="6"/>
    <s v="Labour - uniquement"/>
    <n v="1"/>
    <s v="Massaraka"/>
    <s v="Nereka"/>
    <s v="6 mois"/>
    <d v="2023-05-09T00:00:00"/>
    <s v="Accord"/>
    <s v="Kissi Camara"/>
    <s v="Riz"/>
    <x v="1"/>
    <n v="1"/>
    <d v="2023-05-09T00:00:00"/>
    <x v="16"/>
    <s v="2DKA001T"/>
    <m/>
    <m/>
    <m/>
  </r>
  <r>
    <d v="2023-05-09T15:04:54"/>
    <s v="Kindia"/>
    <s v="Kindia"/>
    <s v="Individuel"/>
    <s v="SYLLA ABOUBACAR"/>
    <n v="620034122"/>
    <m/>
    <s v="Lynsan"/>
    <n v="107"/>
    <s v="Labour - uniquement"/>
    <n v="15"/>
    <s v="Kawlaka ,Coyady"/>
    <s v="Sans"/>
    <s v="5 mois"/>
    <d v="2023-05-13T00:00:00"/>
    <s v="Faisable"/>
    <s v="Boubacar Gueme Bah"/>
    <s v="Riz"/>
    <x v="0"/>
    <m/>
    <m/>
    <x v="19"/>
    <m/>
    <m/>
    <m/>
    <m/>
  </r>
  <r>
    <d v="2023-05-09T15:06:06"/>
    <s v="Dubréka"/>
    <s v="Ouassou"/>
    <s v="Individuel"/>
    <s v="Abdoulaye camara"/>
    <n v="625365311"/>
    <n v="625365311"/>
    <s v="Koba-Tatema"/>
    <n v="6"/>
    <s v="Labour - uniquement"/>
    <n v="1"/>
    <s v="Massaraka"/>
    <s v="Nereka"/>
    <s v="6 mois"/>
    <d v="2023-05-09T00:00:00"/>
    <s v="Accord"/>
    <s v="Kissi Camara"/>
    <s v="Riz"/>
    <x v="1"/>
    <n v="1"/>
    <d v="2023-05-09T00:00:00"/>
    <x v="16"/>
    <s v="2DKA001T"/>
    <m/>
    <m/>
    <m/>
  </r>
  <r>
    <d v="2023-05-09T16:22:03"/>
    <s v="Dabola"/>
    <s v="Foundeng 1"/>
    <s v="Individuel"/>
    <s v="Alpha moussa Barry"/>
    <n v="622628642"/>
    <m/>
    <s v="N'Dema"/>
    <n v="39"/>
    <s v="Labour - uniquement"/>
    <n v="3"/>
    <s v="Kaniye"/>
    <s v="Kaniye"/>
    <s v="4 mois"/>
    <d v="2023-05-20T00:00:00"/>
    <m/>
    <s v="Souleymane Kanté"/>
    <s v="Riz"/>
    <x v="0"/>
    <m/>
    <m/>
    <x v="0"/>
    <m/>
    <m/>
    <m/>
    <m/>
  </r>
  <r>
    <d v="2023-05-09T16:25:04"/>
    <s v="Dabola"/>
    <s v="Foundeng 1"/>
    <s v="Collectif"/>
    <s v="Association diabakaniani"/>
    <n v="622628642"/>
    <n v="628402018"/>
    <s v="N'Dema"/>
    <n v="40"/>
    <s v="Labour + Pulvérisation"/>
    <n v="55"/>
    <s v="Ck21"/>
    <s v="Ck21"/>
    <s v="4 mois"/>
    <d v="2023-05-26T00:00:00"/>
    <m/>
    <s v="Souleymane Kanté"/>
    <s v="Riz"/>
    <x v="0"/>
    <m/>
    <m/>
    <x v="0"/>
    <m/>
    <m/>
    <m/>
    <m/>
  </r>
  <r>
    <d v="2023-05-09T17:38:17"/>
    <s v="Kindia"/>
    <s v="Kindia"/>
    <s v="Individuel"/>
    <s v="Mohamed Laye Toure"/>
    <n v="621786876"/>
    <m/>
    <s v="Madina Oula"/>
    <n v="80"/>
    <s v="Labour - uniquement"/>
    <n v="20"/>
    <s v="CK 801"/>
    <s v="CK"/>
    <s v="4 mois"/>
    <d v="2023-05-13T00:00:00"/>
    <s v="Possible"/>
    <s v="Boubacar Gueme Bah"/>
    <s v="Riz"/>
    <x v="0"/>
    <m/>
    <m/>
    <x v="19"/>
    <m/>
    <m/>
    <m/>
    <m/>
  </r>
  <r>
    <d v="2023-05-09T17:56:54"/>
    <s v="Dinguiraye"/>
    <s v="Dinguiraye centre"/>
    <s v="Individuel"/>
    <s v="Fatoumata Barry"/>
    <n v="625038926"/>
    <m/>
    <s v="Kalinko"/>
    <n v="75"/>
    <s v="Labour + Pulvérisation"/>
    <n v="2"/>
    <s v="Dissi"/>
    <s v="Dissi"/>
    <s v="4 mois"/>
    <d v="2023-05-14T00:00:00"/>
    <m/>
    <s v="Mamadou 1 Diallo"/>
    <s v="Riz"/>
    <x v="1"/>
    <n v="2"/>
    <d v="2023-05-12T00:00:00"/>
    <x v="16"/>
    <s v="6DYE002T"/>
    <m/>
    <m/>
    <m/>
  </r>
  <r>
    <d v="2023-05-09T17:59:57"/>
    <s v="Dinguiraye"/>
    <s v="Dinguiraye centre"/>
    <s v="Individuel"/>
    <s v="Bagou bah"/>
    <n v="624388239"/>
    <m/>
    <s v="Kalinko"/>
    <n v="75"/>
    <s v="Labour + Pulvérisation"/>
    <n v="2"/>
    <s v="Dôgôssari"/>
    <s v="Dôgôssari"/>
    <s v="4 mois"/>
    <d v="2023-05-14T00:00:00"/>
    <m/>
    <s v="Mamadou 1 Diallo"/>
    <s v="Riz"/>
    <x v="0"/>
    <m/>
    <m/>
    <x v="19"/>
    <m/>
    <m/>
    <m/>
    <m/>
  </r>
  <r>
    <d v="2023-05-09T18:02:20"/>
    <s v="Dinguiraye"/>
    <s v="Dinguiraye centre"/>
    <s v="Individuel"/>
    <s v="Moussa sanoh"/>
    <n v="622264337"/>
    <m/>
    <s v="Kalinko"/>
    <n v="75"/>
    <s v="Labour - uniquement"/>
    <n v="10"/>
    <s v="Chinoise"/>
    <s v="Chinoise"/>
    <s v="3 mois"/>
    <d v="2023-05-30T00:00:00"/>
    <m/>
    <s v="Mamadou 1 Diallo"/>
    <s v="Riz"/>
    <x v="0"/>
    <m/>
    <m/>
    <x v="19"/>
    <m/>
    <m/>
    <m/>
    <m/>
  </r>
  <r>
    <d v="2023-05-09T18:05:00"/>
    <s v="Dinguiraye"/>
    <s v="Dinguiraye centre"/>
    <s v="Individuel"/>
    <s v="Kaïra savané"/>
    <n v="624388239"/>
    <m/>
    <s v="Kalinko"/>
    <n v="76"/>
    <s v="Labour + Pulvérisation"/>
    <n v="2"/>
    <s v="Dissiba-oulén"/>
    <s v="Dissiba-oulén"/>
    <s v="4 mois"/>
    <d v="2023-05-25T00:00:00"/>
    <m/>
    <s v="Mamadou 1 Diallo"/>
    <s v="Riz"/>
    <x v="0"/>
    <m/>
    <m/>
    <x v="19"/>
    <m/>
    <m/>
    <m/>
    <m/>
  </r>
  <r>
    <d v="2023-05-09T18:21:44"/>
    <s v="Dinguiraye"/>
    <s v="Dinguiraye centre"/>
    <s v="Individuel"/>
    <s v="Lansana tounkara"/>
    <n v="622352567"/>
    <m/>
    <s v="Kalinko"/>
    <n v="75"/>
    <s v="Labour - uniquement"/>
    <n v="2"/>
    <s v="Dissiba-oulén"/>
    <s v="Dissiba-oulén"/>
    <s v="4 mois"/>
    <d v="2023-05-30T00:00:00"/>
    <m/>
    <s v="Mamadou 1 Diallo"/>
    <s v="Riz"/>
    <x v="1"/>
    <n v="2"/>
    <d v="2023-05-12T00:00:00"/>
    <x v="16"/>
    <s v="6DYE002T"/>
    <m/>
    <m/>
    <m/>
  </r>
  <r>
    <d v="2023-05-09T18:27:29"/>
    <s v="Dinguiraye"/>
    <s v="Dinguiraye"/>
    <s v="Individuel"/>
    <s v="Hadja siré tounkara"/>
    <n v="628554760"/>
    <m/>
    <s v="Kalinko"/>
    <n v="75"/>
    <s v="Labour + Pulvérisation"/>
    <n v="2"/>
    <s v="Chinoise"/>
    <s v="Chinoise"/>
    <s v="3 mois"/>
    <d v="2023-06-05T00:00:00"/>
    <m/>
    <s v="Mamadou 1 Diallo"/>
    <s v="Riz"/>
    <x v="1"/>
    <n v="2"/>
    <d v="2023-05-12T00:00:00"/>
    <x v="16"/>
    <s v="6DYE002T"/>
    <m/>
    <m/>
    <m/>
  </r>
  <r>
    <d v="2023-05-09T18:29:11"/>
    <s v="Dinguiraye"/>
    <s v="Dinguiraye centre"/>
    <s v="Individuel"/>
    <s v="Yaya tounkara"/>
    <n v="628280317"/>
    <m/>
    <s v="Kalinko"/>
    <n v="75"/>
    <s v="Labour + Pulvérisation"/>
    <n v="2"/>
    <s v="Dôgôssari"/>
    <s v="Dôgôssari"/>
    <s v="4 mois"/>
    <d v="2023-06-01T00:00:00"/>
    <m/>
    <s v="Mamadou 1 Diallo"/>
    <s v="Riz"/>
    <x v="0"/>
    <m/>
    <m/>
    <x v="19"/>
    <m/>
    <m/>
    <m/>
    <m/>
  </r>
  <r>
    <d v="2023-05-09T18:31:05"/>
    <s v="Dinguiraye"/>
    <s v="Dinguiraye centre"/>
    <s v="Individuel"/>
    <s v="Mamadou bouba tounkara"/>
    <n v="622996796"/>
    <m/>
    <s v="Kalinko"/>
    <n v="76"/>
    <s v="Labour + Pulvérisation"/>
    <n v="2"/>
    <s v="Dissiba-oulén"/>
    <s v="Dissiba-oulén"/>
    <s v="4 mois"/>
    <d v="2023-05-25T00:00:00"/>
    <m/>
    <s v="Mamadou 1 Diallo"/>
    <s v="Riz"/>
    <x v="0"/>
    <m/>
    <m/>
    <x v="19"/>
    <m/>
    <m/>
    <m/>
    <m/>
  </r>
  <r>
    <d v="2023-05-09T18:33:48"/>
    <s v="Dinguiraye"/>
    <s v="Dinguiraye centre"/>
    <s v="Individuel"/>
    <s v="Fodé Mamoudou tounkara"/>
    <n v="622552182"/>
    <m/>
    <s v="Kalinko"/>
    <n v="75"/>
    <s v="Labour + Pulvérisation"/>
    <n v="2"/>
    <s v="Dôgôssari"/>
    <s v="Dôgôssari"/>
    <s v="4 mois"/>
    <d v="2023-06-10T00:00:00"/>
    <m/>
    <s v="Mamadou 1 Diallo"/>
    <s v="Riz"/>
    <x v="0"/>
    <m/>
    <m/>
    <x v="19"/>
    <m/>
    <m/>
    <m/>
    <m/>
  </r>
  <r>
    <d v="2023-05-09T18:36:05"/>
    <s v="Dinguiraye"/>
    <s v="Dinguiraye centre"/>
    <s v="Individuel"/>
    <s v="Laye Babila Fofana"/>
    <n v="625038926"/>
    <m/>
    <s v="Kalinko"/>
    <n v="75"/>
    <s v="Labour + Pulvérisation"/>
    <n v="2"/>
    <s v="Dissiba-oulén"/>
    <s v="Dissiba-oulén"/>
    <s v="4 mois"/>
    <d v="2023-05-20T00:00:00"/>
    <m/>
    <s v="Mamadou 1 Diallo"/>
    <s v="Riz"/>
    <x v="1"/>
    <n v="2"/>
    <d v="2023-05-12T00:00:00"/>
    <x v="16"/>
    <s v="6DYE002T"/>
    <m/>
    <m/>
    <m/>
  </r>
  <r>
    <d v="2023-05-10T08:19:41"/>
    <s v="Boffa"/>
    <s v="Koba"/>
    <s v="Individuel"/>
    <s v="Aboubacar Mbady soumah"/>
    <n v="628279428"/>
    <m/>
    <s v="Koba-Tatema"/>
    <n v="5"/>
    <s v="Labour - uniquement"/>
    <n v="3"/>
    <s v="Massarka"/>
    <s v="J'ignore"/>
    <s v="5 mois"/>
    <d v="2023-05-15T00:00:00"/>
    <s v="Man"/>
    <s v="Alya Foulématou Camara"/>
    <s v="Riz"/>
    <x v="0"/>
    <m/>
    <m/>
    <x v="19"/>
    <m/>
    <m/>
    <m/>
    <m/>
  </r>
  <r>
    <d v="2023-05-10T08:23:16"/>
    <s v="Boffa"/>
    <s v="Koba"/>
    <s v="Individuel"/>
    <s v="Elhadj Mbemba camara"/>
    <n v="622422397"/>
    <m/>
    <s v="Koba-Tatema"/>
    <n v="5"/>
    <s v="Labour - uniquement"/>
    <n v="4"/>
    <s v="Massarka"/>
    <s v="J'ignore"/>
    <s v="5 mois"/>
    <d v="2023-05-16T00:00:00"/>
    <s v="Manque criard de tracteur"/>
    <s v="Alya Foulématou Camara"/>
    <s v="Riz"/>
    <x v="0"/>
    <m/>
    <m/>
    <x v="19"/>
    <m/>
    <m/>
    <m/>
    <m/>
  </r>
  <r>
    <d v="2023-05-10T08:33:50"/>
    <s v="Boffa"/>
    <s v="Koba"/>
    <s v="Individuel"/>
    <s v="Fodé Touré"/>
    <n v="628974211"/>
    <m/>
    <s v="Koba-Tatema"/>
    <n v="5"/>
    <s v="Labour - uniquement"/>
    <n v="2"/>
    <s v="J"/>
    <s v="J'ignore"/>
    <s v="5 mois"/>
    <d v="2023-05-17T00:00:00"/>
    <s v="Manque criand de tracteur"/>
    <s v="Alya Foulématou Camara"/>
    <s v="Riz"/>
    <x v="0"/>
    <m/>
    <m/>
    <x v="19"/>
    <m/>
    <m/>
    <m/>
    <m/>
  </r>
  <r>
    <d v="2023-05-10T08:40:58"/>
    <s v="Boffa"/>
    <s v="Koba"/>
    <s v="Individuel"/>
    <s v="Mohamed Sylla"/>
    <n v="622371182"/>
    <m/>
    <s v="Koba-Tatema"/>
    <n v="5"/>
    <s v="Labour - uniquement"/>
    <n v="2"/>
    <s v="Mbapeya"/>
    <s v="J'ignore"/>
    <s v="5 mois"/>
    <d v="2023-05-17T00:00:00"/>
    <s v="Manque criard de tracteur"/>
    <s v="Alya Foulématou Camara"/>
    <s v="Riz"/>
    <x v="0"/>
    <m/>
    <m/>
    <x v="19"/>
    <m/>
    <m/>
    <m/>
    <m/>
  </r>
  <r>
    <d v="2023-05-10T09:12:08"/>
    <s v="Boffa"/>
    <s v="Koba"/>
    <s v="Individuel"/>
    <s v="Ousmane valdo"/>
    <n v="628351479"/>
    <m/>
    <s v="Koba-Tatema"/>
    <n v="5"/>
    <s v="Labour - uniquement"/>
    <n v="2"/>
    <s v="Mbapeya"/>
    <s v="J'ignore"/>
    <s v="5 mois"/>
    <d v="2023-05-17T00:00:00"/>
    <s v="Manque criard de tracteur"/>
    <s v="Alya Foulématou Camara"/>
    <s v="Riz"/>
    <x v="0"/>
    <m/>
    <m/>
    <x v="19"/>
    <m/>
    <m/>
    <m/>
    <m/>
  </r>
  <r>
    <d v="2023-05-10T09:15:20"/>
    <s v="Boffa"/>
    <s v="Koba"/>
    <s v="Individuel"/>
    <s v="Mohamed Lato Bangoura"/>
    <n v="622419368"/>
    <m/>
    <s v="Koba-Tatema"/>
    <n v="5"/>
    <s v="Labour - uniquement"/>
    <n v="2"/>
    <s v="Massarka"/>
    <s v="J'ignore"/>
    <s v="5 mois"/>
    <d v="2023-05-18T00:00:00"/>
    <s v="Manque criard de tracteur"/>
    <s v="Alya Foulématou Camara"/>
    <s v="Riz"/>
    <x v="0"/>
    <m/>
    <m/>
    <x v="19"/>
    <m/>
    <m/>
    <m/>
    <m/>
  </r>
  <r>
    <d v="2023-05-10T09:18:24"/>
    <s v="Boffa"/>
    <s v="Koba"/>
    <s v="Individuel"/>
    <s v="Abdoulaye Fidel camara"/>
    <n v="625365311"/>
    <m/>
    <s v="Koba-Tatema"/>
    <n v="5"/>
    <s v="Labour - uniquement"/>
    <n v="2"/>
    <s v="Massarka"/>
    <s v="J'ignore"/>
    <s v="5 mois"/>
    <d v="2023-05-18T00:00:00"/>
    <s v="Manque criard de tracteur"/>
    <s v="Alya Foulématou Camara"/>
    <s v="Riz"/>
    <x v="0"/>
    <m/>
    <m/>
    <x v="19"/>
    <m/>
    <m/>
    <m/>
    <m/>
  </r>
  <r>
    <d v="2023-05-10T09:21:11"/>
    <s v="Boffa"/>
    <s v="Koba"/>
    <s v="Individuel"/>
    <s v="Alia rivé Touré"/>
    <n v="627602895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</r>
  <r>
    <d v="2023-05-10T09:24:12"/>
    <s v="Boffa"/>
    <s v="Koba"/>
    <s v="Individuel"/>
    <s v="Alia 2 Touré"/>
    <n v="628156202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</r>
  <r>
    <d v="2023-05-10T09:35:32"/>
    <s v="Boffa"/>
    <s v="Koba"/>
    <s v="Individuel"/>
    <s v="Mohamed camara"/>
    <n v="628459401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</r>
  <r>
    <d v="2023-05-10T09:39:10"/>
    <s v="Kouroussa"/>
    <s v="Wassabada"/>
    <s v="Individuel"/>
    <s v="Karamo solo Touré"/>
    <n v="622749500"/>
    <m/>
    <s v="Kouroussa Centre"/>
    <n v="8"/>
    <s v="Labour - uniquement"/>
    <n v="5"/>
    <s v="Bagnain"/>
    <s v="Bagnain"/>
    <s v="4 mois"/>
    <d v="2023-05-15T00:00:00"/>
    <m/>
    <s v="Ibrahima Kalil Fofana"/>
    <s v="Riz"/>
    <x v="0"/>
    <m/>
    <m/>
    <x v="19"/>
    <m/>
    <m/>
    <m/>
    <m/>
  </r>
  <r>
    <d v="2023-05-10T09:45:15"/>
    <s v="Kouroussa"/>
    <s v="Wassabada"/>
    <s v="Individuel"/>
    <s v="Sangban kourouma"/>
    <n v="628340342"/>
    <m/>
    <s v="Kouroussa Centre"/>
    <n v="12"/>
    <s v="Labour - uniquement"/>
    <n v="15"/>
    <s v="Bagnain"/>
    <s v="Bagnain"/>
    <s v="4 mois"/>
    <d v="2023-05-25T00:00:00"/>
    <m/>
    <s v="Ibrahima Kalil Fofana"/>
    <s v="Riz"/>
    <x v="0"/>
    <m/>
    <m/>
    <x v="19"/>
    <m/>
    <m/>
    <m/>
    <m/>
  </r>
  <r>
    <d v="2023-05-10T09:50:07"/>
    <s v="Kouroussa"/>
    <s v="Wassabada"/>
    <s v="Individuel"/>
    <s v="Sangban kourouma"/>
    <n v="628340342"/>
    <m/>
    <s v="Kouroussa Centre"/>
    <n v="13"/>
    <s v="Labour - uniquement"/>
    <n v="5"/>
    <s v="Dissigbè"/>
    <s v="Dissigbè"/>
    <s v="4 mois"/>
    <d v="2023-05-25T00:00:00"/>
    <m/>
    <s v="Ibrahima Kalil Fofana"/>
    <s v="Riz"/>
    <x v="0"/>
    <m/>
    <m/>
    <x v="19"/>
    <m/>
    <m/>
    <m/>
    <m/>
  </r>
  <r>
    <d v="2023-05-10T09:53:27"/>
    <s v="Boffa"/>
    <s v="Koba"/>
    <s v="Individuel"/>
    <s v="Facinet Bangoura"/>
    <n v="624824992"/>
    <m/>
    <s v="Koba-Tatema"/>
    <n v="5"/>
    <s v="Labour - uniquement"/>
    <n v="1"/>
    <s v="Massarka"/>
    <s v="J'ignore"/>
    <s v="6 mois"/>
    <d v="2023-05-18T00:00:00"/>
    <s v="Manque criard de tracteur"/>
    <s v="Alya Foulématou Camara"/>
    <s v="Riz"/>
    <x v="0"/>
    <m/>
    <m/>
    <x v="19"/>
    <m/>
    <m/>
    <m/>
    <m/>
  </r>
  <r>
    <d v="2023-05-10T09:53:37"/>
    <s v="Kouroussa"/>
    <s v="Wassabada"/>
    <s v="Individuel"/>
    <s v="Lanciné Camara"/>
    <n v="622105843"/>
    <m/>
    <s v="Kouroussa Centre"/>
    <n v="26"/>
    <s v="Labour - uniquement"/>
    <n v="3"/>
    <s v="Bagnain"/>
    <s v="Bagnain"/>
    <s v="4 mois"/>
    <d v="2023-05-25T00:00:00"/>
    <m/>
    <s v="Ibrahima Kalil Fofana"/>
    <s v="Riz"/>
    <x v="0"/>
    <m/>
    <m/>
    <x v="19"/>
    <m/>
    <m/>
    <m/>
    <m/>
  </r>
  <r>
    <d v="2023-05-10T09:57:31"/>
    <s v="Kouroussa"/>
    <s v="Wassabada"/>
    <s v="Individuel"/>
    <s v="Lanciné Camara"/>
    <n v="622105843"/>
    <m/>
    <s v="Kouroussa Centre"/>
    <n v="26"/>
    <s v="Labour - uniquement"/>
    <n v="3"/>
    <s v="Soïta"/>
    <s v="Soïta"/>
    <s v="4 mois"/>
    <d v="2023-05-25T00:00:00"/>
    <m/>
    <s v="Ibrahima Kalil Fofana"/>
    <s v="Riz"/>
    <x v="0"/>
    <m/>
    <m/>
    <x v="19"/>
    <m/>
    <m/>
    <m/>
    <m/>
  </r>
  <r>
    <d v="2023-05-10T10:01:33"/>
    <s v="Kouroussa"/>
    <s v="Wassabada"/>
    <s v="Individuel"/>
    <s v="Mory Camara"/>
    <n v="622041514"/>
    <m/>
    <s v="Sanguiana"/>
    <n v="36"/>
    <s v="Labour - uniquement"/>
    <n v="50"/>
    <s v="Bagnain"/>
    <s v="Bagnain"/>
    <s v="4 mois"/>
    <d v="2023-05-20T00:00:00"/>
    <m/>
    <s v="Ibrahima Kalil Fofana"/>
    <s v="Riz"/>
    <x v="0"/>
    <m/>
    <m/>
    <x v="19"/>
    <m/>
    <m/>
    <m/>
    <m/>
  </r>
  <r>
    <d v="2023-05-10T10:04:33"/>
    <s v="Kouroussa"/>
    <s v="Wassabada"/>
    <s v="Individuel"/>
    <s v="Nounkè Keita"/>
    <n v="620320360"/>
    <m/>
    <s v="Kouroussa Centre"/>
    <n v="12"/>
    <s v="Labour - uniquement"/>
    <n v="2"/>
    <s v="Bagnain"/>
    <s v="Bagnain"/>
    <s v="4 mois"/>
    <d v="2023-05-20T00:00:00"/>
    <m/>
    <s v="Ibrahima Kalil Fofana"/>
    <s v="Riz"/>
    <x v="0"/>
    <m/>
    <m/>
    <x v="19"/>
    <m/>
    <m/>
    <m/>
    <m/>
  </r>
  <r>
    <d v="2023-05-10T10:09:34"/>
    <s v="Boffa"/>
    <s v="Koba"/>
    <s v="Individuel"/>
    <s v="Amara soumah"/>
    <n v="628459401"/>
    <m/>
    <s v="Koba-Tatema"/>
    <n v="5"/>
    <s v="Labour - uniquement"/>
    <n v="2"/>
    <s v="J'ignore"/>
    <s v="Cc15"/>
    <s v="6 mois"/>
    <d v="2023-05-19T00:00:00"/>
    <s v="Manque criard de tracteur"/>
    <s v="Alya Foulématou Camara"/>
    <s v="Riz"/>
    <x v="0"/>
    <m/>
    <m/>
    <x v="19"/>
    <m/>
    <m/>
    <m/>
    <m/>
  </r>
  <r>
    <d v="2023-05-10T10:13:54"/>
    <s v="Kouroussa"/>
    <s v="Wassabada"/>
    <s v="Individuel"/>
    <s v="Kanada Keita"/>
    <n v="626604454"/>
    <m/>
    <s v="Kouroussa Centre"/>
    <n v="30"/>
    <s v="Labour - uniquement"/>
    <n v="6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18:21"/>
    <s v="Kouroussa"/>
    <s v="Wassabada"/>
    <s v="Individuel"/>
    <s v="Namory Keita"/>
    <n v="610615821"/>
    <m/>
    <s v="Kouroussa Centre"/>
    <n v="30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22:46"/>
    <s v="Kouroussa"/>
    <s v="Wassabada"/>
    <s v="Individuel"/>
    <s v="Bakary Keita"/>
    <n v="625847859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25:48"/>
    <s v="Kouroussa"/>
    <s v="Wassabada"/>
    <s v="Individuel"/>
    <s v="Namory Keita"/>
    <n v="610634209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30:18"/>
    <s v="Kouroussa"/>
    <s v="Wassabada"/>
    <s v="Individuel"/>
    <s v="Souleymane Keita"/>
    <n v="623414298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33:17"/>
    <s v="Kouroussa"/>
    <s v="Wassabada"/>
    <s v="Individuel"/>
    <s v="Billy Keita"/>
    <n v="628654786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34:26"/>
    <s v="Forécariah"/>
    <s v="Forécariah"/>
    <s v="Individuel"/>
    <s v="Abdoul gadri Diallo"/>
    <n v="628387755"/>
    <m/>
    <s v="Moussaya"/>
    <n v="52"/>
    <s v="Labour - uniquement"/>
    <n v="3"/>
    <s v="Ck-90"/>
    <s v="Ck-90"/>
    <s v="5 mois"/>
    <d v="2023-05-12T00:00:00"/>
    <m/>
    <s v="Diamouré keita"/>
    <s v="Riz"/>
    <x v="1"/>
    <n v="3"/>
    <d v="2023-05-12T00:00:00"/>
    <x v="16"/>
    <s v="2FAH004T"/>
    <m/>
    <m/>
    <m/>
  </r>
  <r>
    <d v="2023-05-10T10:36:02"/>
    <s v="Kouroussa"/>
    <s v="Wassabada"/>
    <s v="Individuel"/>
    <s v="Kanada Keita"/>
    <n v="626040737"/>
    <m/>
    <s v="Kouroussa Centre"/>
    <n v="30"/>
    <s v="Labour - uniquement"/>
    <n v="4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39:12"/>
    <s v="Kouroussa"/>
    <s v="Wassabada"/>
    <s v="Individuel"/>
    <s v="Kondjan Keita"/>
    <n v="620540981"/>
    <m/>
    <s v="Kouroussa Centre"/>
    <n v="30"/>
    <s v="Labour - uniquement"/>
    <n v="4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41:26"/>
    <s v="Kouroussa"/>
    <s v="Wassabada"/>
    <s v="Individuel"/>
    <s v="Sorry Keita"/>
    <n v="622311889"/>
    <m/>
    <s v="Kouroussa Centre"/>
    <n v="30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44:27"/>
    <s v="Kouroussa"/>
    <s v="Wassabada"/>
    <s v="Individuel"/>
    <s v="Salou kourouma"/>
    <n v="622329862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47:10"/>
    <s v="Kouroussa"/>
    <s v="Wassabada"/>
    <s v="Individuel"/>
    <s v="Youssouf Keita"/>
    <n v="620306311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49:58"/>
    <s v="Kouroussa"/>
    <s v="Wassabada"/>
    <s v="Individuel"/>
    <s v="Ansoumane Keita"/>
    <n v="622499053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53:34"/>
    <s v="Kouroussa"/>
    <s v="Wassabada"/>
    <s v="Individuel"/>
    <s v="Kaman Keita"/>
    <n v="620020898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0:56:24"/>
    <s v="Kouroussa"/>
    <s v="Wassabada"/>
    <s v="Individuel"/>
    <s v="Lanciné Keita"/>
    <n v="625773000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1:00:05"/>
    <s v="Kouroussa"/>
    <s v="Wassabada"/>
    <s v="Individuel"/>
    <s v="Doubany Keita"/>
    <n v="629400267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1:03:01"/>
    <s v="Kouroussa"/>
    <s v="Wassabada"/>
    <s v="Individuel"/>
    <s v="Sékou Keita"/>
    <n v="623300623"/>
    <m/>
    <s v="Kouroussa Centre"/>
    <n v="35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</r>
  <r>
    <d v="2023-05-10T11:20:11"/>
    <s v="Kissidougou"/>
    <s v="Commune urbaine"/>
    <s v="Individuel"/>
    <s v="Agrisamo SARL"/>
    <n v="625411748"/>
    <n v="625411748"/>
    <s v="Gbangbadou"/>
    <n v="18"/>
    <s v="Labour - uniquement"/>
    <n v="10"/>
    <s v="Ameliorer"/>
    <s v="Ameliorer"/>
    <s v="4 mois"/>
    <d v="2023-05-12T00:00:00"/>
    <s v="Korabo"/>
    <s v="Mamady 2 Camara"/>
    <s v="Maïs"/>
    <x v="1"/>
    <n v="10"/>
    <d v="2023-05-10T00:00:00"/>
    <x v="16"/>
    <s v="6KOU002T"/>
    <m/>
    <m/>
    <m/>
  </r>
  <r>
    <d v="2023-05-10T11:31:31"/>
    <s v="Kissidougou"/>
    <s v="Commune urbaine"/>
    <s v="Individuel"/>
    <s v="Elhadji Mohamed Bérété"/>
    <n v="622653855"/>
    <n v="622653855"/>
    <s v="Sangardo"/>
    <n v="25"/>
    <s v="Labour - uniquement"/>
    <n v="5"/>
    <s v="CK 91"/>
    <s v="CK 91"/>
    <s v="4 mois"/>
    <d v="2023-05-10T00:00:00"/>
    <s v="Koragbangna"/>
    <s v="Mamady 2 Camara"/>
    <s v="Riz"/>
    <x v="1"/>
    <n v="5"/>
    <d v="2023-05-10T00:00:00"/>
    <x v="16"/>
    <s v="6KOU001T"/>
    <m/>
    <m/>
    <m/>
  </r>
  <r>
    <d v="2023-05-10T11:35:10"/>
    <s v="Kissidougou"/>
    <s v="Commune urbaine"/>
    <s v="Individuel"/>
    <s v="Faya mamadouno"/>
    <n v="628184112"/>
    <n v="628184112"/>
    <s v="Beindou"/>
    <n v="20"/>
    <s v="Labour - uniquement"/>
    <n v="6"/>
    <s v="N19"/>
    <s v="N19"/>
    <s v="4 mois"/>
    <d v="2023-05-10T00:00:00"/>
    <s v="Ninkadou"/>
    <s v="Mamady 2 Camara"/>
    <s v="Riz"/>
    <x v="1"/>
    <n v="6"/>
    <d v="2023-05-10T00:00:00"/>
    <x v="16"/>
    <s v="6KOU007T"/>
    <m/>
    <m/>
    <m/>
  </r>
  <r>
    <d v="2023-05-10T11:39:05"/>
    <s v="Kissidougou"/>
    <s v="Commune urbaine"/>
    <s v="Collectif"/>
    <s v="Egeune Camara"/>
    <n v="622849450"/>
    <n v="622849450"/>
    <s v="Kissidougou Centre"/>
    <n v="5"/>
    <s v="Labour - uniquement"/>
    <n v="3"/>
    <s v="CK 90"/>
    <s v="CK 90"/>
    <s v="5 mois"/>
    <d v="2023-05-10T00:00:00"/>
    <s v="Kondjan"/>
    <s v="Mamady 2 Camara"/>
    <s v="Riz"/>
    <x v="1"/>
    <n v="3"/>
    <d v="2023-05-10T00:00:00"/>
    <x v="16"/>
    <s v="6KOU002T"/>
    <m/>
    <m/>
    <m/>
  </r>
  <r>
    <d v="2023-05-10T14:04:11"/>
    <s v="Dubréka"/>
    <s v="Ouassou"/>
    <s v="Individuel"/>
    <s v="Mamata camara"/>
    <n v="621258630"/>
    <n v="621258630"/>
    <s v="Koba-Tatema"/>
    <n v="6"/>
    <s v="Labour - uniquement"/>
    <n v="3"/>
    <s v="Massaraka"/>
    <s v="Nereka"/>
    <s v="6 mois"/>
    <d v="2023-05-10T00:00:00"/>
    <s v="Accord"/>
    <s v="Kissi Camara"/>
    <s v="Riz"/>
    <x v="1"/>
    <n v="3"/>
    <d v="2023-05-10T00:00:00"/>
    <x v="16"/>
    <s v="2DKA001T"/>
    <m/>
    <m/>
    <m/>
  </r>
  <r>
    <d v="2023-05-10T14:47:42"/>
    <s v="Forécariah"/>
    <s v="Forecariah"/>
    <s v="Individuel"/>
    <s v="Adama soumah"/>
    <n v="655623005"/>
    <m/>
    <s v="Alassoya"/>
    <n v="15"/>
    <s v="Labour - uniquement"/>
    <n v="3"/>
    <s v="Ck-90"/>
    <s v="Ck-90"/>
    <s v="4 mois"/>
    <d v="2023-05-12T00:00:00"/>
    <m/>
    <s v="Diamouré keita"/>
    <s v="Riz"/>
    <x v="1"/>
    <n v="3"/>
    <d v="2023-05-12T00:00:00"/>
    <x v="16"/>
    <s v="2FAH005T"/>
    <m/>
    <m/>
    <m/>
  </r>
  <r>
    <d v="2023-05-10T19:11:02"/>
    <s v="Lola"/>
    <s v="Direction Préfectorale de l'Agriculture et de l Élevage de Lola"/>
    <s v="Collectif"/>
    <s v="Eugène Delamou"/>
    <n v="620165590"/>
    <m/>
    <s v="Lainé"/>
    <n v="20"/>
    <s v="Labour - uniquement"/>
    <n v="50"/>
    <s v="Wania"/>
    <s v="Oryza Sativa"/>
    <s v="5 mois"/>
    <d v="2023-05-13T00:00:00"/>
    <m/>
    <s v="Pokpa Delamou"/>
    <s v="Riz"/>
    <x v="0"/>
    <m/>
    <m/>
    <x v="19"/>
    <m/>
    <m/>
    <m/>
    <m/>
  </r>
  <r>
    <d v="2023-05-10T19:15:53"/>
    <s v="Lola"/>
    <s v="Direction Préfectorale de l'Agriculture et de l Élevage de Lola"/>
    <s v="Collectif"/>
    <s v="Eugène Delamou"/>
    <n v="620165590"/>
    <m/>
    <s v="Lainé"/>
    <n v="20"/>
    <s v="Labour - uniquement"/>
    <n v="50"/>
    <s v="Jaune_jaune"/>
    <s v="Zea Mays"/>
    <s v="4 mois"/>
    <d v="2023-05-16T00:00:00"/>
    <m/>
    <s v="Pokpa Delamou"/>
    <s v="Maïs"/>
    <x v="0"/>
    <m/>
    <m/>
    <x v="19"/>
    <m/>
    <m/>
    <m/>
    <m/>
  </r>
  <r>
    <d v="2023-05-11T04:42:53"/>
    <s v="Macenta"/>
    <s v="Direction préfectorale de l'agriculture et de l'élevage de macenta"/>
    <s v="Individuel"/>
    <s v="Moussa Sangaré"/>
    <n v="622747738"/>
    <m/>
    <s v="Kouankan"/>
    <n v="95"/>
    <s v="Labour - uniquement"/>
    <n v="4"/>
    <s v="Jogbassi"/>
    <s v="Oriza sativa"/>
    <s v="5 mois"/>
    <d v="2023-05-12T00:00:00"/>
    <s v="Pas"/>
    <s v="Alexandre Kpoghomou"/>
    <s v="Riz"/>
    <x v="1"/>
    <n v="4"/>
    <d v="2023-05-11T00:00:00"/>
    <x v="16"/>
    <s v="8MTA003T"/>
    <m/>
    <m/>
    <m/>
  </r>
  <r>
    <d v="2023-05-11T10:04:03"/>
    <s v="Siguiri"/>
    <s v="Siguiri"/>
    <s v="Individuel"/>
    <s v="Namory Kante"/>
    <n v="628200681"/>
    <m/>
    <s v="Siguiri Centre"/>
    <n v="2"/>
    <s v="Labour - uniquement"/>
    <n v="1"/>
    <s v="Maloba"/>
    <s v="Maloba"/>
    <s v="5 mois"/>
    <d v="2023-05-12T00:00:00"/>
    <m/>
    <s v="Nanamoudou ll Magassouba"/>
    <s v="Riz"/>
    <x v="1"/>
    <n v="1"/>
    <d v="2023-05-11T00:00:00"/>
    <x v="16"/>
    <s v="7SRI006T"/>
    <m/>
    <m/>
    <m/>
  </r>
  <r>
    <d v="2023-05-11T10:07:01"/>
    <s v="Forécariah"/>
    <s v="Forecariah"/>
    <s v="Individuel"/>
    <s v="Younoussa camara"/>
    <n v="626578742"/>
    <m/>
    <s v="Kakossa"/>
    <n v="75"/>
    <s v="Labour - uniquement"/>
    <n v="5"/>
    <s v="Ck-90"/>
    <s v="Ck-90"/>
    <s v="4 mois"/>
    <d v="2023-05-12T00:00:00"/>
    <m/>
    <s v="Diamouré keita"/>
    <s v="Riz"/>
    <x v="1"/>
    <n v="5"/>
    <d v="2023-05-12T00:00:00"/>
    <x v="16"/>
    <s v="2FAH002T"/>
    <m/>
    <m/>
    <m/>
  </r>
  <r>
    <d v="2023-05-11T10:47:54"/>
    <s v="Mandiana"/>
    <s v="Cours du bloc Administratif"/>
    <s v="Individuel"/>
    <s v="Elhadj Sékou DIAKITÉ"/>
    <n v="620053900"/>
    <m/>
    <s v="Mandiana Centre"/>
    <n v="11"/>
    <s v="Labour - uniquement"/>
    <n v="7"/>
    <s v="Kaolac"/>
    <s v="Ne connais pas"/>
    <s v="5 mois"/>
    <d v="2023-05-11T00:00:00"/>
    <s v="Aptes pour la mécanisation"/>
    <s v="Nounkè Doumbouya"/>
    <s v="Riz"/>
    <x v="1"/>
    <n v="4"/>
    <d v="2023-05-11T00:00:00"/>
    <x v="16"/>
    <s v="7MNA008T"/>
    <m/>
    <m/>
    <m/>
  </r>
  <r>
    <d v="2023-05-11T11:15:20"/>
    <s v="Kérouané"/>
    <s v="Centre"/>
    <s v="Individuel"/>
    <s v="Brema Camara"/>
    <n v="623732135"/>
    <n v="623732135"/>
    <s v="Kérouane Centre"/>
    <n v="8"/>
    <s v="Labour - uniquement"/>
    <n v="9"/>
    <s v="Samory"/>
    <s v="Samory"/>
    <s v="5 mois"/>
    <d v="2023-05-12T00:00:00"/>
    <m/>
    <s v="Moussa Kadia Camara"/>
    <s v="Riz"/>
    <x v="1"/>
    <n v="9"/>
    <d v="2023-05-12T00:00:00"/>
    <x v="16"/>
    <s v="7KNE006T"/>
    <m/>
    <m/>
    <m/>
  </r>
  <r>
    <d v="2023-05-11T11:18:31"/>
    <s v="Kérouané"/>
    <s v="Centre"/>
    <s v="Individuel"/>
    <s v="Moussa sacko"/>
    <n v="628685171"/>
    <n v="628685171"/>
    <s v="Kérouane Centre"/>
    <n v="5"/>
    <s v="Labour - uniquement"/>
    <n v="3"/>
    <s v="Karosabany"/>
    <s v="Karosabany"/>
    <s v="3 mois"/>
    <d v="2023-05-13T00:00:00"/>
    <m/>
    <s v="Moussa Kadia Camara"/>
    <s v="Maïs"/>
    <x v="1"/>
    <n v="3"/>
    <d v="2023-05-12T00:00:00"/>
    <x v="16"/>
    <s v="7KNE001T"/>
    <m/>
    <m/>
    <m/>
  </r>
  <r>
    <d v="2023-05-11T11:20:51"/>
    <s v="Kérouané"/>
    <s v="Centre"/>
    <s v="Individuel"/>
    <s v="Mory Doumbouya"/>
    <n v="621867404"/>
    <n v="621867404"/>
    <s v="Kérouane Centre"/>
    <n v="1"/>
    <s v="Labour - uniquement"/>
    <n v="1"/>
    <s v="Samory"/>
    <s v="Samory"/>
    <s v="5 mois"/>
    <d v="2023-05-14T00:00:00"/>
    <m/>
    <s v="Moussa Kadia Camara"/>
    <s v="Riz"/>
    <x v="1"/>
    <n v="1"/>
    <d v="2023-05-12T00:00:00"/>
    <x v="16"/>
    <s v="7KNE001T"/>
    <m/>
    <m/>
    <m/>
  </r>
  <r>
    <d v="2023-05-11T11:23:56"/>
    <s v="Kérouané"/>
    <s v="Centre"/>
    <s v="Individuel"/>
    <s v="Fodé Traoré"/>
    <n v="628401231"/>
    <n v="628401231"/>
    <s v="Kérouane Centre"/>
    <n v="55"/>
    <s v="Labour - uniquement"/>
    <n v="10"/>
    <s v="Samory"/>
    <s v="Samory"/>
    <s v="6 mois"/>
    <d v="2023-05-13T00:00:00"/>
    <m/>
    <s v="Moussa Kadia Camara"/>
    <s v="Riz"/>
    <x v="1"/>
    <n v="10"/>
    <d v="2023-05-12T00:00:00"/>
    <x v="16"/>
    <s v="7KNE006T"/>
    <m/>
    <m/>
    <m/>
  </r>
  <r>
    <d v="2023-05-11T11:26:59"/>
    <s v="Kérouané"/>
    <s v="Centre"/>
    <s v="Individuel"/>
    <s v="Lancine Cissé"/>
    <n v="622557752"/>
    <n v="622557752"/>
    <s v="Kérouane Centre"/>
    <n v="1"/>
    <s v="Labour - uniquement"/>
    <n v="1"/>
    <s v="Seka"/>
    <s v="Seka"/>
    <s v="5 mois"/>
    <d v="2023-05-14T00:00:00"/>
    <m/>
    <s v="Moussa Kadia Camara"/>
    <s v="Riz"/>
    <x v="1"/>
    <n v="1"/>
    <d v="2023-05-12T00:00:00"/>
    <x v="16"/>
    <s v="7KNE001T"/>
    <m/>
    <m/>
    <m/>
  </r>
  <r>
    <d v="2023-05-11T11:29:22"/>
    <s v="Gaoual"/>
    <s v="C U"/>
    <s v="Individuel"/>
    <s v="SADOU DIALLO"/>
    <n v="628169348"/>
    <m/>
    <s v="Koumbia"/>
    <n v="5"/>
    <s v="Labour + Pulvérisation"/>
    <n v="4"/>
    <s v="DIOULKÉMÈ"/>
    <s v="Ck98"/>
    <s v="3 mois"/>
    <d v="2023-05-25T00:00:00"/>
    <m/>
    <s v="Soriba Moustapha Camara"/>
    <s v="Riz"/>
    <x v="0"/>
    <m/>
    <m/>
    <x v="19"/>
    <m/>
    <m/>
    <m/>
    <m/>
  </r>
  <r>
    <d v="2023-05-11T11:30:54"/>
    <s v="Kérouané"/>
    <s v="Centre"/>
    <s v="Individuel"/>
    <s v="Mory vice Camara"/>
    <n v="626857580"/>
    <n v="626855780"/>
    <s v="Kérouane Centre"/>
    <n v="3"/>
    <s v="Labour - uniquement"/>
    <n v="1"/>
    <s v="Moussagbe"/>
    <s v="Moussagbe"/>
    <s v="9 mois"/>
    <d v="2023-05-13T00:00:00"/>
    <m/>
    <s v="Moussa Kadia Camara"/>
    <s v="Riz"/>
    <x v="1"/>
    <n v="1"/>
    <d v="2023-05-12T00:00:00"/>
    <x v="16"/>
    <s v="7KNE001T"/>
    <m/>
    <m/>
    <m/>
  </r>
  <r>
    <d v="2023-05-11T11:33:46"/>
    <s v="Kérouané"/>
    <s v="Centre"/>
    <s v="Individuel"/>
    <s v="Amara Camara"/>
    <n v="656766360"/>
    <n v="656767360"/>
    <s v="Kérouane Centre"/>
    <n v="8"/>
    <s v="Labour - uniquement"/>
    <n v="2"/>
    <s v="Sanbadji"/>
    <s v="Sanbadji"/>
    <s v="6 mois"/>
    <d v="2023-05-14T00:00:00"/>
    <m/>
    <s v="Moussa Kadia Camara"/>
    <s v="Riz"/>
    <x v="1"/>
    <n v="2"/>
    <d v="2023-05-12T00:00:00"/>
    <x v="16"/>
    <s v="7KNE007T"/>
    <m/>
    <m/>
    <m/>
  </r>
  <r>
    <d v="2023-05-11T11:36:19"/>
    <s v="Kérouané"/>
    <s v="Centre"/>
    <s v="Individuel"/>
    <s v="Mamadi Camara"/>
    <n v="622605012"/>
    <n v="622605012"/>
    <s v="Kérouane Centre"/>
    <n v="3"/>
    <s v="Labour - uniquement"/>
    <n v="2"/>
    <s v="Samory"/>
    <s v="Samory"/>
    <s v="5 mois"/>
    <d v="2023-05-12T00:00:00"/>
    <m/>
    <s v="Moussa Kadia Camara"/>
    <s v="Riz"/>
    <x v="1"/>
    <n v="2"/>
    <d v="2023-05-12T00:00:00"/>
    <x v="16"/>
    <s v="7KNE002T"/>
    <m/>
    <m/>
    <m/>
  </r>
  <r>
    <d v="2023-05-11T11:38:37"/>
    <s v="Kérouané"/>
    <s v="Centre"/>
    <s v="Individuel"/>
    <s v="Fodé Konaté"/>
    <n v="622900366"/>
    <n v="622900366"/>
    <s v="Kérouane Centre"/>
    <n v="12"/>
    <s v="Labour - uniquement"/>
    <n v="5"/>
    <s v="Moussagbe"/>
    <s v="Moussagbe"/>
    <s v="9 mois"/>
    <d v="2023-05-14T00:00:00"/>
    <m/>
    <s v="Moussa Kadia Camara"/>
    <s v="Riz"/>
    <x v="1"/>
    <n v="5"/>
    <d v="2023-05-12T00:00:00"/>
    <x v="16"/>
    <s v="7KNE007T"/>
    <m/>
    <m/>
    <m/>
  </r>
  <r>
    <d v="2023-05-11T11:42:16"/>
    <s v="Kérouané"/>
    <s v="Centre"/>
    <s v="Individuel"/>
    <s v="Yomba kourouma"/>
    <n v="626834750"/>
    <n v="626834750"/>
    <s v="Kérouane Centre"/>
    <n v="55"/>
    <s v="Labour - uniquement"/>
    <n v="9"/>
    <s v="Samory Djoufini moussagbe"/>
    <s v="Samory Djoufini moussagbe"/>
    <s v="9 mois"/>
    <d v="2023-05-13T00:00:00"/>
    <m/>
    <s v="Moussa Kadia Camara"/>
    <s v="Riz"/>
    <x v="1"/>
    <n v="9"/>
    <d v="2023-05-12T00:00:00"/>
    <x v="16"/>
    <s v="7KNE006T"/>
    <m/>
    <m/>
    <m/>
  </r>
  <r>
    <d v="2023-05-11T11:44:44"/>
    <s v="Kérouané"/>
    <s v="Centre"/>
    <s v="Individuel"/>
    <s v="Sékouba Cissé"/>
    <n v="621598957"/>
    <n v="621598957"/>
    <s v="Kérouane Centre"/>
    <n v="15"/>
    <s v="Labour - uniquement"/>
    <n v="3"/>
    <s v="Samory"/>
    <s v="Samory"/>
    <s v="5 mois"/>
    <d v="2023-05-14T00:00:00"/>
    <m/>
    <s v="Moussa Kadia Camara"/>
    <s v="Riz"/>
    <x v="1"/>
    <n v="3"/>
    <d v="2023-05-12T00:00:00"/>
    <x v="16"/>
    <s v="7KNE001T"/>
    <m/>
    <m/>
    <m/>
  </r>
  <r>
    <d v="2023-05-11T11:46:36"/>
    <s v="Gaoual"/>
    <s v="C U"/>
    <s v="Collectif"/>
    <s v="SADIO KONDJIRA"/>
    <n v="622465274"/>
    <m/>
    <s v="Koumbia"/>
    <n v="14"/>
    <s v="Labour + Pulvérisation"/>
    <n v="10"/>
    <s v="DIOULKÉMÈ"/>
    <s v="Ck 90"/>
    <s v="3 mois"/>
    <d v="2023-05-25T00:00:00"/>
    <m/>
    <s v="Soriba Moustapha Camara"/>
    <s v="Riz"/>
    <x v="0"/>
    <m/>
    <m/>
    <x v="19"/>
    <m/>
    <m/>
    <m/>
    <m/>
  </r>
  <r>
    <d v="2023-05-11T11:47:32"/>
    <s v="Kérouané"/>
    <s v="Centre"/>
    <s v="Individuel"/>
    <s v="Lonceny bamba"/>
    <n v="623925687"/>
    <n v="623925687"/>
    <s v="Kérouane Centre"/>
    <n v="12"/>
    <s v="Labour - uniquement"/>
    <n v="3"/>
    <s v="Sanbadji"/>
    <s v="Sanbadji"/>
    <s v="6 mois"/>
    <d v="2023-05-14T00:00:00"/>
    <m/>
    <s v="Moussa Kadia Camara"/>
    <s v="Riz"/>
    <x v="1"/>
    <n v="3"/>
    <d v="2023-05-12T00:00:00"/>
    <x v="16"/>
    <s v="7KNE001T"/>
    <m/>
    <m/>
    <m/>
  </r>
  <r>
    <d v="2023-05-11T12:30:42"/>
    <s v="Guéckédou"/>
    <s v="Guéckédou centre"/>
    <s v="Individuel"/>
    <s v="Fara nitan tolno"/>
    <n v="622427175"/>
    <n v="622427175"/>
    <s v="Nongoa"/>
    <n v="27"/>
    <s v="Labour - uniquement"/>
    <n v="4"/>
    <s v="Ck90"/>
    <s v="Ck90"/>
    <s v="4 mois"/>
    <d v="2023-05-11T00:00:00"/>
    <s v="Ok"/>
    <s v="Lamine Condé"/>
    <s v="Riz"/>
    <x v="1"/>
    <n v="4"/>
    <d v="2023-05-11T00:00:00"/>
    <x v="16"/>
    <s v="8GOU001T"/>
    <m/>
    <m/>
    <m/>
  </r>
  <r>
    <d v="2023-05-11T13:15:34"/>
    <s v="Coyah"/>
    <s v="Centre ville"/>
    <s v="Individuel"/>
    <s v="Sanoussy Cissé"/>
    <n v="623071025"/>
    <m/>
    <s v="Kouriya"/>
    <n v="17"/>
    <s v="Labour - uniquement"/>
    <n v="2"/>
    <s v="Local"/>
    <s v="Totolaa"/>
    <s v="4 mois"/>
    <d v="2023-05-15T00:00:00"/>
    <m/>
    <s v="Ousmane Tangaly Balde"/>
    <s v="Riz"/>
    <x v="0"/>
    <m/>
    <m/>
    <x v="19"/>
    <m/>
    <m/>
    <m/>
    <m/>
  </r>
  <r>
    <d v="2023-05-11T13:28:57"/>
    <s v="Coyah"/>
    <s v="Centre ville Coyah"/>
    <s v="Collectif"/>
    <s v="Thierno Mamadou Oury Diallo"/>
    <n v="622373326"/>
    <m/>
    <s v="Wonkifong"/>
    <n v="25"/>
    <s v="Labour - uniquement"/>
    <n v="5"/>
    <s v="Varieté local"/>
    <s v="Yegueti oriza belatima"/>
    <s v="5 mois"/>
    <d v="2023-05-15T00:00:00"/>
    <m/>
    <s v="Ousmane Tangaly Balde"/>
    <s v="Riz"/>
    <x v="0"/>
    <m/>
    <m/>
    <x v="19"/>
    <m/>
    <m/>
    <m/>
    <m/>
  </r>
  <r>
    <d v="2023-05-11T16:04:35"/>
    <s v="Dubréka"/>
    <s v="Ouassou"/>
    <s v="Individuel"/>
    <s v="Mohamed Sylla"/>
    <n v="626118226"/>
    <n v="626118226"/>
    <s v="Koba-Tatema"/>
    <n v="10"/>
    <s v="Labour - uniquement"/>
    <n v="2"/>
    <s v="Massaraka"/>
    <s v="Nereka"/>
    <s v="6 mois"/>
    <d v="2023-05-11T00:00:00"/>
    <s v="Accord"/>
    <s v="Kissi Camara"/>
    <s v="Riz"/>
    <x v="1"/>
    <n v="2"/>
    <d v="2023-05-11T00:00:00"/>
    <x v="16"/>
    <s v="2DKA001T"/>
    <m/>
    <m/>
    <m/>
  </r>
  <r>
    <d v="2023-05-11T16:08:40"/>
    <s v="Dabola"/>
    <s v="Foundeng 1"/>
    <s v="Individuel"/>
    <s v="Morlaye Kouyaté"/>
    <n v="622080455"/>
    <m/>
    <s v="Dabola Centre"/>
    <n v="6"/>
    <s v="Labour - uniquement"/>
    <n v="3"/>
    <s v="Ck90"/>
    <s v="Ck90"/>
    <s v="4 mois"/>
    <d v="2023-05-12T00:00:00"/>
    <m/>
    <s v="Souleymane Kanté"/>
    <s v="Riz"/>
    <x v="1"/>
    <n v="3"/>
    <d v="2023-05-12T00:00:00"/>
    <x v="16"/>
    <s v="6DLA001T"/>
    <m/>
    <m/>
    <m/>
  </r>
  <r>
    <d v="2023-05-11T16:14:53"/>
    <s v="Mamou"/>
    <s v="Petel Mamou"/>
    <s v="Individuel"/>
    <s v="Noumez savane"/>
    <n v="621034713"/>
    <m/>
    <s v="Ouré-Kaba"/>
    <n v="55"/>
    <s v="Labour - uniquement"/>
    <n v="1"/>
    <s v="Seydouba"/>
    <s v="CK90"/>
    <s v="4 mois"/>
    <d v="2023-11-14T00:00:00"/>
    <s v="Tout commence bien"/>
    <s v="Mamadouba Camara"/>
    <s v="Riz"/>
    <x v="0"/>
    <m/>
    <m/>
    <x v="19"/>
    <m/>
    <m/>
    <m/>
    <m/>
  </r>
  <r>
    <d v="2023-05-11T16:20:46"/>
    <s v="Dinguiraye"/>
    <s v="Dinguiraye centre"/>
    <s v="Individuel"/>
    <s v="Kèdjan Keita"/>
    <n v="628990054"/>
    <m/>
    <s v="Banora"/>
    <n v="87"/>
    <s v="Labour - uniquement"/>
    <n v="4"/>
    <s v="Djoukeme"/>
    <s v="Djoukeme"/>
    <s v="4 mois"/>
    <d v="2023-05-12T00:00:00"/>
    <s v="C'est dans village à 6km de Banora mais dans siguiri 100 et quelques kilomètres de centre ville de siguiri."/>
    <s v="Mamadou 1 Diallo"/>
    <s v="Riz"/>
    <x v="1"/>
    <n v="4"/>
    <d v="2023-05-12T00:00:00"/>
    <x v="16"/>
    <s v="6DYE004T"/>
    <m/>
    <m/>
    <m/>
  </r>
  <r>
    <d v="2023-05-11T16:33:05"/>
    <s v="Dabola"/>
    <s v="Foundeng 1"/>
    <s v="Individuel"/>
    <s v="Mamadi Fofana"/>
    <n v="621477422"/>
    <m/>
    <s v="Dabola Centre"/>
    <n v="6"/>
    <s v="Labour - uniquement"/>
    <n v="1"/>
    <s v="Ck90"/>
    <s v="Ck90"/>
    <s v="4 mois"/>
    <d v="2023-05-12T00:00:00"/>
    <m/>
    <s v="Souleymane Kanté"/>
    <s v="Riz"/>
    <x v="1"/>
    <n v="1"/>
    <d v="2023-05-12T00:00:00"/>
    <x v="16"/>
    <s v="6DLA001T"/>
    <m/>
    <m/>
    <m/>
  </r>
  <r>
    <d v="2023-05-11T16:58:37"/>
    <s v="Siguiri"/>
    <s v="Siguiri"/>
    <s v="Individuel"/>
    <s v="Souleymane Kanté"/>
    <n v="628527904"/>
    <m/>
    <s v="Siguiri Centre"/>
    <n v="3"/>
    <s v="Déchaumage"/>
    <n v="2"/>
    <s v="Nerica19"/>
    <s v="Nerica19"/>
    <s v="4 mois"/>
    <d v="2023-05-12T00:00:00"/>
    <m/>
    <s v="Nanamoudou ll Magassouba"/>
    <s v="Riz"/>
    <x v="1"/>
    <n v="2"/>
    <d v="2023-05-11T00:00:00"/>
    <x v="16"/>
    <s v="7SRI006T"/>
    <m/>
    <m/>
    <m/>
  </r>
  <r>
    <d v="2023-05-11T17:02:08"/>
    <s v="Siguiri"/>
    <s v="Siguiri"/>
    <s v="Individuel"/>
    <s v="Aboubacar Sidiki MAGASSOUBA"/>
    <n v="622515121"/>
    <m/>
    <s v="Kintinian"/>
    <n v="17"/>
    <s v="Déchaumage"/>
    <n v="3"/>
    <s v="Nenkin"/>
    <s v="Nenkin"/>
    <s v="3 mois"/>
    <d v="2023-05-14T00:00:00"/>
    <m/>
    <s v="Nanamoudou ll Magassouba"/>
    <s v="Riz"/>
    <x v="1"/>
    <n v="3"/>
    <d v="2023-05-11T00:00:00"/>
    <x v="16"/>
    <s v="7SRI006T"/>
    <m/>
    <m/>
    <m/>
  </r>
  <r>
    <d v="2023-05-11T21:44:12"/>
    <s v="Nzérékoré"/>
    <s v="Kouankan centre"/>
    <s v="Individuel"/>
    <s v="Famo camara"/>
    <n v="622833959"/>
    <m/>
    <s v="Kouankan"/>
    <n v="4"/>
    <s v="Labour - uniquement"/>
    <n v="3"/>
    <s v="Ck90"/>
    <s v="Riz"/>
    <s v="4 mois"/>
    <d v="2023-05-08T00:00:00"/>
    <m/>
    <s v="Mohamed Kone"/>
    <s v="Riz"/>
    <x v="0"/>
    <m/>
    <m/>
    <x v="19"/>
    <m/>
    <m/>
    <m/>
    <m/>
  </r>
  <r>
    <d v="2023-05-11T21:48:21"/>
    <s v="Nzérékoré"/>
    <s v="Kouankan centre"/>
    <s v="Individuel"/>
    <s v="LONCENY CAMARA"/>
    <n v="628601528"/>
    <m/>
    <s v="Kouankan"/>
    <n v="4"/>
    <s v="Labour - uniquement"/>
    <n v="1"/>
    <s v="Ck90"/>
    <s v="Riz"/>
    <s v="4 mois"/>
    <d v="2023-05-07T00:00:00"/>
    <m/>
    <s v="Mohamed Kone"/>
    <s v="Riz"/>
    <x v="0"/>
    <m/>
    <m/>
    <x v="19"/>
    <m/>
    <m/>
    <m/>
    <m/>
  </r>
  <r>
    <d v="2023-05-11T21:52:21"/>
    <s v="Nzérékoré"/>
    <s v="Kouankan centre"/>
    <s v="Individuel"/>
    <s v="Kassan sidiki"/>
    <n v="620495470"/>
    <m/>
    <s v="Kouankan"/>
    <n v="3"/>
    <s v="Labour - uniquement"/>
    <n v="3"/>
    <s v="Riz"/>
    <s v="Riz"/>
    <s v="5 mois"/>
    <d v="2023-05-13T00:00:00"/>
    <m/>
    <s v="Mohamed Kone"/>
    <s v="Riz"/>
    <x v="0"/>
    <m/>
    <m/>
    <x v="19"/>
    <m/>
    <m/>
    <m/>
    <m/>
  </r>
  <r>
    <d v="2023-05-12T09:13:35"/>
    <s v="Forécariah"/>
    <s v="Forécariah"/>
    <s v="Individuel"/>
    <s v="Idrissa Sylla"/>
    <n v="628518639"/>
    <m/>
    <s v="Sikhourou"/>
    <n v="55"/>
    <s v="Labour - uniquement"/>
    <n v="2"/>
    <s v="Ck-90"/>
    <s v="Ck-90"/>
    <s v="6 mois"/>
    <d v="2023-05-12T00:00:00"/>
    <m/>
    <s v="Diamouré keita"/>
    <s v="Riz"/>
    <x v="1"/>
    <n v="2"/>
    <d v="2023-05-12T00:00:00"/>
    <x v="16"/>
    <s v="2FAH004T"/>
    <m/>
    <m/>
    <m/>
  </r>
  <r>
    <d v="2023-05-12T10:50:00"/>
    <s v="Siguiri"/>
    <s v="Siguiri"/>
    <s v="Individuel"/>
    <s v="Karifa MAGASSOUBA"/>
    <n v="622204917"/>
    <m/>
    <s v="Siguiri Centre"/>
    <n v="3"/>
    <s v="Déchaumage"/>
    <n v="1"/>
    <s v="Nenkin"/>
    <s v="Nenkin"/>
    <s v="3 mois"/>
    <d v="2023-05-13T00:00:00"/>
    <m/>
    <s v="Nanamoudou ll Magassouba"/>
    <s v="Riz"/>
    <x v="1"/>
    <n v="1"/>
    <d v="2023-05-12T00:00:00"/>
    <x v="16"/>
    <s v="7SRI006T"/>
    <m/>
    <m/>
    <m/>
  </r>
  <r>
    <d v="2023-05-12T15:00:34"/>
    <s v="Mandiana"/>
    <s v="Cours du bloc Administratif"/>
    <s v="Collectif"/>
    <s v="Mamadi KOULIBALY"/>
    <n v="621308317"/>
    <m/>
    <s v="Dialakoro"/>
    <n v="121"/>
    <s v="Labour + Pulvérisation"/>
    <n v="37"/>
    <s v="Nerica 19"/>
    <s v="Nerica"/>
    <s v="4 mois"/>
    <d v="2023-06-25T00:00:00"/>
    <s v="Aptes pour la mécanisation"/>
    <s v="Nounkè Doumbouya"/>
    <s v="Riz"/>
    <x v="0"/>
    <m/>
    <m/>
    <x v="19"/>
    <m/>
    <m/>
    <m/>
    <m/>
  </r>
  <r>
    <d v="2023-05-12T15:03:23"/>
    <s v="Mandiana"/>
    <s v="Cours du bloc Administratif"/>
    <s v="Collectif"/>
    <s v="Yaya ouléni KOULIBALY"/>
    <n v="622568113"/>
    <m/>
    <s v="Dialakoro"/>
    <n v="129"/>
    <s v="Labour + Pulvérisation"/>
    <n v="35"/>
    <s v="Dadoumani malo"/>
    <s v="Ne connais pas"/>
    <s v="4 mois"/>
    <d v="2023-06-15T00:00:00"/>
    <s v="Aptes pour la mécanisation"/>
    <s v="Nounkè Doumbouya"/>
    <s v="Riz"/>
    <x v="0"/>
    <m/>
    <m/>
    <x v="19"/>
    <m/>
    <m/>
    <m/>
    <m/>
  </r>
  <r>
    <d v="2023-05-12T15:07:36"/>
    <s v="Mandiana"/>
    <s v="Cours du bloc Administratif"/>
    <s v="Collectif"/>
    <s v="Mamadi SAMAKE"/>
    <n v="622905388"/>
    <m/>
    <s v="Dialakoro"/>
    <n v="125"/>
    <s v="Labour + Pulvérisation"/>
    <n v="50"/>
    <s v="Sweta, nenken, Nerica"/>
    <s v="Sweta, nenken, Nerica 19"/>
    <s v="4 mois"/>
    <d v="2023-06-25T00:00:00"/>
    <s v="Aptes pour la mécanisation"/>
    <s v="Nounkè Doumbouya"/>
    <s v="Riz"/>
    <x v="0"/>
    <m/>
    <m/>
    <x v="19"/>
    <m/>
    <m/>
    <m/>
    <m/>
  </r>
  <r>
    <d v="2023-05-12T16:41:51"/>
    <s v="Macenta"/>
    <s v="Direction préfectorale de l'agriculture et de l'élevage de macenta"/>
    <s v="Individuel"/>
    <s v="Mohamed Lamine souare"/>
    <n v="623307341"/>
    <m/>
    <s v="Kouankan"/>
    <n v="90"/>
    <s v="Labour - uniquement"/>
    <n v="7"/>
    <s v="Djoukèmè"/>
    <s v="Oriza sativa"/>
    <s v="5 mois"/>
    <d v="2023-05-18T00:00:00"/>
    <s v="Pas"/>
    <s v="Alexandre Kpoghomou"/>
    <s v="Riz"/>
    <x v="1"/>
    <n v="7"/>
    <d v="2023-05-12T00:00:00"/>
    <x v="16"/>
    <s v="8MTA003T"/>
    <m/>
    <m/>
    <m/>
  </r>
  <r>
    <d v="2023-05-12T16:45:33"/>
    <s v="Macenta"/>
    <s v="Direction préfectorale de l'agriculture et de l'élevage de macenta"/>
    <s v="Individuel"/>
    <s v="Jeanine koivogui"/>
    <n v="624909710"/>
    <m/>
    <s v="Macenta Centre"/>
    <n v="18"/>
    <s v="Labour - uniquement"/>
    <n v="3"/>
    <s v="Chinoiba"/>
    <s v="Oriza sativa"/>
    <s v="5 mois"/>
    <d v="2023-05-17T00:00:00"/>
    <s v="Pas"/>
    <s v="Alexandre Kpoghomou"/>
    <s v="Riz"/>
    <x v="1"/>
    <n v="3"/>
    <d v="2023-05-12T00:00:00"/>
    <x v="16"/>
    <s v="8MTA004T"/>
    <m/>
    <m/>
    <m/>
  </r>
  <r>
    <d v="2023-05-13T10:13:34"/>
    <s v="Siguiri"/>
    <s v="Siguiri"/>
    <s v="Individuel"/>
    <s v="Kabinet KEITA"/>
    <n v="622648983"/>
    <m/>
    <s v="Siguiri Centre"/>
    <n v="25"/>
    <s v="Labour - uniquement"/>
    <n v="10"/>
    <s v="Korônin Kaba"/>
    <s v="MAÏS"/>
    <s v="3 mois"/>
    <d v="2023-05-16T00:00:00"/>
    <m/>
    <s v="Nanamoudou ll Magassouba"/>
    <s v="Maïs"/>
    <x v="1"/>
    <n v="10"/>
    <d v="2023-05-16T00:00:00"/>
    <x v="4"/>
    <s v="7SRI006T"/>
    <m/>
    <m/>
    <m/>
  </r>
  <r>
    <d v="2023-05-13T12:24:50"/>
    <s v="Guéckédou"/>
    <s v="Guéckédou centre"/>
    <s v="Individuel"/>
    <s v="Kader Kamano"/>
    <n v="624867158"/>
    <n v="624867158"/>
    <s v="Guéckédou Centre"/>
    <n v="5"/>
    <s v="Labour - uniquement"/>
    <n v="1"/>
    <s v="Ck90"/>
    <s v="Ck90"/>
    <s v="4 mois"/>
    <d v="2023-05-13T00:00:00"/>
    <s v="OK"/>
    <s v="Lamine Condé"/>
    <s v="Riz"/>
    <x v="1"/>
    <n v="1"/>
    <d v="2023-05-15T00:00:00"/>
    <x v="4"/>
    <s v="8GOU003T"/>
    <m/>
    <m/>
    <m/>
  </r>
  <r>
    <d v="2023-05-13T13:09:36"/>
    <s v="Mamou"/>
    <s v="Petel Mamou"/>
    <s v="Individuel"/>
    <s v="Amadou kade Barry"/>
    <n v="624432376"/>
    <m/>
    <s v="Ouré-Kaba"/>
    <n v="65"/>
    <s v="Labour - uniquement"/>
    <n v="6"/>
    <s v="Seydouba"/>
    <s v="CK90"/>
    <s v="4 mois"/>
    <d v="2023-11-22T00:00:00"/>
    <s v="Tout va bien"/>
    <s v="Mamadouba Camara"/>
    <s v="Riz"/>
    <x v="0"/>
    <m/>
    <m/>
    <x v="19"/>
    <m/>
    <m/>
    <m/>
    <m/>
  </r>
  <r>
    <d v="2023-05-13T13:42:46"/>
    <s v="Dabola"/>
    <s v="Foundeng 1"/>
    <s v="Individuel"/>
    <s v="Sidiki camara"/>
    <n v="628352013"/>
    <m/>
    <s v="Dabola Centre"/>
    <n v="6"/>
    <s v="Labour - uniquement"/>
    <n v="2"/>
    <s v="Riz flottant"/>
    <s v="Riz flottant"/>
    <s v="6 mois"/>
    <d v="2023-05-15T00:00:00"/>
    <m/>
    <s v="Souleymane Kanté"/>
    <s v="Riz"/>
    <x v="0"/>
    <m/>
    <m/>
    <x v="19"/>
    <m/>
    <m/>
    <m/>
    <m/>
  </r>
  <r>
    <d v="2023-05-13T14:05:50"/>
    <s v="Faranah"/>
    <s v="Aviation"/>
    <s v="Individuel"/>
    <s v="Moussa sidibé"/>
    <n v="625371313"/>
    <m/>
    <s v="Maréla"/>
    <n v="95"/>
    <s v="Labour - uniquement"/>
    <n v="10"/>
    <s v="Mettre 6"/>
    <s v="Mettre 6"/>
    <s v="6 mois"/>
    <d v="2023-05-14T00:00:00"/>
    <m/>
    <s v="Mohamed Fanta kourouma"/>
    <s v="Riz"/>
    <x v="1"/>
    <n v="10"/>
    <d v="2023-05-15T00:00:00"/>
    <x v="4"/>
    <s v="6FAH002T"/>
    <m/>
    <m/>
    <m/>
  </r>
  <r>
    <d v="2023-05-14T09:51:06"/>
    <s v="Kankan"/>
    <s v="Bordeaux"/>
    <s v="Individuel"/>
    <s v="Berema 1 Traoré"/>
    <n v="628390161"/>
    <n v="0"/>
    <s v="Sabadou-Baranama"/>
    <n v="80"/>
    <s v="Labour - uniquement"/>
    <n v="2"/>
    <s v="Chinois"/>
    <s v="Variété locale"/>
    <s v="6 mois"/>
    <d v="2023-05-13T00:00:00"/>
    <s v="Petit producteur"/>
    <s v="Moussa Alamako Keita"/>
    <s v="Riz"/>
    <x v="0"/>
    <m/>
    <m/>
    <x v="19"/>
    <m/>
    <m/>
    <m/>
    <m/>
  </r>
  <r>
    <d v="2023-05-14T09:56:40"/>
    <s v="Forécariah"/>
    <s v="Forecariah"/>
    <s v="Individuel"/>
    <s v="Abdoulaye kongo Touré"/>
    <n v="620132400"/>
    <m/>
    <s v="Alassoya"/>
    <n v="20"/>
    <s v="Labour - uniquement"/>
    <n v="10"/>
    <s v="Ck-90"/>
    <s v="Ck-90"/>
    <s v="5 mois"/>
    <d v="2023-05-15T00:00:00"/>
    <m/>
    <s v="Diamouré keita"/>
    <s v="Riz"/>
    <x v="1"/>
    <n v="10"/>
    <d v="2023-05-15T00:00:00"/>
    <x v="4"/>
    <s v="2FAH004T"/>
    <m/>
    <m/>
    <m/>
  </r>
  <r>
    <d v="2023-05-14T09:56:43"/>
    <s v="Kankan"/>
    <s v="Bordeaux"/>
    <s v="Collectif"/>
    <s v="Kalou Dioubate"/>
    <n v="622238490"/>
    <n v="0"/>
    <s v="Koumban"/>
    <n v="40"/>
    <s v="Labour - uniquement"/>
    <n v="4"/>
    <s v="Nema"/>
    <s v="Variété locale"/>
    <s v="5 mois"/>
    <d v="2023-05-16T00:00:00"/>
    <s v="Petit producteur"/>
    <s v="Moussa Alamako Keita"/>
    <s v="Riz"/>
    <x v="1"/>
    <n v="6"/>
    <d v="2023-05-15T00:00:00"/>
    <x v="4"/>
    <s v="7KAN003T"/>
    <m/>
    <m/>
    <m/>
  </r>
  <r>
    <d v="2023-05-14T11:06:54"/>
    <s v="Dabola"/>
    <s v="Foundeng 1"/>
    <s v="Individuel"/>
    <s v="Mamadou Aliou Barry"/>
    <n v="621032935"/>
    <m/>
    <s v="Konindou"/>
    <n v="35"/>
    <s v="Labour - uniquement"/>
    <n v="35"/>
    <s v="Ck90"/>
    <s v="Ck90"/>
    <s v="4 mois"/>
    <d v="2023-05-17T00:00:00"/>
    <m/>
    <s v="Souleymane Kanté"/>
    <s v="Riz"/>
    <x v="0"/>
    <m/>
    <m/>
    <x v="19"/>
    <m/>
    <m/>
    <m/>
    <m/>
  </r>
  <r>
    <d v="2023-05-14T11:14:06"/>
    <s v="Forécariah"/>
    <s v="Forecariah"/>
    <s v="Individuel"/>
    <s v="Imam jamil Bamgoura"/>
    <n v="622861653"/>
    <m/>
    <s v="Sikhourou"/>
    <n v="65"/>
    <s v="Labour - uniquement"/>
    <n v="15"/>
    <s v="Ck-90 et Tokombo"/>
    <s v="Ck-90 et Tokombo"/>
    <s v="9 mois"/>
    <d v="2023-05-15T00:00:00"/>
    <m/>
    <s v="Diamouré keita"/>
    <s v="Riz et manioc"/>
    <x v="1"/>
    <n v="15"/>
    <d v="2023-05-15T00:00:00"/>
    <x v="4"/>
    <s v="2FAH005T"/>
    <m/>
    <m/>
    <m/>
  </r>
  <r>
    <d v="2023-05-14T11:15:59"/>
    <s v="Dabola"/>
    <s v="Foundeng 1"/>
    <s v="Individuel"/>
    <s v="Aliou Barry"/>
    <n v="621032935"/>
    <m/>
    <s v="Konindou"/>
    <n v="35"/>
    <s v="Pulvérisation - uniquement"/>
    <n v="20"/>
    <s v="Ck90"/>
    <s v="Ck90"/>
    <s v="4 mois"/>
    <d v="2023-05-16T00:00:00"/>
    <m/>
    <s v="Souleymane Kanté"/>
    <s v="Riz"/>
    <x v="0"/>
    <m/>
    <m/>
    <x v="19"/>
    <m/>
    <m/>
    <m/>
    <m/>
  </r>
  <r>
    <d v="2023-05-14T11:43:41"/>
    <s v="Guéckédou"/>
    <s v="Guéckédou centre"/>
    <s v="Individuel"/>
    <s v="Facely Condé"/>
    <n v="621858667"/>
    <n v="621858667"/>
    <s v="Guéckédou Centre"/>
    <n v="3"/>
    <s v="Labour - uniquement"/>
    <n v="1"/>
    <s v="Ck90"/>
    <s v="Ck90"/>
    <s v="4 mois"/>
    <d v="2023-05-14T00:00:00"/>
    <s v="OK"/>
    <s v="Lamine Condé"/>
    <s v="Riz"/>
    <x v="1"/>
    <n v="1.5"/>
    <d v="2023-05-15T00:00:00"/>
    <x v="4"/>
    <s v="8GOU003T"/>
    <m/>
    <m/>
    <m/>
  </r>
  <r>
    <d v="2023-05-14T12:07:38"/>
    <s v="Siguiri"/>
    <s v="Siguiri"/>
    <s v="Collectif"/>
    <s v="Mamadi CAMARA"/>
    <n v="628845822"/>
    <m/>
    <s v="Maléa"/>
    <n v="100"/>
    <s v="Pulvérisation - uniquement"/>
    <n v="30"/>
    <s v="Dioukémé"/>
    <s v="Riz"/>
    <s v="5 mois"/>
    <d v="2023-05-20T00:00:00"/>
    <s v="Pulvérisage"/>
    <s v="Nanamoudou ll Magassouba"/>
    <s v="Riz"/>
    <x v="1"/>
    <n v="30"/>
    <d v="2023-05-15T00:00:00"/>
    <x v="4"/>
    <s v="7SRI006T"/>
    <m/>
    <m/>
    <m/>
  </r>
  <r>
    <d v="2023-05-14T13:10:00"/>
    <s v="Boké"/>
    <s v="Boké centre"/>
    <s v="Individuel"/>
    <s v="Sény Camara"/>
    <n v="620138754"/>
    <n v="0"/>
    <s v="Kolaboui"/>
    <n v="46"/>
    <s v="Labour + Pulvérisation"/>
    <n v="5"/>
    <s v="non"/>
    <s v="non"/>
    <s v="4 mois"/>
    <d v="2023-05-15T00:00:00"/>
    <s v="C'est dans la zone de kolaboui"/>
    <s v="Elhadj Souaré Mamadou Dian"/>
    <s v="Riz"/>
    <x v="1"/>
    <n v="5"/>
    <d v="2023-05-15T00:00:00"/>
    <x v="4"/>
    <s v="3BKE002T"/>
    <m/>
    <m/>
    <m/>
  </r>
  <r>
    <d v="2023-05-14T14:52:14"/>
    <s v="Dabola"/>
    <s v="Foundeng 1"/>
    <s v="Individuel"/>
    <s v="Amara cherif"/>
    <n v="622681371"/>
    <m/>
    <s v="Bissikrima"/>
    <n v="45"/>
    <s v="Labour - uniquement"/>
    <n v="12"/>
    <s v="Ck90"/>
    <s v="Ck90"/>
    <s v="4 mois"/>
    <d v="2023-05-20T00:00:00"/>
    <m/>
    <s v="Souleymane Kanté"/>
    <s v="Riz"/>
    <x v="0"/>
    <m/>
    <m/>
    <x v="0"/>
    <m/>
    <m/>
    <m/>
    <m/>
  </r>
  <r>
    <d v="2023-05-14T17:06:24"/>
    <s v="Dinguiraye"/>
    <s v="Dinguiraye centre"/>
    <s v="Individuel"/>
    <s v="Alpha traore"/>
    <n v="626064603"/>
    <m/>
    <s v="Banora"/>
    <n v="67"/>
    <s v="Labour - uniquement"/>
    <n v="5"/>
    <s v="Dissiba-oulén"/>
    <s v="Dissiba-oulén"/>
    <s v="4 mois"/>
    <d v="2023-05-16T00:00:00"/>
    <m/>
    <s v="Mamadou 1 Diallo"/>
    <s v="Riz"/>
    <x v="1"/>
    <n v="5"/>
    <d v="2023-05-15T00:00:00"/>
    <x v="4"/>
    <s v="6DYE004T"/>
    <m/>
    <m/>
    <m/>
  </r>
  <r>
    <d v="2023-05-14T18:22:49"/>
    <s v="Yomou"/>
    <s v="Yomou"/>
    <s v="Individuel"/>
    <s v="Sidiki Camara"/>
    <n v="620351445"/>
    <m/>
    <s v="Péla"/>
    <n v="25"/>
    <s v="Labour + Pulvérisation"/>
    <n v="1"/>
    <s v="Ck90"/>
    <s v="Oriza S/p"/>
    <s v="3 mois"/>
    <d v="2023-05-20T00:00:00"/>
    <m/>
    <s v="Nyankoye Edouard Balamou"/>
    <s v="Riz"/>
    <x v="0"/>
    <m/>
    <m/>
    <x v="19"/>
    <m/>
    <m/>
    <m/>
    <m/>
  </r>
  <r>
    <d v="2023-05-14T18:31:11"/>
    <s v="Yomou"/>
    <s v="Yomou"/>
    <s v="Individuel"/>
    <s v="Céwa Delamou"/>
    <n v="626348491"/>
    <m/>
    <s v="Bowé"/>
    <n v="50"/>
    <s v="Labour + Pulvérisation"/>
    <n v="2"/>
    <s v="Ck90"/>
    <s v="Oriza S/p"/>
    <s v="3 mois"/>
    <d v="2023-05-31T00:00:00"/>
    <m/>
    <s v="Nyankoye Edouard Balamou"/>
    <s v="Riz"/>
    <x v="0"/>
    <m/>
    <m/>
    <x v="19"/>
    <m/>
    <m/>
    <m/>
    <m/>
  </r>
  <r>
    <d v="2023-05-14T19:15:32"/>
    <s v="Tougué"/>
    <s v="Fatako"/>
    <s v="Individuel"/>
    <s v="Groupement agr..Santa"/>
    <n v="628184118"/>
    <m/>
    <s v="Fatako"/>
    <n v="4"/>
    <s v="Labour - uniquement"/>
    <n v="7"/>
    <s v="M6"/>
    <s v="Konko"/>
    <s v="6 mois"/>
    <d v="2023-05-06T00:00:00"/>
    <s v="Bafon à hydrmorphie permanente"/>
    <s v="Mamadou Aliou Balde"/>
    <s v="Riz"/>
    <x v="1"/>
    <n v="7"/>
    <d v="2023-05-16T00:00:00"/>
    <x v="4"/>
    <s v="5TUE001T"/>
    <m/>
    <m/>
    <m/>
  </r>
  <r>
    <d v="2023-05-14T19:23:25"/>
    <s v="Tougué"/>
    <s v="Fatako"/>
    <s v="Individuel"/>
    <s v="Abdourahmane Balde"/>
    <n v="622480221"/>
    <m/>
    <s v="Fatako"/>
    <n v="4"/>
    <s v="Labour - uniquement"/>
    <n v="2"/>
    <s v="Konko"/>
    <s v="M6"/>
    <s v="6 mois"/>
    <d v="2023-05-06T00:00:00"/>
    <s v="Sol à hydromorphie permanente ( bafon )"/>
    <s v="Mamadou Aliou Balde"/>
    <s v="Riz"/>
    <x v="1"/>
    <n v="2"/>
    <d v="2023-05-16T00:00:00"/>
    <x v="4"/>
    <s v="5TUE001T"/>
    <m/>
    <m/>
    <m/>
  </r>
  <r>
    <d v="2023-05-14T19:28:47"/>
    <s v="Tougué"/>
    <s v="Fatako"/>
    <s v="Individuel"/>
    <s v="Thierno Talibé Balde"/>
    <n v="628155908"/>
    <m/>
    <s v="Fatako"/>
    <n v="4"/>
    <s v="Labour - uniquement"/>
    <n v="2"/>
    <s v="Konko"/>
    <s v="M6"/>
    <s v="6 mois"/>
    <d v="2023-05-06T00:00:00"/>
    <s v="Sol hydrmorphie permanente ( bafon )"/>
    <s v="Mamadou Aliou Balde"/>
    <s v="Riz"/>
    <x v="1"/>
    <n v="2"/>
    <d v="2023-05-16T00:00:00"/>
    <x v="4"/>
    <s v="5TUE001T"/>
    <m/>
    <m/>
    <m/>
  </r>
  <r>
    <d v="2023-05-14T19:35:10"/>
    <s v="Tougué"/>
    <s v="Fatako"/>
    <s v="Individuel"/>
    <s v="El.Mamadou Baillo Balde"/>
    <n v="622426656"/>
    <m/>
    <s v="Fatako"/>
    <n v="4"/>
    <s v="Labour - uniquement"/>
    <n v="3"/>
    <s v="Konko"/>
    <s v="M6"/>
    <s v="6 mois"/>
    <d v="2023-05-06T00:00:00"/>
    <s v="Sol hydrmorphie permanente (bafon)"/>
    <s v="Mamadou Aliou Balde"/>
    <s v="Riz"/>
    <x v="1"/>
    <n v="3"/>
    <d v="2023-05-16T00:00:00"/>
    <x v="4"/>
    <s v="5TUE001T"/>
    <m/>
    <m/>
    <m/>
  </r>
  <r>
    <d v="2023-05-14T19:40:16"/>
    <s v="Tougué"/>
    <s v="Fatako"/>
    <s v="Individuel"/>
    <s v="Mamadou Samba Keita"/>
    <n v="622045513"/>
    <n v="669461548"/>
    <s v="Fatako"/>
    <n v="4"/>
    <s v="Labour - uniquement"/>
    <n v="2"/>
    <s v="Konko"/>
    <s v="M6"/>
    <s v="6 mois"/>
    <d v="2023-05-06T00:00:00"/>
    <s v="Sol hydrmorphie permanente ( bafon )"/>
    <s v="Mamadou Aliou Balde"/>
    <s v="Riz"/>
    <x v="1"/>
    <n v="2"/>
    <d v="2023-05-16T00:00:00"/>
    <x v="4"/>
    <s v="5TUE001T"/>
    <m/>
    <m/>
    <m/>
  </r>
  <r>
    <d v="2023-05-15T00:35:32"/>
    <s v="Mandiana"/>
    <s v="Cours du bloc Administratif"/>
    <s v="Individuel"/>
    <s v="Daouda Diallo"/>
    <n v="622878973"/>
    <m/>
    <s v="Faralako"/>
    <n v="11"/>
    <s v="Labour + Pulvérisation"/>
    <n v="7"/>
    <s v="Tambakelè"/>
    <s v="Ne connais pas"/>
    <s v="4 mois"/>
    <d v="2023-05-16T00:00:00"/>
    <s v="Aptes pour la mécanisation"/>
    <s v="Nounkè Doumbouya"/>
    <s v="Riz"/>
    <x v="1"/>
    <n v="3"/>
    <d v="2023-05-15T00:00:00"/>
    <x v="4"/>
    <s v="7MNA008T"/>
    <m/>
    <m/>
    <m/>
  </r>
  <r>
    <d v="2023-05-15T07:30:24"/>
    <s v="Macenta"/>
    <s v="Direction préfectorale de l'agriculture et de l'élevage de macenta"/>
    <s v="Collectif"/>
    <s v="Groupement de femmes Représenté par Dorcas onivogui"/>
    <n v="620279911"/>
    <m/>
    <s v="Daro"/>
    <n v="18"/>
    <s v="Labour - uniquement"/>
    <n v="5"/>
    <s v="Djoukèmè"/>
    <s v="Oriza sativa"/>
    <s v="5 mois"/>
    <d v="2023-05-25T00:00:00"/>
    <s v="Pas"/>
    <s v="Alexandre Kpoghomou"/>
    <s v="Riz"/>
    <x v="1"/>
    <n v="5"/>
    <d v="2023-05-15T00:00:00"/>
    <x v="4"/>
    <s v="8MTA004T"/>
    <m/>
    <m/>
    <m/>
  </r>
  <r>
    <d v="2023-05-15T07:55:55"/>
    <s v="Kouroussa"/>
    <s v="Wassabada"/>
    <s v="Individuel"/>
    <s v="Nounké Keita"/>
    <n v="620310360"/>
    <m/>
    <s v="Kouroussa Centre"/>
    <n v="12"/>
    <s v="Labour - uniquement"/>
    <n v="2"/>
    <s v="Bagnain"/>
    <s v="Bagnain"/>
    <s v="4 mois"/>
    <d v="2023-05-20T00:00:00"/>
    <m/>
    <s v="Ibrahima Kalil Fofana"/>
    <s v="Riz"/>
    <x v="0"/>
    <m/>
    <m/>
    <x v="19"/>
    <m/>
    <m/>
    <m/>
    <m/>
  </r>
  <r>
    <d v="2023-05-15T08:00:34"/>
    <s v="Kouroussa"/>
    <s v="Wassabada"/>
    <s v="Individuel"/>
    <s v="Lanceï Diabaté"/>
    <n v="624052378"/>
    <m/>
    <s v="Banfélé"/>
    <n v="42"/>
    <s v="Labour - uniquement"/>
    <n v="40"/>
    <s v="Manian"/>
    <s v="Manian"/>
    <s v="4 mois"/>
    <d v="2023-05-20T00:00:00"/>
    <m/>
    <s v="Ibrahima Kalil Fofana"/>
    <s v="Riz"/>
    <x v="0"/>
    <m/>
    <m/>
    <x v="19"/>
    <m/>
    <m/>
    <m/>
    <m/>
  </r>
  <r>
    <d v="2023-05-15T08:07:29"/>
    <s v="Kouroussa"/>
    <s v="Wassabada"/>
    <s v="Individuel"/>
    <s v="Noch doussou siné trare"/>
    <n v="621307794"/>
    <m/>
    <s v="Balato"/>
    <n v="40"/>
    <s v="Labour - uniquement"/>
    <n v="100"/>
    <s v="Bintoubala"/>
    <s v="Bintoubala"/>
    <s v="4 mois"/>
    <d v="2023-06-10T00:00:00"/>
    <m/>
    <s v="Ibrahima Kalil Fofana"/>
    <s v="Riz"/>
    <x v="0"/>
    <m/>
    <m/>
    <x v="19"/>
    <m/>
    <m/>
    <m/>
    <m/>
  </r>
  <r>
    <d v="2023-05-15T08:11:40"/>
    <s v="Kouroussa"/>
    <s v="Wassabada"/>
    <s v="Collectif"/>
    <s v="Noh doussou siné trore"/>
    <n v="621307794"/>
    <m/>
    <s v="Balato"/>
    <n v="40"/>
    <s v="Labour - uniquement"/>
    <n v="100"/>
    <s v="Bagnain"/>
    <s v="Bagnain"/>
    <s v="4 mois"/>
    <d v="2023-06-10T00:00:00"/>
    <m/>
    <s v="Ibrahima Kalil Fofana"/>
    <s v="Riz"/>
    <x v="0"/>
    <m/>
    <m/>
    <x v="19"/>
    <m/>
    <m/>
    <m/>
    <m/>
  </r>
  <r>
    <d v="2023-05-15T09:10:54"/>
    <s v="Beyla"/>
    <s v="Beyla centre"/>
    <s v="Individuel"/>
    <s v="Yakou Bayo"/>
    <n v="611664469"/>
    <m/>
    <s v="Gbéssoba"/>
    <n v="10"/>
    <s v="Labour - uniquement"/>
    <n v="7"/>
    <s v="kounvini"/>
    <s v="Riz"/>
    <s v="6 mois"/>
    <d v="2023-05-15T00:00:00"/>
    <m/>
    <s v="Moussa Conde"/>
    <s v="Riz"/>
    <x v="1"/>
    <n v="7"/>
    <d v="2023-05-15T00:00:00"/>
    <x v="4"/>
    <s v="8BLA010T"/>
    <m/>
    <m/>
    <m/>
  </r>
  <r>
    <d v="2023-05-15T09:23:40"/>
    <s v="Dubréka"/>
    <s v="Ouassou"/>
    <s v="Individuel"/>
    <s v="Mixalou Toure"/>
    <n v="621962157"/>
    <n v="621962157"/>
    <s v="Koba-Tatema"/>
    <n v="6"/>
    <s v="Labour - uniquement"/>
    <n v="2"/>
    <s v="Massaraka"/>
    <s v="Nereka"/>
    <s v="6 mois"/>
    <d v="2023-05-13T00:00:00"/>
    <s v="Accord"/>
    <s v="Kissi Camara"/>
    <s v="Riz"/>
    <x v="1"/>
    <n v="2"/>
    <d v="2023-05-15T00:00:00"/>
    <x v="4"/>
    <s v="2DKA001T"/>
    <m/>
    <m/>
    <m/>
  </r>
  <r>
    <d v="2023-05-15T09:39:43"/>
    <s v="Beyla"/>
    <s v="Beyla Centre"/>
    <s v="Individuel"/>
    <s v="Kemo magasin"/>
    <n v="626530039"/>
    <m/>
    <s v="Sinko"/>
    <n v="30"/>
    <s v="Labour - uniquement"/>
    <n v="8"/>
    <s v="Riz blanc"/>
    <s v="Riz Blanc"/>
    <s v="5 mois"/>
    <d v="2023-05-15T00:00:00"/>
    <m/>
    <s v="Moussa Conde"/>
    <s v="Riz"/>
    <x v="1"/>
    <n v="8"/>
    <d v="2023-05-15T00:00:00"/>
    <x v="4"/>
    <s v="8BLA013T"/>
    <m/>
    <m/>
    <m/>
  </r>
  <r>
    <d v="2023-05-15T10:49:15"/>
    <s v="Dabola"/>
    <s v="Foundeng 1"/>
    <s v="Individuel"/>
    <s v="Mody Majin Barry"/>
    <n v="622300912"/>
    <m/>
    <s v="Dabola Centre"/>
    <n v="10"/>
    <s v="Labour - uniquement"/>
    <n v="10"/>
    <s v="Ck90"/>
    <s v="Ck90"/>
    <s v="4 mois"/>
    <d v="2023-05-15T00:00:00"/>
    <m/>
    <s v="Souleymane Kanté"/>
    <s v="Riz"/>
    <x v="1"/>
    <n v="10"/>
    <d v="2023-05-15T00:00:00"/>
    <x v="4"/>
    <s v="6DLA001T"/>
    <m/>
    <m/>
    <m/>
  </r>
  <r>
    <d v="2023-05-15T11:08:33"/>
    <s v="Kouroussa"/>
    <s v="Wassabada"/>
    <s v="Collectif"/>
    <s v="Sidiki Condé"/>
    <n v="622642326"/>
    <m/>
    <s v="Kiniéro"/>
    <n v="65"/>
    <s v="Labour - uniquement"/>
    <n v="30"/>
    <s v="Samiakonko"/>
    <s v="Samiakonko"/>
    <s v="5 mois"/>
    <d v="2023-05-16T00:00:00"/>
    <m/>
    <s v="Ibrahima Kalil Fofana"/>
    <s v="Riz"/>
    <x v="1"/>
    <n v="30"/>
    <d v="2023-05-15T00:00:00"/>
    <x v="4"/>
    <s v="7KSA005T"/>
    <m/>
    <m/>
    <m/>
  </r>
  <r>
    <d v="2023-05-15T11:18:46"/>
    <s v="Kouroussa"/>
    <s v="Wassabada"/>
    <s v="Individuel"/>
    <s v="Saran mamoudou Traoré"/>
    <n v="623522351"/>
    <m/>
    <s v="Kouroussa Centre"/>
    <n v="8"/>
    <s v="Labour - uniquement"/>
    <n v="6"/>
    <s v="Bagnain"/>
    <s v="Bagnain"/>
    <s v="4 mois"/>
    <d v="2023-06-01T00:00:00"/>
    <m/>
    <s v="Ibrahima Kalil Fofana"/>
    <s v="Riz"/>
    <x v="0"/>
    <m/>
    <m/>
    <x v="19"/>
    <m/>
    <m/>
    <m/>
    <m/>
  </r>
  <r>
    <d v="2023-05-15T11:19:37"/>
    <s v="Dabola"/>
    <s v="Foundeng 1"/>
    <s v="Individuel"/>
    <s v="Amara cherif"/>
    <n v="622681371"/>
    <m/>
    <s v="Bissikrima"/>
    <n v="55"/>
    <s v="Labour - uniquement"/>
    <n v="2"/>
    <s v="Ck90"/>
    <s v="Ck90"/>
    <s v="4 mois"/>
    <d v="2023-05-15T00:00:00"/>
    <m/>
    <s v="Souleymane Kanté"/>
    <s v="Riz"/>
    <x v="1"/>
    <n v="2"/>
    <d v="2023-05-15T00:00:00"/>
    <x v="4"/>
    <s v="6DLA002T"/>
    <m/>
    <m/>
    <m/>
  </r>
  <r>
    <d v="2023-05-15T11:35:07"/>
    <s v="Guéckédou"/>
    <s v="Guéckédou centre"/>
    <s v="Individuel"/>
    <s v="Moriba sossoidouno"/>
    <n v="623652019"/>
    <n v="623652019"/>
    <s v="Terméssadou Djibo"/>
    <n v="31"/>
    <s v="Labour - uniquement"/>
    <n v="10"/>
    <s v="Ck90"/>
    <s v="Ck90"/>
    <s v="4 mois"/>
    <d v="2023-05-17T00:00:00"/>
    <s v="Ok"/>
    <s v="Lamine Condé"/>
    <s v="Riz"/>
    <x v="0"/>
    <m/>
    <m/>
    <x v="19"/>
    <m/>
    <m/>
    <m/>
    <m/>
  </r>
  <r>
    <d v="2023-05-15T11:40:53"/>
    <s v="Guéckédou"/>
    <s v="Guéckédou centre"/>
    <s v="Individuel"/>
    <s v="Tamba Kamano"/>
    <n v="656127202"/>
    <n v="656127202"/>
    <s v="Guéckédou Centre"/>
    <n v="3"/>
    <s v="Labour - uniquement"/>
    <n v="1"/>
    <s v="Ck90"/>
    <s v="Ck90"/>
    <s v="4 mois"/>
    <d v="2023-05-15T00:00:00"/>
    <s v="Ok"/>
    <s v="Lamine Condé"/>
    <s v="Riz"/>
    <x v="1"/>
    <n v="1"/>
    <d v="2023-05-15T00:00:00"/>
    <x v="4"/>
    <s v="8GOU003T"/>
    <m/>
    <m/>
    <m/>
  </r>
  <r>
    <d v="2023-05-15T12:57:24"/>
    <s v="Gaoual"/>
    <s v="C U"/>
    <s v="Collectif"/>
    <s v="COL. ABDOULAYE CAMARA"/>
    <n v="628231428"/>
    <m/>
    <s v="Koumbia"/>
    <n v="15"/>
    <s v="Labour + Pulvérisation"/>
    <n v="20"/>
    <s v="Ck 90"/>
    <s v="Ck90"/>
    <s v="3 mois"/>
    <d v="2023-05-26T00:00:00"/>
    <m/>
    <s v="Soriba Moustapha Camara"/>
    <s v="Riz"/>
    <x v="0"/>
    <m/>
    <m/>
    <x v="19"/>
    <m/>
    <m/>
    <m/>
    <m/>
  </r>
  <r>
    <d v="2023-05-15T13:07:45"/>
    <s v="Kérouané"/>
    <s v="Centre"/>
    <s v="Individuel"/>
    <s v="Amara soumaro"/>
    <n v="620769912"/>
    <n v="620769912"/>
    <s v="Kérouane Centre"/>
    <n v="3"/>
    <s v="Labour - uniquement"/>
    <n v="1"/>
    <s v="Samory"/>
    <s v="Samory"/>
    <s v="5 mois"/>
    <d v="2023-05-18T00:00:00"/>
    <m/>
    <s v="Moussa Kadia Camara"/>
    <s v="Riz"/>
    <x v="1"/>
    <n v="1"/>
    <d v="2023-05-16T00:00:00"/>
    <x v="4"/>
    <s v="7KNE003T"/>
    <m/>
    <m/>
    <m/>
  </r>
  <r>
    <d v="2023-05-15T13:10:06"/>
    <s v="Kérouané"/>
    <s v="Centre"/>
    <s v="Individuel"/>
    <s v="Soumaila Traoré"/>
    <n v="623039062"/>
    <n v="623039062"/>
    <s v="Kérouane Centre"/>
    <n v="3"/>
    <s v="Labour - uniquement"/>
    <n v="2"/>
    <s v="Djoufini"/>
    <s v="Djoufini"/>
    <s v="6 mois"/>
    <d v="2023-05-18T00:00:00"/>
    <m/>
    <s v="Moussa Kadia Camara"/>
    <s v="Riz"/>
    <x v="1"/>
    <n v="2"/>
    <d v="2023-05-16T00:00:00"/>
    <x v="4"/>
    <s v="7KNE003T"/>
    <m/>
    <m/>
    <m/>
  </r>
  <r>
    <d v="2023-05-15T13:12:42"/>
    <s v="Kérouané"/>
    <s v="Centre"/>
    <s v="Individuel"/>
    <s v="Lonceny Traoré"/>
    <n v="624268775"/>
    <n v="624268775"/>
    <s v="Kérouane Centre"/>
    <n v="5"/>
    <s v="Labour - uniquement"/>
    <n v="2"/>
    <s v="Samory"/>
    <s v="Samory"/>
    <s v="5 mois"/>
    <d v="2023-05-19T00:00:00"/>
    <m/>
    <s v="Moussa Kadia Camara"/>
    <s v="Riz"/>
    <x v="1"/>
    <n v="2"/>
    <d v="2023-05-16T00:00:00"/>
    <x v="4"/>
    <s v="7KNE001T"/>
    <m/>
    <m/>
    <m/>
  </r>
  <r>
    <d v="2023-05-15T13:15:30"/>
    <s v="Kérouané"/>
    <s v="Centre"/>
    <s v="Individuel"/>
    <s v="Moustapha Diallo"/>
    <n v="627935149"/>
    <n v="627935149"/>
    <s v="Kérouane Centre"/>
    <n v="3"/>
    <s v="Labour - uniquement"/>
    <n v="2"/>
    <s v="Samory"/>
    <s v="Samory"/>
    <s v="5 mois"/>
    <d v="2023-05-19T00:00:00"/>
    <m/>
    <s v="Moussa Kadia Camara"/>
    <s v="Riz"/>
    <x v="1"/>
    <n v="2"/>
    <d v="2023-05-16T00:00:00"/>
    <x v="4"/>
    <s v="7KNE002T"/>
    <m/>
    <m/>
    <m/>
  </r>
  <r>
    <d v="2023-05-15T13:17:55"/>
    <s v="Kérouané"/>
    <s v="Centre"/>
    <s v="Individuel"/>
    <s v="Sékou Cissé"/>
    <n v="628821714"/>
    <n v="628821714"/>
    <s v="Kérouane Centre"/>
    <n v="5"/>
    <s v="Labour - uniquement"/>
    <n v="2"/>
    <s v="Seka 93"/>
    <s v="Seka 93"/>
    <s v="5 mois"/>
    <d v="2023-05-19T00:00:00"/>
    <m/>
    <s v="Moussa Kadia Camara"/>
    <s v="Riz"/>
    <x v="1"/>
    <n v="2"/>
    <d v="2023-05-16T00:00:00"/>
    <x v="4"/>
    <s v="7KNE003T"/>
    <m/>
    <m/>
    <m/>
  </r>
  <r>
    <d v="2023-05-15T13:20:55"/>
    <s v="Kérouané"/>
    <s v="Centre"/>
    <s v="Individuel"/>
    <s v="Soumana Camara"/>
    <n v="625342400"/>
    <n v="625342400"/>
    <s v="Kérouane Centre"/>
    <n v="8"/>
    <s v="Labour - uniquement"/>
    <n v="2"/>
    <s v="Djoufini"/>
    <s v="Djoufini"/>
    <s v="6 mois"/>
    <d v="2023-05-20T00:00:00"/>
    <m/>
    <s v="Moussa Kadia Camara"/>
    <s v="Riz"/>
    <x v="1"/>
    <n v="2"/>
    <d v="2023-05-16T00:00:00"/>
    <x v="4"/>
    <s v="7MNA007T"/>
    <m/>
    <m/>
    <m/>
  </r>
  <r>
    <d v="2023-05-15T13:24:43"/>
    <s v="Kérouané"/>
    <s v="Centre"/>
    <s v="Individuel"/>
    <s v="Mamadi Camara"/>
    <n v="610712706"/>
    <n v="610712706"/>
    <s v="Kérouane Centre"/>
    <n v="7"/>
    <s v="Labour - uniquement"/>
    <n v="3"/>
    <s v="Djoufini"/>
    <s v="Djoufini"/>
    <s v="6 mois"/>
    <d v="2023-05-21T00:00:00"/>
    <m/>
    <s v="Moussa Kadia Camara"/>
    <s v="Riz"/>
    <x v="1"/>
    <n v="3"/>
    <d v="2023-05-16T00:00:00"/>
    <x v="4"/>
    <s v="7MNA006T"/>
    <m/>
    <m/>
    <m/>
  </r>
  <r>
    <d v="2023-05-15T13:27:26"/>
    <s v="Kérouané"/>
    <s v="Centre"/>
    <s v="Individuel"/>
    <s v="Ibrahima Kalou Magassouba"/>
    <n v="620013765"/>
    <n v="620013765"/>
    <s v="Kérouane Centre"/>
    <n v="3"/>
    <s v="Labour - uniquement"/>
    <n v="2"/>
    <s v="Samory"/>
    <s v="Samory"/>
    <s v="5 mois"/>
    <d v="2023-05-21T00:00:00"/>
    <m/>
    <s v="Moussa Kadia Camara"/>
    <s v="Riz"/>
    <x v="1"/>
    <n v="2"/>
    <d v="2023-05-16T00:00:00"/>
    <x v="4"/>
    <s v="7KNE001T"/>
    <m/>
    <m/>
    <m/>
  </r>
  <r>
    <d v="2023-05-15T13:30:07"/>
    <s v="Kérouané"/>
    <s v="Centre"/>
    <s v="Individuel"/>
    <s v="Sory Dabo"/>
    <n v="622067506"/>
    <n v="622067506"/>
    <s v="Kérouane Centre"/>
    <n v="8"/>
    <s v="Labour - uniquement"/>
    <n v="2"/>
    <s v="Samory"/>
    <s v="Samory"/>
    <s v="5 mois"/>
    <d v="2023-05-22T00:00:00"/>
    <m/>
    <s v="Moussa Kadia Camara"/>
    <s v="Riz"/>
    <x v="1"/>
    <n v="2"/>
    <d v="2023-05-16T00:00:00"/>
    <x v="4"/>
    <s v="7MNA006T"/>
    <m/>
    <m/>
    <m/>
  </r>
  <r>
    <d v="2023-05-15T13:32:47"/>
    <s v="Kérouané"/>
    <s v="C"/>
    <s v="Individuel"/>
    <s v="Kaba Keita"/>
    <n v="627330235"/>
    <n v="627330235"/>
    <s v="Kérouane Centre"/>
    <n v="12"/>
    <s v="Labour - uniquement"/>
    <n v="1"/>
    <s v="Samory"/>
    <s v="Samory"/>
    <s v="5 mois"/>
    <d v="2023-05-22T00:00:00"/>
    <m/>
    <s v="Moussa Kadia Camara"/>
    <s v="Riz"/>
    <x v="1"/>
    <n v="1"/>
    <d v="2023-05-16T00:00:00"/>
    <x v="4"/>
    <s v="7MNA006T"/>
    <m/>
    <m/>
    <m/>
  </r>
  <r>
    <d v="2023-05-15T13:34:49"/>
    <s v="Kérouané"/>
    <s v="Centre"/>
    <s v="Individuel"/>
    <s v="Kalou Touré"/>
    <n v="629777011"/>
    <n v="629777011"/>
    <s v="Kérouane Centre"/>
    <n v="2"/>
    <s v="Labour - uniquement"/>
    <n v="2"/>
    <s v="Samory"/>
    <s v="Samory"/>
    <s v="5 mois"/>
    <d v="2023-05-22T00:00:00"/>
    <m/>
    <s v="Moussa Kadia Camara"/>
    <s v="Riz"/>
    <x v="1"/>
    <n v="2"/>
    <d v="2023-05-16T00:00:00"/>
    <x v="4"/>
    <s v="7KNE001T"/>
    <m/>
    <m/>
    <m/>
  </r>
  <r>
    <d v="2023-05-15T13:37:16"/>
    <s v="Kérouané"/>
    <s v="Centre"/>
    <s v="Individuel"/>
    <s v="Solo Camara"/>
    <n v="622721370"/>
    <n v="622721370"/>
    <s v="Kérouane Centre"/>
    <n v="2"/>
    <s v="Labour - uniquement"/>
    <n v="3"/>
    <s v="Samory"/>
    <s v="Samory"/>
    <s v="5 mois"/>
    <d v="2023-05-22T00:00:00"/>
    <m/>
    <s v="Moussa Kadia Camara"/>
    <s v="Riz"/>
    <x v="1"/>
    <n v="3"/>
    <d v="2023-05-16T00:00:00"/>
    <x v="4"/>
    <s v="7KNE002T"/>
    <m/>
    <m/>
    <m/>
  </r>
  <r>
    <d v="2023-05-15T13:38:51"/>
    <s v="Kindia"/>
    <s v="Kindia"/>
    <s v="Collectif"/>
    <s v="DIALLO Mamadou Sanoussy"/>
    <n v="628334356"/>
    <n v="664334356"/>
    <s v="Madina Oula"/>
    <n v="88"/>
    <s v="Labour - uniquement"/>
    <n v="20"/>
    <s v="Coyady"/>
    <s v="Rien"/>
    <s v="5 mois"/>
    <d v="2023-05-16T00:00:00"/>
    <s v="Faisable"/>
    <s v="Boubacar Gueme Bah"/>
    <s v="Riz"/>
    <x v="0"/>
    <m/>
    <m/>
    <x v="19"/>
    <m/>
    <m/>
    <m/>
    <m/>
  </r>
  <r>
    <d v="2023-05-15T13:46:37"/>
    <s v="Faranah"/>
    <s v="Aviation"/>
    <s v="Individuel"/>
    <s v="Karifa camara"/>
    <n v="627209323"/>
    <m/>
    <s v="Faranah Centre"/>
    <n v="16"/>
    <s v="Labour - uniquement"/>
    <n v="2"/>
    <s v="Kissina"/>
    <s v="Kissina"/>
    <s v="6 mois"/>
    <d v="2023-05-16T00:00:00"/>
    <m/>
    <s v="Mohamed Fanta kourouma"/>
    <s v="Riz"/>
    <x v="1"/>
    <n v="2"/>
    <d v="2023-05-16T00:00:00"/>
    <x v="4"/>
    <s v="6FAH005T"/>
    <m/>
    <m/>
    <m/>
  </r>
  <r>
    <d v="2023-05-15T14:06:00"/>
    <s v="Kouroussa"/>
    <s v="Wassabada"/>
    <s v="Collectif"/>
    <s v="Diaty condé"/>
    <n v="628205979"/>
    <m/>
    <s v="Kiniéro"/>
    <n v="48"/>
    <s v="Labour - uniquement"/>
    <n v="50"/>
    <s v="Bagnain"/>
    <s v="Bagnain"/>
    <s v="4 mois"/>
    <d v="2023-05-20T00:00:00"/>
    <m/>
    <s v="Ibrahima Kalil Fofana"/>
    <s v="Riz"/>
    <x v="1"/>
    <n v="31"/>
    <d v="2023-05-15T00:00:00"/>
    <x v="4"/>
    <s v="7KSA006T"/>
    <m/>
    <m/>
    <m/>
  </r>
  <r>
    <d v="2023-05-15T15:26:26"/>
    <s v="Guéckédou"/>
    <s v="Guéckédou centre"/>
    <s v="Individuel"/>
    <s v="Moriba sossoidouno"/>
    <n v="623652019"/>
    <n v="623652019"/>
    <s v="Terméssadou Djibo"/>
    <n v="32"/>
    <s v="Labour - uniquement"/>
    <n v="10"/>
    <s v="Ck90"/>
    <s v="Ck90"/>
    <s v="4 mois"/>
    <d v="2023-05-17T00:00:00"/>
    <s v="Ok"/>
    <s v="Lamine Condé"/>
    <s v="Riz"/>
    <x v="1"/>
    <n v="10"/>
    <d v="2023-05-15T00:00:00"/>
    <x v="4"/>
    <s v="8GOU003T"/>
    <m/>
    <m/>
    <m/>
  </r>
  <r>
    <d v="2023-05-15T15:44:05"/>
    <s v="Nzérékoré"/>
    <s v="Kouankan centre"/>
    <s v="Individuel"/>
    <s v="LONCENY CAMARA"/>
    <n v="628601528"/>
    <m/>
    <s v="Kouankan"/>
    <n v="3"/>
    <s v="Labour - uniquement"/>
    <n v="1"/>
    <s v="haricot rouge"/>
    <s v="haricot"/>
    <s v="5 mois"/>
    <d v="2023-05-07T00:00:00"/>
    <m/>
    <s v="Mohamed Kone"/>
    <s v="Haricot"/>
    <x v="0"/>
    <m/>
    <m/>
    <x v="19"/>
    <m/>
    <m/>
    <m/>
    <m/>
  </r>
  <r>
    <d v="2023-05-15T15:48:24"/>
    <s v="Nzérékoré"/>
    <s v="Kouankan centre"/>
    <s v="Individuel"/>
    <s v="Famo camara"/>
    <n v="622833959"/>
    <m/>
    <s v="Kouankan"/>
    <n v="4"/>
    <s v="Labour - uniquement"/>
    <n v="3"/>
    <s v="Riz"/>
    <s v="riz"/>
    <s v="4 mois"/>
    <d v="2023-05-09T00:00:00"/>
    <m/>
    <s v="Mohamed Kone"/>
    <s v="Riz"/>
    <x v="0"/>
    <m/>
    <m/>
    <x v="19"/>
    <m/>
    <m/>
    <m/>
    <m/>
  </r>
  <r>
    <d v="2023-05-15T15:53:33"/>
    <s v="Nzérékoré"/>
    <s v="Kouankan centre"/>
    <s v="Individuel"/>
    <s v="kassan sidiki"/>
    <n v="620495470"/>
    <m/>
    <s v="Kouankan"/>
    <n v="5"/>
    <s v="Labour - uniquement"/>
    <n v="3"/>
    <s v="Riz"/>
    <s v="riz"/>
    <s v="4 mois"/>
    <d v="2023-05-16T00:00:00"/>
    <m/>
    <s v="Mohamed Kone"/>
    <s v="Riz"/>
    <x v="0"/>
    <m/>
    <m/>
    <x v="19"/>
    <m/>
    <m/>
    <m/>
    <m/>
  </r>
  <r>
    <d v="2023-05-15T17:05:55"/>
    <s v="Mandiana"/>
    <s v="Cours du bloc Administratif"/>
    <s v="Individuel"/>
    <s v="Kanina Abou Diallo"/>
    <n v="622661297"/>
    <m/>
    <s v="Mandiana Centre"/>
    <n v="9"/>
    <s v="Labour + Pulvérisation"/>
    <n v="4"/>
    <s v="Bourley diaby"/>
    <s v="Ne connais pas"/>
    <s v="4 mois"/>
    <d v="2023-05-16T00:00:00"/>
    <s v="Aptes pour la mécanisation"/>
    <s v="Nounkè Doumbouya"/>
    <s v="Riz"/>
    <x v="0"/>
    <m/>
    <m/>
    <x v="19"/>
    <m/>
    <m/>
    <m/>
    <m/>
  </r>
  <r>
    <d v="2023-05-15T19:14:13"/>
    <s v="Mandiana"/>
    <s v="Cours du bloc Administratif"/>
    <s v="Collectif"/>
    <s v="Ibrahima DIAKITÉ"/>
    <n v="622103945"/>
    <m/>
    <s v="Morodou"/>
    <n v="28"/>
    <s v="Labour + Pulvérisation"/>
    <n v="115"/>
    <s v="Billimalo, Dissiba"/>
    <s v="Ne connais pas"/>
    <s v="5 mois"/>
    <d v="2023-05-18T00:00:00"/>
    <s v="Aptes pour la mécanisation"/>
    <s v="Nounkè Doumbouya"/>
    <s v="Riz"/>
    <x v="0"/>
    <m/>
    <m/>
    <x v="19"/>
    <m/>
    <m/>
    <m/>
    <m/>
  </r>
  <r>
    <d v="2023-05-15T19:16:35"/>
    <s v="Mandiana"/>
    <s v="Cours du bloc Administratif"/>
    <s v="Collectif"/>
    <s v="Sekouba DIAKITÉ"/>
    <n v="628925165"/>
    <m/>
    <s v="Morodou"/>
    <n v="40"/>
    <s v="Labour + Pulvérisation"/>
    <n v="45"/>
    <s v="Billimalo, Nerica 19"/>
    <s v="Nerica"/>
    <s v="4 mois"/>
    <d v="2023-05-30T00:00:00"/>
    <s v="Aptes pour la mécanisation"/>
    <s v="Nounkè Doumbouya"/>
    <s v="Riz"/>
    <x v="0"/>
    <m/>
    <m/>
    <x v="19"/>
    <m/>
    <m/>
    <m/>
    <m/>
  </r>
  <r>
    <d v="2023-05-15T19:18:59"/>
    <s v="Mandiana"/>
    <s v="Cours du bloc Administratif"/>
    <s v="Collectif"/>
    <s v="Elhadj Kaly Diakité"/>
    <n v="6284199966"/>
    <m/>
    <s v="Morodou"/>
    <n v="35"/>
    <s v="Labour + Pulvérisation"/>
    <n v="55"/>
    <s v="Ck90, sweta"/>
    <s v="Ck"/>
    <s v="5 mois"/>
    <d v="2023-05-20T00:00:00"/>
    <s v="Aptes pour la mécanisation"/>
    <s v="Nounkè Doumbouya"/>
    <s v="Riz"/>
    <x v="0"/>
    <m/>
    <m/>
    <x v="19"/>
    <m/>
    <m/>
    <m/>
    <m/>
  </r>
  <r>
    <d v="2023-05-15T19:22:13"/>
    <s v="Mandiana"/>
    <s v="Cours du bloc Administratif"/>
    <s v="Collectif"/>
    <s v="Fanta madi Sacko"/>
    <n v="628487583"/>
    <m/>
    <s v="Morodou"/>
    <n v="28"/>
    <s v="Labour + Pulvérisation"/>
    <n v="125"/>
    <s v="Nenken, Billimalo, Ck90"/>
    <s v="Ck"/>
    <s v="5 mois"/>
    <d v="2023-05-31T00:00:00"/>
    <s v="Aptes pour la mécanisation"/>
    <s v="Nounkè Doumbouya"/>
    <s v="Riz"/>
    <x v="0"/>
    <m/>
    <m/>
    <x v="19"/>
    <m/>
    <m/>
    <m/>
    <m/>
  </r>
  <r>
    <d v="2023-05-16T06:48:25"/>
    <s v="Beyla"/>
    <s v="Beyla centre"/>
    <s v="Individuel"/>
    <s v="Moussa Conde"/>
    <n v="621618541"/>
    <m/>
    <s v="Sokourala"/>
    <n v="30"/>
    <s v="Labour - uniquement"/>
    <n v="5"/>
    <s v="Tchocho"/>
    <s v="Riz"/>
    <s v="6 mois"/>
    <d v="2023-05-16T00:00:00"/>
    <m/>
    <s v="Moussa Conde"/>
    <s v="Riz"/>
    <x v="1"/>
    <n v="5"/>
    <d v="2023-05-16T00:00:00"/>
    <x v="4"/>
    <s v="8BLA012T"/>
    <m/>
    <m/>
    <m/>
  </r>
  <r>
    <d v="2023-05-16T07:00:08"/>
    <s v="Beyla"/>
    <s v="Beyla Centre"/>
    <s v="Individuel"/>
    <s v="Sekou Conde"/>
    <n v="629086697"/>
    <m/>
    <s v="Diarraguerela"/>
    <n v="30"/>
    <s v="Labour - uniquement"/>
    <n v="10"/>
    <s v="Djoufini"/>
    <s v="Riz"/>
    <s v="4 mois"/>
    <d v="2023-05-16T00:00:00"/>
    <m/>
    <s v="Moussa Conde"/>
    <s v="Riz"/>
    <x v="1"/>
    <n v="10"/>
    <d v="2023-05-16T00:00:00"/>
    <x v="4"/>
    <s v="8BLA014T"/>
    <m/>
    <m/>
    <m/>
  </r>
  <r>
    <d v="2023-05-16T07:05:32"/>
    <s v="Beyla"/>
    <s v="Beyla centre"/>
    <s v="Individuel"/>
    <s v="Moussa Traore"/>
    <n v="620453004"/>
    <m/>
    <s v="Boola"/>
    <n v="20"/>
    <s v="Labour - uniquement"/>
    <n v="5"/>
    <s v="Malogbeni"/>
    <s v="Riz"/>
    <s v="6 mois"/>
    <d v="2023-05-16T00:00:00"/>
    <m/>
    <s v="Moussa Conde"/>
    <s v="Riz"/>
    <x v="1"/>
    <n v="5"/>
    <d v="2023-05-16T00:00:00"/>
    <x v="4"/>
    <s v="8BLA005T"/>
    <m/>
    <m/>
    <m/>
  </r>
  <r>
    <d v="2023-05-16T07:13:05"/>
    <s v="Beyla"/>
    <s v="Beyla Centre"/>
    <s v="Individuel"/>
    <s v="Ousmane Camara"/>
    <n v="621636457"/>
    <m/>
    <s v="Samana"/>
    <n v="30"/>
    <s v="Labour - uniquement"/>
    <n v="10"/>
    <s v="Tchocho"/>
    <s v="Riz"/>
    <s v="6 mois"/>
    <d v="2023-05-16T00:00:00"/>
    <m/>
    <s v="Moussa Conde"/>
    <s v="Riz"/>
    <x v="1"/>
    <n v="10"/>
    <d v="2023-05-16T00:00:00"/>
    <x v="4"/>
    <s v="8BLA008T"/>
    <m/>
    <m/>
    <m/>
  </r>
  <r>
    <d v="2023-05-16T10:16:46"/>
    <s v="Lola"/>
    <s v="Direction Préfectorale de l'Agriculture et de l'Élevage de Lola"/>
    <s v="Individuel"/>
    <s v="Joël Goumou"/>
    <n v="610308767"/>
    <m/>
    <s v="Lainé"/>
    <n v="15"/>
    <s v="Labour - uniquement"/>
    <n v="3"/>
    <s v="Pèta"/>
    <s v="Zea Mays"/>
    <s v="3 mois"/>
    <d v="2023-05-20T00:00:00"/>
    <m/>
    <s v="Pokpa Delamou"/>
    <s v="Maïs"/>
    <x v="1"/>
    <n v="3"/>
    <d v="2023-05-16T00:00:00"/>
    <x v="4"/>
    <s v="8LLA002T"/>
    <m/>
    <m/>
    <m/>
  </r>
  <r>
    <d v="2023-05-16T11:48:54"/>
    <s v="Dabola"/>
    <s v="Foundeng 1"/>
    <s v="Individuel"/>
    <s v="Moussa Camara"/>
    <n v="622740045"/>
    <m/>
    <s v="Bissikrima"/>
    <n v="55"/>
    <s v="Labour - uniquement"/>
    <n v="10"/>
    <s v="Mètre 6"/>
    <s v="Mètre 6"/>
    <s v="6 mois"/>
    <d v="2023-05-18T00:00:00"/>
    <m/>
    <s v="Souleymane Kanté"/>
    <s v="Riz"/>
    <x v="1"/>
    <n v="8"/>
    <d v="2023-05-18T00:00:00"/>
    <x v="4"/>
    <s v="6DLA002T"/>
    <m/>
    <m/>
    <m/>
  </r>
  <r>
    <d v="2023-05-16T12:10:10"/>
    <s v="Dubréka"/>
    <s v="Ouassou"/>
    <s v="Individuel"/>
    <s v="Ibrahima camara"/>
    <n v="622334085"/>
    <n v="622334085"/>
    <s v="Koba-Tatema"/>
    <n v="7"/>
    <s v="Labour - uniquement"/>
    <n v="2"/>
    <s v="Balenta"/>
    <s v="Rock5"/>
    <s v="6 mois"/>
    <d v="2023-05-15T00:00:00"/>
    <s v="Accord"/>
    <s v="Kissi Camara"/>
    <s v="Riz"/>
    <x v="1"/>
    <n v="2"/>
    <d v="2023-05-16T00:00:00"/>
    <x v="4"/>
    <s v="2DKA001T"/>
    <m/>
    <m/>
    <m/>
  </r>
  <r>
    <d v="2023-05-16T12:26:03"/>
    <s v="Dubréka"/>
    <s v="Ouassou"/>
    <s v="Individuel"/>
    <s v="Mohamed Diane"/>
    <n v="624357406"/>
    <n v="624357406"/>
    <s v="Koba-Tatema"/>
    <n v="9"/>
    <s v="Labour - uniquement"/>
    <n v="1"/>
    <s v="Massaraka"/>
    <s v="Nereka"/>
    <s v="6 mois"/>
    <d v="2023-05-16T00:00:00"/>
    <s v="Accord"/>
    <s v="Kissi Camara"/>
    <s v="Riz"/>
    <x v="1"/>
    <n v="1"/>
    <d v="2023-05-16T00:00:00"/>
    <x v="4"/>
    <s v="2DKA001T"/>
    <m/>
    <m/>
    <m/>
  </r>
  <r>
    <d v="2023-05-16T13:13:56"/>
    <s v="Faranah"/>
    <s v="Aviation"/>
    <s v="Individuel"/>
    <s v="Djiba doumbouya"/>
    <n v="628225978"/>
    <m/>
    <s v="Banfélé"/>
    <n v="150"/>
    <s v="Labour - uniquement"/>
    <n v="14"/>
    <s v="Mettre 6"/>
    <s v="Mettre 6"/>
    <s v="6 mois"/>
    <d v="2023-05-17T00:00:00"/>
    <m/>
    <s v="Mohamed Fanta kourouma"/>
    <s v="Riz"/>
    <x v="1"/>
    <n v="14"/>
    <d v="2023-05-16T00:00:00"/>
    <x v="4"/>
    <s v="6FAH008T"/>
    <m/>
    <m/>
    <m/>
  </r>
  <r>
    <d v="2023-05-16T14:22:29"/>
    <s v="Guéckédou"/>
    <s v="Guéckédou centre"/>
    <s v="Individuel"/>
    <s v="Alpha saliou Diallo"/>
    <n v="626952233"/>
    <n v="626952233"/>
    <s v="Guéckédou Centre"/>
    <n v="4"/>
    <s v="Labour - uniquement"/>
    <n v="1"/>
    <s v="Ck90"/>
    <s v="Ck90"/>
    <s v="4 mois"/>
    <d v="2023-05-16T00:00:00"/>
    <s v="Ok"/>
    <s v="Lamine Condé"/>
    <s v="Riz"/>
    <x v="1"/>
    <n v="1.5"/>
    <d v="2023-05-16T00:00:00"/>
    <x v="4"/>
    <s v="8GOU003T"/>
    <m/>
    <m/>
    <m/>
  </r>
  <r>
    <d v="2023-05-16T14:27:50"/>
    <s v="Coyah"/>
    <s v="Commune Urbaine"/>
    <s v="Individuel"/>
    <s v="Issagha kaba"/>
    <n v="610211215"/>
    <m/>
    <s v="Mankountan"/>
    <n v="42"/>
    <s v="Labour - uniquement"/>
    <n v="5"/>
    <s v="Kakossa"/>
    <s v="Oriza glaberima"/>
    <s v="5 mois"/>
    <d v="2023-05-18T00:00:00"/>
    <m/>
    <s v="Ousmane Tangaly Balde"/>
    <s v="Riz"/>
    <x v="1"/>
    <n v="5"/>
    <d v="2023-05-23T00:00:00"/>
    <x v="18"/>
    <s v="2CAH001T"/>
    <m/>
    <m/>
    <m/>
  </r>
  <r>
    <d v="2023-05-16T16:17:24"/>
    <s v="Mamou"/>
    <s v="Petel Mamou"/>
    <s v="Individuel"/>
    <s v="Mohamed kaba"/>
    <n v="621278650"/>
    <m/>
    <s v="Ouré-Kaba"/>
    <n v="80"/>
    <s v="Labour - uniquement"/>
    <n v="2"/>
    <s v="Seydouba"/>
    <s v="CK90"/>
    <s v="4 mois"/>
    <d v="2023-11-18T00:00:00"/>
    <s v="Tout va bien"/>
    <s v="Mamadouba Camara"/>
    <s v="Riz"/>
    <x v="0"/>
    <m/>
    <m/>
    <x v="19"/>
    <m/>
    <m/>
    <m/>
    <m/>
  </r>
  <r>
    <d v="2023-05-17T05:51:33"/>
    <s v="Mandiana"/>
    <s v="Cours du bloc Administratif"/>
    <s v="Individuel"/>
    <s v="Kaly Diakité"/>
    <n v="628155244"/>
    <m/>
    <s v="Morodou"/>
    <n v="27"/>
    <s v="Labour + Pulvérisation"/>
    <n v="35"/>
    <s v="Dissiba, nenken"/>
    <s v="Ne connais pas"/>
    <s v="5 mois"/>
    <d v="2023-05-31T00:00:00"/>
    <s v="Aptes pour la mécanisation"/>
    <s v="Nounkè Doumbouya"/>
    <s v="Riz"/>
    <x v="0"/>
    <m/>
    <m/>
    <x v="19"/>
    <m/>
    <m/>
    <m/>
    <m/>
  </r>
  <r>
    <d v="2023-05-17T08:01:57"/>
    <s v="Guéckédou"/>
    <s v="Guéckédou centre"/>
    <s v="Individuel"/>
    <s v="Faya Léon bongono"/>
    <n v="629447171"/>
    <n v="629447171"/>
    <s v="Guendembou"/>
    <n v="20"/>
    <s v="Labour - uniquement"/>
    <n v="4"/>
    <s v="Ck90"/>
    <s v="Ck90"/>
    <s v="4 mois"/>
    <d v="2023-05-17T00:00:00"/>
    <s v="Ok"/>
    <s v="Antoine Teliano"/>
    <s v="Riz"/>
    <x v="1"/>
    <n v="4"/>
    <d v="2023-05-17T00:00:00"/>
    <x v="4"/>
    <s v="8GOU002T"/>
    <m/>
    <m/>
    <m/>
  </r>
  <r>
    <d v="2023-05-17T08:59:52"/>
    <s v="Dubréka"/>
    <s v="Ouassou"/>
    <s v="Individuel"/>
    <s v="Cherif Bah"/>
    <n v="622564290"/>
    <n v="622564290"/>
    <s v="Koba-Tatema"/>
    <n v="7"/>
    <s v="Labour - uniquement"/>
    <n v="3"/>
    <s v="Massaraka"/>
    <s v="Nereka"/>
    <s v="6 mois"/>
    <d v="2023-05-17T00:00:00"/>
    <s v="Accord"/>
    <s v="Kissi Camara"/>
    <s v="Riz"/>
    <x v="1"/>
    <n v="3"/>
    <d v="2023-05-17T00:00:00"/>
    <x v="4"/>
    <s v="2DKA001T"/>
    <m/>
    <m/>
    <m/>
  </r>
  <r>
    <d v="2023-05-17T11:33:43"/>
    <s v="Siguiri"/>
    <s v="Siguiri"/>
    <s v="Collectif"/>
    <s v="Sindian TRAORE"/>
    <n v="628729355"/>
    <m/>
    <s v="Kiniébakoura"/>
    <n v="15"/>
    <s v="Labour - uniquement"/>
    <n v="30"/>
    <s v="Nenkin, Nerica19..."/>
    <s v="Nenkin, Nerica19..."/>
    <s v="4 mois"/>
    <d v="2023-05-19T00:00:00"/>
    <m/>
    <s v="Nanamoudou ll Magassouba"/>
    <s v="Riz"/>
    <x v="1"/>
    <n v="30"/>
    <d v="2023-05-18T00:00:00"/>
    <x v="4"/>
    <s v="7SRI002T"/>
    <m/>
    <m/>
    <m/>
  </r>
  <r>
    <d v="2023-05-17T12:08:10"/>
    <s v="Beyla"/>
    <s v="Beyla centre"/>
    <s v="Individuel"/>
    <s v="Moussa Conde"/>
    <n v="621618541"/>
    <m/>
    <s v="Sokourala"/>
    <n v="30"/>
    <s v="Labour - uniquement"/>
    <n v="10"/>
    <s v="Tchocho"/>
    <s v="Riz"/>
    <s v="6 mois"/>
    <d v="2023-05-17T00:00:00"/>
    <m/>
    <s v="Moussa Conde"/>
    <s v="Riz"/>
    <x v="1"/>
    <n v="10"/>
    <d v="2023-05-17T00:00:00"/>
    <x v="4"/>
    <s v="8BLA009T"/>
    <m/>
    <m/>
    <m/>
  </r>
  <r>
    <d v="2023-05-17T14:37:12"/>
    <s v="Faranah"/>
    <s v="Aviation"/>
    <s v="Individuel"/>
    <s v="Mohamed lansana camara"/>
    <n v="620755506"/>
    <m/>
    <s v="Faranah Centre"/>
    <n v="3"/>
    <s v="Labour - uniquement"/>
    <n v="3"/>
    <s v="Porotokolo"/>
    <s v="Porotokolo"/>
    <s v="6 mois"/>
    <d v="2023-05-17T00:00:00"/>
    <m/>
    <s v="Mohamed Fanta kourouma"/>
    <s v="Riz"/>
    <x v="1"/>
    <n v="3"/>
    <d v="2023-05-18T00:00:00"/>
    <x v="4"/>
    <s v="6FAH005T"/>
    <m/>
    <m/>
    <m/>
  </r>
  <r>
    <d v="2023-05-18T06:20:49"/>
    <s v="Lola"/>
    <s v="Direction Préfectorale de l'Agriculture et de l'Élevage de Lola"/>
    <s v="Collectif"/>
    <s v="Gertrude Lamah"/>
    <n v="624910129"/>
    <m/>
    <s v="Lainé"/>
    <n v="12"/>
    <s v="Pulvérisation - uniquement"/>
    <n v="27"/>
    <s v="Jaune_jaune"/>
    <s v="zea Mays"/>
    <s v="3 mois"/>
    <d v="2023-05-19T00:00:00"/>
    <m/>
    <s v="Pokpa Delamou"/>
    <s v="Maïs"/>
    <x v="0"/>
    <m/>
    <d v="2023-05-18T00:00:00"/>
    <x v="4"/>
    <s v="8LLA001T"/>
    <m/>
    <m/>
    <m/>
  </r>
  <r>
    <d v="2023-05-18T08:54:16"/>
    <s v="Dabola"/>
    <s v="Foundeng 1"/>
    <s v="Individuel"/>
    <s v="Elhadj AbdoulSamad Camara"/>
    <n v="628153800"/>
    <m/>
    <s v="Dabola Centre"/>
    <n v="10"/>
    <s v="Pulvérisation - uniquement"/>
    <n v="3"/>
    <s v="Ck90"/>
    <s v="Ck90"/>
    <s v="4 mois"/>
    <d v="2023-05-20T00:00:00"/>
    <m/>
    <s v="Souleymane Kanté"/>
    <s v="Riz"/>
    <x v="1"/>
    <n v="27"/>
    <d v="2023-05-18T00:00:00"/>
    <x v="4"/>
    <m/>
    <m/>
    <m/>
    <m/>
  </r>
  <r>
    <d v="2023-05-18T09:45:19"/>
    <s v="Lola"/>
    <s v="Direction Préfectorale de l'Agriculture et de l'Élevage de Lola"/>
    <s v="Collectif"/>
    <s v="Gertrude Lamah"/>
    <n v="624910129"/>
    <m/>
    <s v="Lainé"/>
    <n v="15"/>
    <s v="Labour - uniquement"/>
    <n v="27"/>
    <s v="Jaune_jaune"/>
    <s v="Zea Mays"/>
    <s v="3 mois"/>
    <d v="2023-05-19T00:00:00"/>
    <m/>
    <s v="Pokpa Delamou"/>
    <s v="Maïs"/>
    <x v="0"/>
    <m/>
    <d v="2023-05-18T00:00:00"/>
    <x v="4"/>
    <m/>
    <m/>
    <m/>
    <m/>
  </r>
  <r>
    <d v="2023-05-18T10:12:58"/>
    <s v="Mandiana"/>
    <s v="Cours du bloc Administratif"/>
    <s v="Individuel"/>
    <s v="Mamadi koroko DIALLO"/>
    <n v="629219069"/>
    <m/>
    <s v="Mandiana Centre"/>
    <n v="11"/>
    <s v="Labour + Pulvérisation"/>
    <n v="8"/>
    <s v="Tambakelè"/>
    <s v="Ne connais pas"/>
    <s v="4 mois"/>
    <d v="2023-05-19T00:00:00"/>
    <s v="Aptes pour la mécanisation"/>
    <s v="Nounkè Doumbouya"/>
    <s v="Riz"/>
    <x v="1"/>
    <n v="4"/>
    <d v="2023-05-19T00:00:00"/>
    <x v="4"/>
    <s v="7MNA005T"/>
    <m/>
    <m/>
    <m/>
  </r>
  <r>
    <d v="2023-05-18T10:35:41"/>
    <s v="Siguiri"/>
    <s v="Siguiri"/>
    <s v="Individuel"/>
    <s v="Elhdj Bamba TRAORE"/>
    <n v="628962191"/>
    <m/>
    <s v="Siguiri Centre"/>
    <n v="2"/>
    <s v="Labour - uniquement"/>
    <n v="2"/>
    <s v="Fra Nenkin"/>
    <s v="Fra Nenkin"/>
    <s v="4 mois"/>
    <d v="2023-05-18T00:00:00"/>
    <m/>
    <s v="Nanamoudou ll Magassouba"/>
    <s v="Riz"/>
    <x v="1"/>
    <n v="2.5"/>
    <d v="2023-05-18T00:00:00"/>
    <x v="4"/>
    <s v="7SRI002T"/>
    <m/>
    <m/>
    <m/>
  </r>
  <r>
    <d v="2023-05-18T11:34:20"/>
    <s v="Forécariah"/>
    <s v="Forecariah"/>
    <s v="Collectif"/>
    <s v="Alsény Camara"/>
    <n v="628067765"/>
    <m/>
    <s v="Kakossa"/>
    <n v="5"/>
    <s v="Labour - uniquement"/>
    <n v="5"/>
    <s v="Ck-90"/>
    <s v="Ck-90"/>
    <s v="5 mois"/>
    <d v="2023-05-19T00:00:00"/>
    <m/>
    <s v="Diamouré keita"/>
    <s v="Riz"/>
    <x v="1"/>
    <n v="5"/>
    <d v="2023-05-18T00:00:00"/>
    <x v="4"/>
    <s v="2FAH002T"/>
    <m/>
    <m/>
    <m/>
  </r>
  <r>
    <d v="2023-05-18T11:37:42"/>
    <s v="Forécariah"/>
    <s v="Forecariah"/>
    <s v="Individuel"/>
    <s v="Imam ahmed soumah"/>
    <n v="623597802"/>
    <m/>
    <s v="Moussaya"/>
    <n v="63"/>
    <s v="Pulvérisation - uniquement"/>
    <n v="3"/>
    <s v="Ck-90"/>
    <s v="Ck-90"/>
    <s v="5 mois"/>
    <d v="2023-05-19T00:00:00"/>
    <m/>
    <s v="Diamouré keita"/>
    <s v="Riz"/>
    <x v="1"/>
    <n v="3"/>
    <d v="2023-05-18T00:00:00"/>
    <x v="4"/>
    <s v="2FAH005T"/>
    <m/>
    <m/>
    <m/>
  </r>
  <r>
    <d v="2023-05-18T12:03:11"/>
    <s v="Gaoual"/>
    <s v="C U"/>
    <s v="Collectif"/>
    <s v="ALSENY BARRY"/>
    <n v="624429142"/>
    <m/>
    <s v="Wendou M'Bour"/>
    <n v="85"/>
    <s v="Labour - uniquement"/>
    <n v="8"/>
    <s v="DIOULKÉMÈ"/>
    <s v="CK90"/>
    <s v="3 mois"/>
    <d v="2023-05-21T00:00:00"/>
    <m/>
    <s v="Soriba Moustapha Camara"/>
    <s v="Riz"/>
    <x v="1"/>
    <n v="8"/>
    <d v="2023-05-18T00:00:00"/>
    <x v="4"/>
    <s v="3GAL004T"/>
    <m/>
    <m/>
    <m/>
  </r>
  <r>
    <d v="2023-05-18T13:25:24"/>
    <s v="Boké"/>
    <s v="Boké centre"/>
    <s v="Collectif"/>
    <s v="ARIES FARMS SARL a Yongoro"/>
    <n v="629007465"/>
    <n v="0"/>
    <s v="Kolaboui"/>
    <n v="34"/>
    <s v="Labour + Pulvérisation"/>
    <n v="37.5"/>
    <s v="bagamalé"/>
    <s v="non"/>
    <s v="6 mois"/>
    <d v="2023-05-19T00:00:00"/>
    <s v="la société ARIES FARMS SARL a versé au total pour le 1er labour 50 hectares. hier pour 12,5 ha et aujourd'hui elle a versé pour 37,5 ha soit pour unt"/>
    <s v="Elhadj Souaré Mamadou Dian"/>
    <s v="Riz"/>
    <x v="1"/>
    <n v="37.5"/>
    <d v="2023-05-23T00:00:00"/>
    <x v="18"/>
    <s v="3BKE002T"/>
    <m/>
    <m/>
    <m/>
  </r>
  <r>
    <d v="2023-05-18T13:43:06"/>
    <s v="Lola"/>
    <s v="Direction Préfectorale de l'Agriculture et de l'Élevage de Lola"/>
    <s v="Individuel"/>
    <s v="Blaise Goumou"/>
    <n v="611238914"/>
    <m/>
    <s v="Lainé"/>
    <n v="10"/>
    <s v="Labour - uniquement"/>
    <n v="3"/>
    <s v="Kélékai"/>
    <s v="Oryza Sativa"/>
    <s v="4 mois"/>
    <d v="2023-05-21T00:00:00"/>
    <m/>
    <s v="Pokpa Delamou"/>
    <s v="Riz"/>
    <x v="1"/>
    <n v="7.5"/>
    <d v="2023-05-18T00:00:00"/>
    <x v="4"/>
    <s v="8LLA002T"/>
    <m/>
    <m/>
    <m/>
  </r>
  <r>
    <d v="2023-05-18T14:29:48"/>
    <s v="Kérouané"/>
    <s v="Centre"/>
    <s v="Individuel"/>
    <s v="Assetou Traoré"/>
    <n v="624958161"/>
    <n v="624958161"/>
    <s v="Kérouane Centre"/>
    <n v="7"/>
    <s v="Labour - uniquement"/>
    <n v="1"/>
    <s v="Samory"/>
    <s v="Samory"/>
    <s v="5 mois"/>
    <d v="2023-05-21T00:00:00"/>
    <m/>
    <s v="Moussa Kadia Camara"/>
    <s v="Riz"/>
    <x v="1"/>
    <n v="1"/>
    <d v="2023-05-19T00:00:00"/>
    <x v="4"/>
    <s v="KNE001T"/>
    <m/>
    <m/>
    <m/>
  </r>
  <r>
    <d v="2023-05-18T14:32:22"/>
    <s v="Kérouané"/>
    <s v="Centre"/>
    <s v="Individuel"/>
    <s v="Moussa Camara"/>
    <n v="622240942"/>
    <n v="622240942"/>
    <s v="Kérouane Centre"/>
    <n v="35"/>
    <s v="Labour - uniquement"/>
    <n v="30"/>
    <s v="Seka, moussagbe"/>
    <s v="Seka, moussagbe"/>
    <s v="9 mois"/>
    <d v="2023-05-22T00:00:00"/>
    <m/>
    <s v="Moussa Kadia Camara"/>
    <s v="Riz"/>
    <x v="1"/>
    <n v="30"/>
    <d v="2023-05-19T00:00:00"/>
    <x v="4"/>
    <s v="7MNA007T"/>
    <m/>
    <m/>
    <m/>
  </r>
  <r>
    <d v="2023-05-18T14:37:35"/>
    <s v="Kérouané"/>
    <s v="Centre"/>
    <s v="Individuel"/>
    <s v="Sékouba oulen Mara"/>
    <n v="624539690"/>
    <n v="624539690"/>
    <s v="Kérouane Centre"/>
    <n v="70"/>
    <s v="Labour - uniquement"/>
    <n v="18"/>
    <s v="Seka 93, djoufini,bangaliba,"/>
    <s v="Seka 93, djoufini, bangaliba"/>
    <s v="9 mois"/>
    <d v="2023-05-23T00:00:00"/>
    <m/>
    <s v="Moussa Kadia Camara"/>
    <s v="Riz"/>
    <x v="1"/>
    <n v="18"/>
    <d v="2023-05-19T00:00:00"/>
    <x v="4"/>
    <s v="7MNA006T"/>
    <m/>
    <m/>
    <m/>
  </r>
  <r>
    <d v="2023-05-18T14:41:45"/>
    <s v="Kérouané"/>
    <s v="Centre"/>
    <s v="Individuel"/>
    <s v="Billo Kante"/>
    <n v="621107684"/>
    <n v="621107684"/>
    <s v="Soromaya"/>
    <n v="70"/>
    <s v="Labour - uniquement"/>
    <n v="29"/>
    <s v="Djoufini, moussagbe"/>
    <s v="Djoufini, moussagbe"/>
    <s v="9 mois"/>
    <d v="2023-05-23T00:00:00"/>
    <m/>
    <s v="Moussa Kadia Camara"/>
    <s v="Riz"/>
    <x v="1"/>
    <n v="29"/>
    <d v="2023-05-19T00:00:00"/>
    <x v="4"/>
    <s v="7MNA006T"/>
    <m/>
    <m/>
    <m/>
  </r>
  <r>
    <d v="2023-05-18T14:44:14"/>
    <s v="Kérouané"/>
    <s v="Centre"/>
    <s v="Individuel"/>
    <s v="N'faly Fofana"/>
    <n v="621802097"/>
    <n v="621802097"/>
    <s v="Kérouane Centre"/>
    <n v="12"/>
    <s v="Labour - uniquement"/>
    <n v="3"/>
    <s v="Sanbadji"/>
    <s v="Sanbadji"/>
    <s v="6 mois"/>
    <d v="2023-05-22T00:00:00"/>
    <m/>
    <s v="Moussa Kadia Camara"/>
    <s v="Riz"/>
    <x v="1"/>
    <n v="3"/>
    <d v="2023-05-19T00:00:00"/>
    <x v="4"/>
    <s v="7MNA003T"/>
    <m/>
    <m/>
    <m/>
  </r>
  <r>
    <d v="2023-05-18T14:46:32"/>
    <s v="Kérouané"/>
    <s v="Centre"/>
    <s v="Individuel"/>
    <s v="Laye Keita"/>
    <n v="622129932"/>
    <n v="622129932"/>
    <s v="Kérouane Centre"/>
    <n v="7"/>
    <s v="Labour - uniquement"/>
    <n v="5"/>
    <s v="Samory"/>
    <s v="Samory"/>
    <s v="5 mois"/>
    <d v="2023-05-21T00:00:00"/>
    <m/>
    <s v="Moussa Kadia Camara"/>
    <s v="Riz"/>
    <x v="1"/>
    <n v="5"/>
    <d v="2023-05-19T00:00:00"/>
    <x v="4"/>
    <s v="7KNE001T"/>
    <m/>
    <m/>
    <m/>
  </r>
  <r>
    <d v="2023-05-18T14:50:14"/>
    <s v="Kérouané"/>
    <s v="Centre"/>
    <s v="Individuel"/>
    <s v="Sindiano"/>
    <n v="623697128"/>
    <n v="623697128"/>
    <s v="Kérouane Centre"/>
    <n v="3"/>
    <s v="Labour - uniquement"/>
    <n v="2"/>
    <s v="Samory"/>
    <s v="Samory"/>
    <s v="5 mois"/>
    <d v="2023-06-01T00:00:00"/>
    <m/>
    <s v="Moussa Kadia Camara"/>
    <s v="Riz"/>
    <x v="1"/>
    <n v="2"/>
    <d v="2023-05-19T00:00:00"/>
    <x v="4"/>
    <s v="7KNE001T"/>
    <m/>
    <m/>
    <m/>
  </r>
  <r>
    <d v="2023-05-18T15:23:21"/>
    <s v="Faranah"/>
    <s v="Aviation"/>
    <s v="Individuel"/>
    <s v="Mohamed sidibé"/>
    <n v="625414814"/>
    <m/>
    <s v="Faranah Centre"/>
    <n v="1"/>
    <s v="Labour - uniquement"/>
    <n v="1"/>
    <s v="Porotokolo"/>
    <s v="Porotokolo"/>
    <s v="6 mois"/>
    <d v="2023-05-18T00:00:00"/>
    <m/>
    <s v="Mohamed Fanta kourouma"/>
    <s v="Riz"/>
    <x v="0"/>
    <m/>
    <m/>
    <x v="0"/>
    <m/>
    <m/>
    <m/>
    <m/>
  </r>
  <r>
    <d v="2023-05-18T15:30:28"/>
    <s v="Faranah"/>
    <s v="Aviation"/>
    <s v="Individuel"/>
    <s v="Sori camara"/>
    <n v="620344951"/>
    <m/>
    <s v="Faranah Centre"/>
    <n v="1"/>
    <s v="Labour - uniquement"/>
    <n v="1"/>
    <s v="Ck90"/>
    <s v="Ck90"/>
    <s v="4 mois"/>
    <d v="2023-05-18T00:00:00"/>
    <m/>
    <s v="Mohamed Fanta kourouma"/>
    <s v="Riz"/>
    <x v="0"/>
    <m/>
    <m/>
    <x v="0"/>
    <m/>
    <m/>
    <m/>
    <m/>
  </r>
  <r>
    <d v="2023-05-18T17:15:35"/>
    <s v="Siguiri"/>
    <s v="Siguiri"/>
    <s v="Individuel"/>
    <s v="Elhdj Fode Barry"/>
    <n v="628305638"/>
    <m/>
    <s v="Siguiri Centre"/>
    <n v="2"/>
    <s v="Labour - uniquement"/>
    <n v="2"/>
    <s v="Chinois"/>
    <s v="Chinois"/>
    <s v="5 mois"/>
    <d v="2023-05-19T00:00:00"/>
    <m/>
    <s v="Nanamoudou ll Magassouba"/>
    <s v="Riz"/>
    <x v="0"/>
    <m/>
    <m/>
    <x v="19"/>
    <m/>
    <m/>
    <m/>
    <m/>
  </r>
  <r>
    <d v="2023-05-18T21:44:56"/>
    <s v="Boffa"/>
    <s v="Kaba"/>
    <s v="Individuel"/>
    <s v="Moussa Sangaré"/>
    <n v="621044012"/>
    <m/>
    <s v="Mankountan"/>
    <n v="175"/>
    <s v="Pulvérisation - uniquement"/>
    <n v="21"/>
    <s v="Baga Malé"/>
    <s v="J'ignore"/>
    <s v="9 mois"/>
    <d v="2023-05-19T00:00:00"/>
    <s v="Manque de tracteur"/>
    <s v="Alya Foulématou Camara"/>
    <s v="Riz"/>
    <x v="0"/>
    <m/>
    <m/>
    <x v="19"/>
    <m/>
    <m/>
    <m/>
    <m/>
  </r>
  <r>
    <d v="2023-05-19T02:19:14"/>
    <s v="Dinguiraye"/>
    <s v="Dinguiraye centre"/>
    <s v="Individuel"/>
    <s v="Fanta mady oulare"/>
    <n v="622064066"/>
    <m/>
    <s v="Banora"/>
    <n v="67"/>
    <s v="Pulvérisation - uniquement"/>
    <n v="16"/>
    <s v="Dissiba-oulén"/>
    <s v="Dissiba-oulén"/>
    <s v="4 mois"/>
    <d v="2023-05-23T00:00:00"/>
    <m/>
    <s v="Mamadou 1 Diallo"/>
    <s v="Riz"/>
    <x v="0"/>
    <m/>
    <m/>
    <x v="0"/>
    <m/>
    <m/>
    <m/>
    <m/>
  </r>
  <r>
    <d v="2023-05-19T08:18:14"/>
    <s v="Kankan"/>
    <s v="Bordeaux"/>
    <s v="Collectif"/>
    <s v="Mory Keita"/>
    <n v="623430001"/>
    <n v="0"/>
    <s v="Koumban"/>
    <n v="40"/>
    <s v="Labour - uniquement"/>
    <n v="8"/>
    <s v="Tchotcho"/>
    <s v="Variété locale"/>
    <s v="6 mois"/>
    <d v="2023-05-19T00:00:00"/>
    <s v="Petits producteurs"/>
    <s v="Moussa Alamako Keita"/>
    <s v="Riz"/>
    <x v="1"/>
    <n v="8"/>
    <d v="2023-05-19T00:00:00"/>
    <x v="4"/>
    <s v="7KAN003T"/>
    <m/>
    <m/>
    <m/>
  </r>
  <r>
    <d v="2023-05-19T08:23:05"/>
    <s v="Kankan"/>
    <s v="Bordeaux"/>
    <s v="Individuel"/>
    <s v="Sidiki Kourouma"/>
    <n v="624337750"/>
    <n v="0"/>
    <s v="Sabadou-Baranama"/>
    <n v="80"/>
    <s v="Labour - uniquement"/>
    <n v="4"/>
    <s v="Tchotcho"/>
    <s v="Variété locale"/>
    <s v="6 mois"/>
    <d v="2023-05-19T00:00:00"/>
    <s v="Petit producteur"/>
    <s v="Moussa Alamako Keita"/>
    <s v="Riz"/>
    <x v="1"/>
    <n v="4"/>
    <d v="2023-05-19T00:00:00"/>
    <x v="4"/>
    <s v="7KAN004T"/>
    <m/>
    <m/>
    <m/>
  </r>
  <r>
    <d v="2023-05-19T09:58:16"/>
    <s v="Kindia"/>
    <s v="Kindia"/>
    <s v="Individuel"/>
    <s v="DIALLO Mamadou Sanoussy"/>
    <n v="628334356"/>
    <m/>
    <s v="Madina Oula"/>
    <n v="88"/>
    <s v="Labour - uniquement"/>
    <n v="20"/>
    <s v="CK"/>
    <s v="CK"/>
    <s v="5 mois"/>
    <d v="2023-05-20T00:00:00"/>
    <s v="Realisable"/>
    <s v="Boubacar Gueme Bah"/>
    <s v="Riz"/>
    <x v="0"/>
    <m/>
    <m/>
    <x v="19"/>
    <m/>
    <m/>
    <m/>
    <m/>
  </r>
  <r>
    <d v="2023-05-19T10:05:24"/>
    <s v="Kindia"/>
    <s v="Kindia"/>
    <s v="Individuel"/>
    <s v="BAH Hadja Laouratou"/>
    <n v="628065504"/>
    <m/>
    <s v="Madina Oula"/>
    <n v="80"/>
    <s v="Labour - uniquement"/>
    <n v="5"/>
    <s v="Haricot"/>
    <s v="Harico"/>
    <s v="3 mois"/>
    <d v="2023-05-23T00:00:00"/>
    <s v="Realisable"/>
    <s v="Boubacar Gueme Bah"/>
    <s v="Haricot"/>
    <x v="0"/>
    <m/>
    <m/>
    <x v="19"/>
    <m/>
    <m/>
    <m/>
    <m/>
  </r>
  <r>
    <d v="2023-05-19T10:13:13"/>
    <s v="Kindia"/>
    <s v="Kindia"/>
    <s v="Individuel"/>
    <s v="BAH Mohamed"/>
    <n v="622815817"/>
    <m/>
    <s v="Friguiagbé"/>
    <n v="12"/>
    <s v="Labour - uniquement"/>
    <n v="1"/>
    <s v="Baronne"/>
    <s v="Baronne"/>
    <s v="3 mois"/>
    <d v="2023-05-24T00:00:00"/>
    <s v="Realisable"/>
    <s v="Boubacar Gueme Bah"/>
    <s v="Ananas"/>
    <x v="0"/>
    <m/>
    <m/>
    <x v="19"/>
    <m/>
    <m/>
    <m/>
    <m/>
  </r>
  <r>
    <d v="2023-05-19T10:17:59"/>
    <s v="Kankan"/>
    <s v="Bordeaux"/>
    <s v="Individuel"/>
    <s v="Kabine condé"/>
    <n v="622949344"/>
    <n v="0"/>
    <s v="Tinti-Oulen"/>
    <n v="25"/>
    <s v="Labour - uniquement"/>
    <n v="20"/>
    <s v="Ck90"/>
    <s v="Variété améliorée"/>
    <s v="4 mois"/>
    <d v="2023-05-20T00:00:00"/>
    <s v="Grand producteur"/>
    <s v="Moussa Alamako Keita"/>
    <s v="Riz"/>
    <x v="0"/>
    <m/>
    <m/>
    <x v="19"/>
    <m/>
    <m/>
    <m/>
    <m/>
  </r>
  <r>
    <d v="2023-05-19T11:29:01"/>
    <s v="Siguiri"/>
    <s v="Siguiri"/>
    <s v="Individuel"/>
    <s v="Dr Kanaoussou Guilavogui"/>
    <n v="623574677"/>
    <m/>
    <s v="Siguiri Centre"/>
    <n v="4"/>
    <s v="Labour - uniquement"/>
    <n v="1"/>
    <s v="Nerica19"/>
    <s v="Nerica19"/>
    <s v="4 mois"/>
    <d v="2023-05-20T00:00:00"/>
    <m/>
    <s v="Nanamoudou ll Magassouba"/>
    <s v="Riz"/>
    <x v="0"/>
    <m/>
    <m/>
    <x v="19"/>
    <m/>
    <m/>
    <m/>
    <m/>
  </r>
  <r>
    <d v="2023-05-19T11:35:30"/>
    <s v="Siguiri"/>
    <s v="Siguiri"/>
    <s v="Collectif"/>
    <s v="Fanta Mady MAGASSOUBA"/>
    <n v="623875187"/>
    <m/>
    <s v="Doko"/>
    <n v="60"/>
    <s v="Labour - uniquement"/>
    <n v="17"/>
    <s v="Nenken, koroninkaba...."/>
    <s v="Nenkin, koroninkaba..."/>
    <s v="3 mois"/>
    <d v="2023-05-23T00:00:00"/>
    <m/>
    <s v="Nanamoudou ll Magassouba"/>
    <s v="Riz et Maïs"/>
    <x v="1"/>
    <n v="17.5"/>
    <d v="2023-05-23T00:00:00"/>
    <x v="18"/>
    <s v="7SRI002T"/>
    <m/>
    <m/>
    <m/>
  </r>
  <r>
    <d v="2023-05-19T12:19:29"/>
    <s v="Siguiri"/>
    <s v="Siguiri"/>
    <s v="Individuel"/>
    <s v="Moussa DOUMBOUYA"/>
    <n v="622390014"/>
    <m/>
    <s v="Siguiri Centre"/>
    <n v="3"/>
    <s v="Labour - uniquement"/>
    <n v="1.5"/>
    <s v="Nerica19"/>
    <s v="Nerica19"/>
    <s v="4 mois"/>
    <d v="2023-05-20T00:00:00"/>
    <m/>
    <s v="Nanamoudou ll Magassouba"/>
    <s v="Riz"/>
    <x v="1"/>
    <n v="1.5"/>
    <d v="2023-05-23T00:00:00"/>
    <x v="18"/>
    <s v="7SRI002T"/>
    <m/>
    <m/>
    <m/>
  </r>
  <r>
    <d v="2023-05-19T13:09:21"/>
    <s v="Yomou"/>
    <s v="À yomou"/>
    <s v="Individuel"/>
    <s v="Sidiki Camara"/>
    <n v="620351445"/>
    <m/>
    <s v="Péla"/>
    <n v="25"/>
    <s v="Labour + Pulvérisation"/>
    <n v="1"/>
    <s v="CK 90"/>
    <s v="Oriza S/P"/>
    <s v="3 mois"/>
    <d v="2023-05-20T00:00:00"/>
    <m/>
    <s v="Nyankoye Edouard Balamou"/>
    <s v="Riz"/>
    <x v="1"/>
    <n v="1"/>
    <d v="2023-05-19T00:00:00"/>
    <x v="4"/>
    <s v="6YOU001T"/>
    <m/>
    <m/>
    <m/>
  </r>
  <r>
    <d v="2023-05-19T15:41:35"/>
    <s v="Kankan"/>
    <s v="Bordeaux"/>
    <s v="Individuel"/>
    <s v="Kabine condé"/>
    <n v="622949344"/>
    <n v="0"/>
    <s v="Tinti-Oulen"/>
    <n v="25"/>
    <s v="Labour - uniquement"/>
    <n v="20"/>
    <s v="Ck90"/>
    <s v="Variété améliorée"/>
    <s v="4 mois"/>
    <d v="2023-05-20T00:00:00"/>
    <s v="Enregistrement répété par faute de connexion de même producteur"/>
    <s v="Moussa Alamako Keita"/>
    <s v="Riz"/>
    <x v="0"/>
    <m/>
    <m/>
    <x v="0"/>
    <m/>
    <m/>
    <m/>
    <m/>
  </r>
  <r>
    <d v="2023-05-19T16:22:44"/>
    <s v="Nzérékoré"/>
    <s v="Nzérékoré centre"/>
    <s v="Individuel"/>
    <s v="MOUSSA LOUA"/>
    <n v="623366894"/>
    <m/>
    <s v="Gouécké"/>
    <n v="45"/>
    <s v="Labour - uniquement"/>
    <n v="8"/>
    <s v="riz"/>
    <s v="riz"/>
    <s v="5 mois"/>
    <d v="2023-05-20T00:00:00"/>
    <m/>
    <s v="Mohamed Kone"/>
    <s v="Riz"/>
    <x v="0"/>
    <m/>
    <m/>
    <x v="0"/>
    <m/>
    <m/>
    <m/>
    <m/>
  </r>
  <r>
    <d v="2023-05-19T16:29:40"/>
    <s v="Mandiana"/>
    <s v="Cours du bloc Administratif"/>
    <s v="Collectif"/>
    <s v="Karamo Amadou DIALLO"/>
    <n v="621112991"/>
    <m/>
    <s v="Kondianakoro"/>
    <n v="95"/>
    <s v="Labour + Pulvérisation"/>
    <n v="105"/>
    <s v="R19, flottant"/>
    <s v="Ne connais pas"/>
    <s v="6 mois"/>
    <d v="2023-05-22T00:00:00"/>
    <s v="Aptes pour la mécanisation"/>
    <s v="Nounkè Doumbouya"/>
    <s v="Riz"/>
    <x v="0"/>
    <m/>
    <m/>
    <x v="0"/>
    <m/>
    <m/>
    <m/>
    <m/>
  </r>
  <r>
    <d v="2023-05-19T16:31:54"/>
    <s v="Mandiana"/>
    <s v="Cours du bloc Administratif"/>
    <s v="Individuel"/>
    <s v="Mory Diakite"/>
    <n v="622005537"/>
    <m/>
    <s v="Mandiana Centre"/>
    <n v="11"/>
    <s v="Labour - uniquement"/>
    <n v="15"/>
    <s v="Chinois"/>
    <s v="Oriza sativa"/>
    <s v="6 mois"/>
    <d v="2023-05-18T00:00:00"/>
    <s v="Aptes pour la mécanisation"/>
    <s v="Nounkè Doumbouya"/>
    <s v="Riz"/>
    <x v="0"/>
    <m/>
    <m/>
    <x v="0"/>
    <m/>
    <m/>
    <m/>
    <m/>
  </r>
  <r>
    <d v="2023-05-19T17:37:45"/>
    <s v="Dinguiraye"/>
    <s v="Dinguiraye centre"/>
    <s v="Individuel"/>
    <s v="Fallou Barry"/>
    <n v="622310074"/>
    <m/>
    <s v="Kalinko"/>
    <n v="75"/>
    <s v="Labour - uniquement"/>
    <n v="8"/>
    <s v="Dissiba-oulén"/>
    <s v="Dissiba-oulén"/>
    <s v="4 mois"/>
    <d v="2023-05-20T00:00:00"/>
    <m/>
    <s v="Mamadou 1 Diallo"/>
    <s v="Riz"/>
    <x v="0"/>
    <m/>
    <m/>
    <x v="0"/>
    <m/>
    <m/>
    <m/>
    <m/>
  </r>
  <r>
    <d v="2023-05-19T18:53:18"/>
    <s v="Faranah"/>
    <s v="Aviation"/>
    <s v="Individuel"/>
    <s v="Oumar fofana"/>
    <n v="626537287"/>
    <m/>
    <s v="Tiro"/>
    <n v="45"/>
    <s v="Labour - uniquement"/>
    <n v="6"/>
    <s v="Porotokolo"/>
    <s v="Porotokolo"/>
    <s v="6 mois"/>
    <d v="2023-05-20T00:00:00"/>
    <m/>
    <s v="Mohamed Fanta kourouma"/>
    <s v="Riz"/>
    <x v="0"/>
    <m/>
    <m/>
    <x v="0"/>
    <m/>
    <m/>
    <m/>
    <m/>
  </r>
  <r>
    <d v="2023-05-19T20:01:04"/>
    <s v="Dabola"/>
    <s v="Foundeng 1"/>
    <s v="Individuel"/>
    <s v="Mamadou Hardy Sow"/>
    <n v="622499417"/>
    <m/>
    <s v="Dabola Centre"/>
    <n v="10"/>
    <s v="Labour - uniquement"/>
    <n v="3"/>
    <s v="Kaniye"/>
    <s v="Kaniye"/>
    <s v="5 mois"/>
    <d v="2023-05-19T00:00:00"/>
    <m/>
    <s v="Souleymane Kanté"/>
    <s v="Riz"/>
    <x v="1"/>
    <n v="5"/>
    <d v="2023-05-22T00:00:00"/>
    <x v="18"/>
    <s v="6DLA001T"/>
    <m/>
    <m/>
    <m/>
  </r>
  <r>
    <d v="2023-05-20T09:04:36"/>
    <s v="Dabola"/>
    <s v="Foundeng 1"/>
    <s v="Individuel"/>
    <s v="Daouda kourouma"/>
    <n v="628136248"/>
    <m/>
    <s v="Dabola Centre"/>
    <n v="12"/>
    <s v="Labour - uniquement"/>
    <n v="5"/>
    <s v="Ck90"/>
    <s v="Ck90"/>
    <s v="4 mois"/>
    <d v="2023-05-21T00:00:00"/>
    <m/>
    <s v="Souleymane Kanté"/>
    <s v="Riz"/>
    <x v="0"/>
    <m/>
    <m/>
    <x v="19"/>
    <m/>
    <m/>
    <m/>
    <m/>
  </r>
  <r>
    <d v="2023-05-20T13:46:09"/>
    <s v="Dinguiraye"/>
    <s v="Dinguiraye centre"/>
    <s v="Individuel"/>
    <s v="Djiby sylla"/>
    <n v="622299749"/>
    <m/>
    <s v="Kalinko"/>
    <n v="67"/>
    <s v="Labour - uniquement"/>
    <n v="11"/>
    <s v="Malogbèdian"/>
    <s v="Malogbèdian"/>
    <s v="5 mois"/>
    <d v="2023-05-23T00:00:00"/>
    <m/>
    <s v="Mamadou 1 Diallo"/>
    <s v="Riz"/>
    <x v="0"/>
    <m/>
    <m/>
    <x v="19"/>
    <m/>
    <m/>
    <m/>
    <m/>
  </r>
  <r>
    <d v="2023-05-20T15:18:21"/>
    <s v="Mandiana"/>
    <s v="Cours du bloc Administratif"/>
    <s v="Individuel"/>
    <s v="Youssouf Bayo"/>
    <n v="622110835"/>
    <m/>
    <s v="Mandiana Centre"/>
    <n v="6"/>
    <s v="Labour + Pulvérisation"/>
    <n v="10"/>
    <s v="Tambakelè"/>
    <s v="Ne connais pas"/>
    <s v="4 mois"/>
    <d v="2023-05-22T00:00:00"/>
    <s v="Aptes pour la mécanisation"/>
    <s v="Nounkè Doumbouya"/>
    <s v="Riz"/>
    <x v="0"/>
    <m/>
    <m/>
    <x v="19"/>
    <m/>
    <m/>
    <m/>
    <m/>
  </r>
  <r>
    <d v="2023-05-20T15:28:02"/>
    <s v="Mandiana"/>
    <s v="Cours du bloc Administratif"/>
    <s v="Individuel"/>
    <s v="Seydou Traoré"/>
    <n v="621138813"/>
    <m/>
    <s v="Mandiana Centre"/>
    <n v="11"/>
    <s v="Labour - uniquement"/>
    <n v="6"/>
    <s v="Maïs parta"/>
    <s v="Perta"/>
    <s v="4 mois"/>
    <d v="2023-05-21T00:00:00"/>
    <s v="Aptes pour la mécanisation"/>
    <s v="Nounkè Doumbouya"/>
    <s v="Maïs"/>
    <x v="0"/>
    <m/>
    <m/>
    <x v="19"/>
    <m/>
    <m/>
    <m/>
    <m/>
  </r>
  <r>
    <d v="2023-05-20T15:32:17"/>
    <s v="Mandiana"/>
    <s v="Cours du bloc Administratif"/>
    <s v="Individuel"/>
    <s v="Elhadj toumany Diallo"/>
    <n v="624838407"/>
    <m/>
    <s v="Saladou"/>
    <n v="92"/>
    <s v="Labour + Pulvérisation"/>
    <n v="80"/>
    <s v="Ck90"/>
    <s v="Ck"/>
    <s v="5 mois"/>
    <d v="2023-05-25T00:00:00"/>
    <s v="Aptes pour la mécanisation"/>
    <s v="Nounkè Doumbouya"/>
    <s v="Riz"/>
    <x v="0"/>
    <m/>
    <m/>
    <x v="19"/>
    <m/>
    <m/>
    <m/>
    <m/>
  </r>
  <r>
    <d v="2023-05-20T15:35:57"/>
    <s v="Mandiana"/>
    <s v="Cours du bloc Administratif"/>
    <s v="Collectif"/>
    <s v="Kaly DIAKITÉ"/>
    <n v="628155244"/>
    <m/>
    <s v="Morodou"/>
    <n v="28"/>
    <s v="Labour + Pulvérisation"/>
    <n v="35"/>
    <s v="Billy malo"/>
    <s v="Ne connais pas"/>
    <s v="4 mois"/>
    <d v="2023-05-30T00:00:00"/>
    <s v="Aptes pour la mécanisation"/>
    <s v="Nounkè Doumbouya"/>
    <s v="Riz"/>
    <x v="0"/>
    <m/>
    <m/>
    <x v="19"/>
    <m/>
    <m/>
    <m/>
    <m/>
  </r>
  <r>
    <d v="2023-05-20T15:40:34"/>
    <s v="Mandiana"/>
    <s v="Cours du bloc Administratif"/>
    <s v="Collectif"/>
    <s v="Kabinè Diakité"/>
    <n v="628949604"/>
    <m/>
    <s v="Morodou"/>
    <n v="27"/>
    <s v="Labour + Pulvérisation"/>
    <n v="32"/>
    <s v="Nerica 19"/>
    <s v="Nerica"/>
    <s v="4 mois"/>
    <d v="2023-06-03T00:00:00"/>
    <s v="Aptes pour la mécanisation"/>
    <s v="Nounkè Doumbouya"/>
    <s v="Riz"/>
    <x v="0"/>
    <m/>
    <m/>
    <x v="19"/>
    <m/>
    <m/>
    <m/>
    <m/>
  </r>
  <r>
    <d v="2023-05-20T15:46:11"/>
    <s v="Mandiana"/>
    <s v="Cours du bloc Administratif"/>
    <s v="Collectif"/>
    <s v="Karamo Diakité"/>
    <n v="621037560"/>
    <m/>
    <s v="Morodou"/>
    <n v="31"/>
    <s v="Labour + Pulvérisation"/>
    <n v="53"/>
    <s v="Nerica 19 et 4, Ck90"/>
    <s v="Nerica et ck"/>
    <s v="5 mois"/>
    <d v="2023-06-01T00:00:00"/>
    <s v="Aptes pour la mécanisation"/>
    <s v="Nounkè Doumbouya"/>
    <s v="Riz"/>
    <x v="0"/>
    <m/>
    <m/>
    <x v="19"/>
    <m/>
    <m/>
    <m/>
    <m/>
  </r>
  <r>
    <d v="2023-05-20T15:48:32"/>
    <s v="Mandiana"/>
    <s v="Cours du bloc Administratif"/>
    <s v="Collectif"/>
    <s v="Daouda gbèman DIAKITÉ"/>
    <n v="628773068"/>
    <m/>
    <s v="Morodou"/>
    <n v="28"/>
    <s v="Labour + Pulvérisation"/>
    <n v="65"/>
    <s v="Sweta, Ck90"/>
    <s v="Ck"/>
    <s v="5 mois"/>
    <d v="2023-05-31T00:00:00"/>
    <s v="Aptes à la mécanisation"/>
    <s v="Nounkè Doumbouya"/>
    <s v="Riz"/>
    <x v="0"/>
    <m/>
    <m/>
    <x v="19"/>
    <m/>
    <m/>
    <m/>
    <m/>
  </r>
  <r>
    <d v="2023-05-20T15:52:26"/>
    <s v="Mandiana"/>
    <s v="Cours du bloc Administratif"/>
    <s v="Collectif"/>
    <s v="Amadou boss Diakité"/>
    <n v="628653697"/>
    <m/>
    <s v="Morodou"/>
    <n v="23"/>
    <s v="Labour + Pulvérisation"/>
    <n v="34"/>
    <s v="Billy malo, dissiba"/>
    <s v="Ne connais pas"/>
    <s v="5 mois"/>
    <d v="2023-05-28T00:00:00"/>
    <s v="Aptes pour la mécanisation"/>
    <s v="Nounkè Doumbouya"/>
    <s v="Riz"/>
    <x v="0"/>
    <m/>
    <m/>
    <x v="19"/>
    <m/>
    <m/>
    <m/>
    <m/>
  </r>
  <r>
    <d v="2023-05-20T18:25:48"/>
    <s v="Faranah"/>
    <s v="Aviation"/>
    <s v="Individuel"/>
    <s v="Fodé keita"/>
    <n v="624490725"/>
    <m/>
    <s v="Beindou"/>
    <n v="50"/>
    <s v="Labour - uniquement"/>
    <n v="10"/>
    <s v="Samaka,sonssompolo"/>
    <s v="Samaka,sonsssompolo"/>
    <s v="5 mois"/>
    <d v="2023-05-21T00:00:00"/>
    <m/>
    <s v="Mohamed Fanta kourouma"/>
    <s v="Riz"/>
    <x v="0"/>
    <m/>
    <m/>
    <x v="19"/>
    <m/>
    <m/>
    <m/>
    <m/>
  </r>
  <r>
    <d v="2023-05-21T09:47:23"/>
    <s v="Dabola"/>
    <s v="Foundeng 1"/>
    <s v="Individuel"/>
    <s v="Mody mahin Barry"/>
    <n v="628789436"/>
    <m/>
    <s v="Dabola Centre"/>
    <n v="11"/>
    <s v="Labour - uniquement"/>
    <n v="2"/>
    <s v="Ck90"/>
    <s v="Ck90"/>
    <s v="4 mois"/>
    <d v="2023-05-28T00:00:00"/>
    <m/>
    <s v="Souleymane Kanté"/>
    <s v="Riz"/>
    <x v="0"/>
    <m/>
    <m/>
    <x v="19"/>
    <m/>
    <m/>
    <m/>
    <m/>
  </r>
  <r>
    <d v="2023-05-22T09:45:01"/>
    <s v="Lola"/>
    <s v="Direction Préfectorale de l'Agriculture et de l'Élevage de Lola"/>
    <s v="Individuel"/>
    <s v="Gertrude Lamah"/>
    <n v="624910129"/>
    <m/>
    <s v="Lainé"/>
    <n v="10"/>
    <s v="Labour - uniquement"/>
    <n v="64"/>
    <s v="Jaune_jaune"/>
    <s v="Zea mays"/>
    <s v="3 mois"/>
    <d v="2023-05-23T00:00:00"/>
    <m/>
    <s v="Pokpa Delamou"/>
    <s v="Maïs"/>
    <x v="1"/>
    <n v="12"/>
    <d v="2023-05-22T00:00:00"/>
    <x v="18"/>
    <s v="8LLA001T"/>
    <m/>
    <m/>
    <m/>
  </r>
  <r>
    <d v="2023-05-22T09:53:58"/>
    <s v="Lola"/>
    <s v="Direction Préfectorale de l'Agriculture et de l'Élevage de Lola"/>
    <s v="Individuel"/>
    <s v="Laurent pé"/>
    <n v="610609397"/>
    <m/>
    <s v="Lainé"/>
    <n v="8"/>
    <s v="Labour - uniquement"/>
    <n v="4"/>
    <s v="Roki ta"/>
    <s v="Oryza Sativa"/>
    <s v="5 mois"/>
    <d v="2023-05-22T00:00:00"/>
    <m/>
    <s v="Pokpa Delamou"/>
    <s v="Riz"/>
    <x v="1"/>
    <n v="2"/>
    <d v="2023-05-22T00:00:00"/>
    <x v="18"/>
    <s v="8LLA001T"/>
    <m/>
    <m/>
    <m/>
  </r>
  <r>
    <d v="2023-05-22T10:00:07"/>
    <s v="Gaoual"/>
    <s v="CU"/>
    <s v="Collectif"/>
    <s v="SADIO KONDJIRA"/>
    <n v="622465274"/>
    <m/>
    <s v="Koumbia"/>
    <n v="32"/>
    <s v="Labour - uniquement"/>
    <n v="5"/>
    <s v="DIOULKÉMÈ"/>
    <s v="CK 90"/>
    <s v="4 mois"/>
    <d v="2023-05-23T00:00:00"/>
    <m/>
    <s v="Soriba Moustapha Camara"/>
    <s v="Riz"/>
    <x v="1"/>
    <n v="5"/>
    <d v="2023-05-22T00:00:00"/>
    <x v="18"/>
    <s v="3GAL004T"/>
    <m/>
    <m/>
    <m/>
  </r>
  <r>
    <d v="2023-05-22T10:13:11"/>
    <s v="Lola"/>
    <s v="Direction Préfectorale de l'Agriculture et de l'Élevage de Lola"/>
    <s v="Individuel"/>
    <s v="Eugène Delamou"/>
    <n v="620165590"/>
    <m/>
    <s v="Lainé"/>
    <n v="15"/>
    <s v="Labour - uniquement"/>
    <n v="5"/>
    <s v="Roki ta"/>
    <s v="Oryza Sativa"/>
    <s v="5 mois"/>
    <d v="2023-05-24T00:00:00"/>
    <m/>
    <s v="Pokpa Delamou"/>
    <s v="Riz"/>
    <x v="1"/>
    <n v="5"/>
    <d v="2023-05-22T00:00:00"/>
    <x v="18"/>
    <s v="8LLA001T"/>
    <m/>
    <m/>
    <m/>
  </r>
  <r>
    <d v="2023-05-22T10:15:45"/>
    <s v="Siguiri"/>
    <s v="Siguiri"/>
    <s v="Collectif"/>
    <s v="Elhadj fodé barry"/>
    <n v="628305638"/>
    <m/>
    <s v="Siguiri Centre"/>
    <n v="3"/>
    <s v="Labour - uniquement"/>
    <n v="2"/>
    <s v="Chinois"/>
    <s v="Chinois"/>
    <s v="5 mois"/>
    <d v="2023-05-19T00:00:00"/>
    <m/>
    <s v="Nanamoudou ll Magassouba"/>
    <s v="Riz"/>
    <x v="1"/>
    <n v="2"/>
    <d v="2023-05-23T00:00:00"/>
    <x v="18"/>
    <s v="7SRI005T"/>
    <m/>
    <m/>
    <m/>
  </r>
  <r>
    <d v="2023-05-22T10:19:43"/>
    <s v="Siguiri"/>
    <s v="Siguiri"/>
    <s v="Individuel"/>
    <s v="Docteur kana woussou guilavogui"/>
    <n v="623574677"/>
    <m/>
    <s v="Siguiri Centre"/>
    <n v="2"/>
    <s v="Labour - uniquement"/>
    <n v="1"/>
    <s v="Nerica"/>
    <s v="Nerica"/>
    <s v="4 mois"/>
    <d v="2023-05-19T00:00:00"/>
    <m/>
    <s v="Nanamoudou ll Magassouba"/>
    <s v="Riz"/>
    <x v="1"/>
    <n v="1"/>
    <d v="2023-05-23T00:00:00"/>
    <x v="18"/>
    <s v="7SRI002T"/>
    <m/>
    <m/>
    <m/>
  </r>
  <r>
    <d v="2023-05-22T10:28:58"/>
    <s v="Siguiri"/>
    <s v="Siguiri"/>
    <s v="Collectif"/>
    <s v="Fanta Mady magassouba"/>
    <n v="623875187"/>
    <m/>
    <s v="Doko"/>
    <n v="60"/>
    <s v="Labour - uniquement"/>
    <n v="17.5"/>
    <s v="Nerica19"/>
    <s v="Nerica 19"/>
    <s v="4 mois"/>
    <d v="2023-05-19T00:00:00"/>
    <m/>
    <s v="Nanamoudou ll Magassouba"/>
    <s v="Riz"/>
    <x v="0"/>
    <m/>
    <m/>
    <x v="19"/>
    <m/>
    <m/>
    <m/>
    <m/>
  </r>
  <r>
    <d v="2023-05-22T10:46:42"/>
    <s v="Dubréka"/>
    <s v="Ouassou"/>
    <s v="Individuel"/>
    <s v="Bembeya camara"/>
    <n v="622423797"/>
    <n v="622423797"/>
    <s v="Koba-Tatema"/>
    <n v="7"/>
    <s v="Labour - uniquement"/>
    <n v="2"/>
    <s v="Massaraka"/>
    <s v="Nereka"/>
    <s v="6 mois"/>
    <d v="2023-05-21T00:00:00"/>
    <s v="Accord"/>
    <s v="Kissi Camara"/>
    <s v="Riz"/>
    <x v="1"/>
    <n v="2"/>
    <d v="2023-05-23T00:00:00"/>
    <x v="18"/>
    <s v="2DKA001T"/>
    <m/>
    <m/>
    <m/>
  </r>
  <r>
    <d v="2023-05-22T11:00:47"/>
    <s v="Siguiri"/>
    <s v="Siguiri"/>
    <s v="Individuel"/>
    <s v="Moussa doumbouya"/>
    <n v="622390014"/>
    <m/>
    <s v="Siguiri Centre"/>
    <n v="3"/>
    <s v="Labour - uniquement"/>
    <n v="1"/>
    <s v="Menkè"/>
    <s v="Menkè"/>
    <s v="3 mois"/>
    <d v="2023-05-19T00:00:00"/>
    <m/>
    <s v="Nanamoudou ll Magassouba"/>
    <s v="Riz"/>
    <x v="0"/>
    <m/>
    <m/>
    <x v="19"/>
    <m/>
    <m/>
    <m/>
    <m/>
  </r>
  <r>
    <d v="2023-05-22T11:45:32"/>
    <s v="Dinguiraye"/>
    <s v="Dinguiraye"/>
    <s v="Individuel"/>
    <s v="Fallou barry"/>
    <n v="622310074"/>
    <m/>
    <s v="Kalinko"/>
    <n v="75"/>
    <s v="Labour - uniquement"/>
    <n v="8"/>
    <s v="Dissiba-oulen"/>
    <s v="Dissiba-oulen"/>
    <s v="4 mois"/>
    <d v="2023-05-21T00:00:00"/>
    <m/>
    <s v="Mamadou 1 Diallo"/>
    <s v="Riz"/>
    <x v="1"/>
    <n v="8"/>
    <d v="2023-05-22T00:00:00"/>
    <x v="18"/>
    <s v="6DYE002T"/>
    <m/>
    <m/>
    <m/>
  </r>
  <r>
    <d v="2023-05-22T11:51:26"/>
    <s v="Dinguiraye"/>
    <s v="Dinguiraye"/>
    <s v="Individuel"/>
    <s v="Saran Mady sanoh"/>
    <n v="621421610"/>
    <m/>
    <s v="Banora"/>
    <n v="67"/>
    <s v="Labour - uniquement"/>
    <n v="11"/>
    <s v="Tontifo"/>
    <s v="Tontifo"/>
    <s v="4 mois"/>
    <d v="2023-05-22T00:00:00"/>
    <m/>
    <s v="Mamadou 1 Diallo"/>
    <s v="Riz"/>
    <x v="1"/>
    <n v="11"/>
    <d v="2023-05-22T00:00:00"/>
    <x v="18"/>
    <s v="6DYE004T"/>
    <m/>
    <m/>
    <m/>
  </r>
  <r>
    <d v="2023-05-22T11:53:18"/>
    <s v="Kouroussa"/>
    <s v="Wassabada"/>
    <s v="Individuel"/>
    <s v="Assa Fanta Camara"/>
    <n v="628075754"/>
    <m/>
    <s v="Kouroussa Centre"/>
    <n v="5"/>
    <s v="Labour - uniquement"/>
    <n v="3"/>
    <s v="Bagnain"/>
    <s v="Bagnain"/>
    <s v="4 mois"/>
    <d v="2023-05-22T00:00:00"/>
    <m/>
    <s v="Ibrahima Kalil Fofana"/>
    <s v="Riz"/>
    <x v="0"/>
    <m/>
    <m/>
    <x v="0"/>
    <m/>
    <m/>
    <m/>
    <m/>
  </r>
  <r>
    <d v="2023-05-22T11:56:47"/>
    <s v="Coyah"/>
    <s v="Commune Urbaine"/>
    <s v="Individuel"/>
    <s v="Elh Mamadou bobo Diallo"/>
    <n v="628003222"/>
    <m/>
    <s v="Wonkifong"/>
    <n v="18"/>
    <s v="Labour - uniquement"/>
    <n v="6"/>
    <s v="Tin samba"/>
    <s v="Oriza Sativa"/>
    <s v="5 mois"/>
    <d v="2023-05-24T00:00:00"/>
    <m/>
    <s v="Ousmane Tangaly Balde"/>
    <s v="Riz"/>
    <x v="1"/>
    <n v="6"/>
    <d v="2023-05-23T00:00:00"/>
    <x v="18"/>
    <s v="2CAH001T"/>
    <m/>
    <m/>
    <m/>
  </r>
  <r>
    <d v="2023-05-22T11:58:20"/>
    <s v="Kouroussa"/>
    <s v="Wassabada"/>
    <s v="Individuel"/>
    <s v="Balla djouméssy"/>
    <n v="620091714"/>
    <m/>
    <s v="Kouroussa Centre"/>
    <n v="8"/>
    <s v="Labour - uniquement"/>
    <n v="3"/>
    <s v="Bagnain"/>
    <s v="Bagnain"/>
    <s v="4 mois"/>
    <d v="2023-05-25T00:00:00"/>
    <m/>
    <s v="Ibrahima Kalil Fofana"/>
    <s v="Riz"/>
    <x v="0"/>
    <m/>
    <m/>
    <x v="0"/>
    <m/>
    <m/>
    <m/>
    <m/>
  </r>
  <r>
    <d v="2023-05-22T12:14:55"/>
    <s v="Mandiana"/>
    <s v="Cour du bloc administratif de"/>
    <s v="Collectif"/>
    <s v="Sékou touraby koulibaly"/>
    <n v="622239722"/>
    <m/>
    <s v="Kiniéran"/>
    <n v="79"/>
    <s v="Labour + Pulvérisation"/>
    <n v="30"/>
    <s v="Adrao"/>
    <s v="Adrao"/>
    <s v="5 mois"/>
    <d v="2023-05-21T00:00:00"/>
    <m/>
    <s v="Nounkè Doumbouya"/>
    <s v="Riz"/>
    <x v="1"/>
    <n v="30"/>
    <d v="2023-05-22T00:00:00"/>
    <x v="18"/>
    <s v="7MNA001T"/>
    <m/>
    <m/>
    <m/>
  </r>
  <r>
    <d v="2023-05-22T12:18:11"/>
    <s v="Mandiana"/>
    <s v="Cour du bloc administratif"/>
    <s v="Individuel"/>
    <s v="Mory Diakité"/>
    <n v="622005537"/>
    <m/>
    <s v="Mandiana Centre"/>
    <n v="11"/>
    <s v="Labour - uniquement"/>
    <n v="7"/>
    <s v="Chinois"/>
    <s v="Chinois"/>
    <s v="6 mois"/>
    <d v="2023-05-20T00:00:00"/>
    <m/>
    <s v="Nounkè Doumbouya"/>
    <s v="Riz"/>
    <x v="1"/>
    <n v="7"/>
    <d v="2023-05-22T00:00:00"/>
    <x v="18"/>
    <s v="7MNA001T"/>
    <m/>
    <m/>
    <m/>
  </r>
  <r>
    <d v="2023-05-22T12:25:15"/>
    <s v="Mandiana"/>
    <s v="Cour du bloc administratif"/>
    <s v="Individuel"/>
    <s v="Youssouf bayo"/>
    <n v="622110835"/>
    <m/>
    <s v="Mandiana Centre"/>
    <n v="11"/>
    <s v="Labour - uniquement"/>
    <n v="2"/>
    <s v="Tamba kêlê"/>
    <s v="Tamba kêlê"/>
    <s v="4 mois"/>
    <d v="2023-05-22T00:00:00"/>
    <m/>
    <s v="Nounkè Doumbouya"/>
    <s v="Riz"/>
    <x v="1"/>
    <n v="2"/>
    <d v="2023-05-22T00:00:00"/>
    <x v="18"/>
    <s v="7MNA005T"/>
    <m/>
    <m/>
    <m/>
  </r>
  <r>
    <d v="2023-05-22T12:29:03"/>
    <s v="Mandiana"/>
    <s v="Cour du bloc administratif"/>
    <s v="Individuel"/>
    <s v="Elhadj Toumani Diallo"/>
    <n v="624838473"/>
    <m/>
    <s v="Saladou"/>
    <n v="92"/>
    <s v="Pulvérisation - uniquement"/>
    <n v="35"/>
    <s v="Ck90"/>
    <s v="Ck90"/>
    <s v="5 mois"/>
    <d v="2023-05-23T00:00:00"/>
    <m/>
    <s v="Nounkè Doumbouya"/>
    <s v="Riz"/>
    <x v="1"/>
    <n v="35"/>
    <d v="2023-05-22T00:00:00"/>
    <x v="18"/>
    <s v="7MNA008T"/>
    <m/>
    <m/>
    <m/>
  </r>
  <r>
    <d v="2023-05-22T12:33:27"/>
    <s v="Mandiana"/>
    <s v="Cour du bloc administratif"/>
    <s v="Collectif"/>
    <s v="Fassiriman konaté"/>
    <n v="622722909"/>
    <m/>
    <s v="Mandiana Centre"/>
    <n v="28"/>
    <s v="Labour + Pulvérisation"/>
    <n v="30"/>
    <s v="Nerica19"/>
    <s v="Nerica19"/>
    <s v="4 mois"/>
    <d v="2023-05-23T00:00:00"/>
    <m/>
    <s v="Nounkè Doumbouya"/>
    <s v="Riz"/>
    <x v="1"/>
    <n v="30"/>
    <d v="2023-05-22T00:00:00"/>
    <x v="18"/>
    <s v="7MNA002T"/>
    <m/>
    <m/>
    <m/>
  </r>
  <r>
    <d v="2023-05-22T13:39:04"/>
    <s v="Kankan"/>
    <s v="Bordeaux"/>
    <s v="Individuel"/>
    <s v="Kabinet condé"/>
    <n v="622949344"/>
    <m/>
    <s v="Tinti-Oulen"/>
    <n v="25"/>
    <s v="Labour - uniquement"/>
    <n v="20"/>
    <s v="Ck90"/>
    <s v="Ck90"/>
    <s v="4 mois"/>
    <d v="2023-05-20T00:00:00"/>
    <m/>
    <s v="Moussa Alamako Keita"/>
    <s v="Riz"/>
    <x v="1"/>
    <n v="20"/>
    <d v="2023-05-22T00:00:00"/>
    <x v="18"/>
    <s v="7KAN006T"/>
    <m/>
    <m/>
    <m/>
  </r>
  <r>
    <d v="2023-05-22T13:42:27"/>
    <s v="Kankan"/>
    <s v="Bordeaux"/>
    <s v="Individuel"/>
    <s v="Mamadi 2 condé"/>
    <n v="620227830"/>
    <m/>
    <s v="Sabadou-Baranama"/>
    <n v="85"/>
    <s v="Labour - uniquement"/>
    <n v="5"/>
    <s v="Thouthou"/>
    <s v="Variété locale"/>
    <s v="6 mois"/>
    <d v="2023-05-21T00:00:00"/>
    <m/>
    <s v="Moussa Alamako Keita"/>
    <s v="Riz"/>
    <x v="1"/>
    <n v="5"/>
    <d v="2023-05-22T00:00:00"/>
    <x v="18"/>
    <s v="7KAN004T"/>
    <m/>
    <m/>
    <m/>
  </r>
  <r>
    <d v="2023-05-22T13:45:37"/>
    <s v="Kankan"/>
    <s v="Bordeaux"/>
    <s v="Collectif"/>
    <s v="Oury konaté"/>
    <n v="622041972"/>
    <m/>
    <s v="Missamana"/>
    <n v="50"/>
    <s v="Labour - uniquement"/>
    <n v="20"/>
    <s v="Soïta"/>
    <s v="Variété locale"/>
    <s v="6 mois"/>
    <d v="2023-05-22T00:00:00"/>
    <m/>
    <s v="Moussa Alamako Keita"/>
    <s v="Riz"/>
    <x v="1"/>
    <n v="7"/>
    <d v="2023-05-22T00:00:00"/>
    <x v="18"/>
    <s v="7KAN006T"/>
    <m/>
    <m/>
    <m/>
  </r>
  <r>
    <d v="2023-05-22T14:31:49"/>
    <s v="Guéckédou"/>
    <s v="Gueckedou centre"/>
    <s v="Individuel"/>
    <s v="Moriba sossoidouno"/>
    <n v="623652019"/>
    <m/>
    <s v="Terméssadou Djibo"/>
    <n v="33"/>
    <s v="Labour - uniquement"/>
    <n v="10"/>
    <s v="Ck90"/>
    <s v="Ck90"/>
    <s v="4 mois"/>
    <d v="2023-05-22T00:00:00"/>
    <m/>
    <s v="Antoine Teliano"/>
    <s v="Riz"/>
    <x v="1"/>
    <n v="10"/>
    <d v="2023-05-22T00:00:00"/>
    <x v="18"/>
    <s v="8GOU003T"/>
    <m/>
    <m/>
    <m/>
  </r>
  <r>
    <d v="2023-05-22T14:36:08"/>
    <s v="Guéckédou"/>
    <s v="Gueckedou centre"/>
    <s v="Individuel"/>
    <s v="Alexandre moussa temedouno"/>
    <n v="622039475"/>
    <m/>
    <s v="Guéckédou Centre"/>
    <n v="3"/>
    <s v="Labour - uniquement"/>
    <n v="1"/>
    <s v="Ck90"/>
    <s v="Ck90"/>
    <s v="4 mois"/>
    <d v="2023-05-17T00:00:00"/>
    <m/>
    <s v="Antoine Teliano"/>
    <s v="Riz"/>
    <x v="1"/>
    <n v="1"/>
    <d v="2023-05-22T00:00:00"/>
    <x v="18"/>
    <s v="8GOU002T"/>
    <m/>
    <m/>
    <m/>
  </r>
  <r>
    <d v="2023-05-22T15:14:51"/>
    <s v="Forécariah"/>
    <s v="Forecariah"/>
    <s v="Individuel"/>
    <s v="Aboubacar Traoré"/>
    <n v="623222900"/>
    <m/>
    <s v="Alassoya"/>
    <n v="7"/>
    <s v="Pulvérisation - uniquement"/>
    <n v="3"/>
    <s v="Ck90"/>
    <s v="Ck90"/>
    <s v="4 mois"/>
    <d v="2023-05-22T00:00:00"/>
    <m/>
    <s v="Diamouré keita"/>
    <s v="Riz"/>
    <x v="0"/>
    <m/>
    <m/>
    <x v="19"/>
    <m/>
    <m/>
    <m/>
    <m/>
  </r>
  <r>
    <d v="2023-05-22T15:20:46"/>
    <s v="Forécariah"/>
    <s v="Forécariah"/>
    <s v="Individuel"/>
    <s v="Sédiba sylla"/>
    <n v="628142078"/>
    <m/>
    <s v="Sikhourou"/>
    <n v="57"/>
    <s v="Labour - uniquement"/>
    <n v="2"/>
    <s v="Ck90"/>
    <s v="Ck90"/>
    <s v="4 mois"/>
    <d v="2022-05-22T00:00:00"/>
    <m/>
    <s v="Diamouré keita"/>
    <s v="Riz"/>
    <x v="0"/>
    <m/>
    <m/>
    <x v="19"/>
    <m/>
    <m/>
    <m/>
    <m/>
  </r>
  <r>
    <d v="2023-05-22T15:28:59"/>
    <s v="Forécariah"/>
    <s v="Forecariah"/>
    <s v="Individuel"/>
    <s v="Aboubacar Traoré"/>
    <n v="623222900"/>
    <m/>
    <s v="Alassoya"/>
    <n v="7"/>
    <s v="Pulvérisation - uniquement"/>
    <n v="3"/>
    <s v="Ck90"/>
    <s v="Ck90"/>
    <s v="4 mois"/>
    <d v="2023-05-22T00:00:00"/>
    <m/>
    <s v="Diamouré keita"/>
    <s v="Riz"/>
    <x v="1"/>
    <n v="3"/>
    <d v="2023-05-22T00:00:00"/>
    <x v="18"/>
    <s v="2FA005T"/>
    <m/>
    <m/>
    <m/>
  </r>
  <r>
    <d v="2023-05-22T15:35:39"/>
    <s v="Forécariah"/>
    <s v="Forecariah"/>
    <s v="Individuel"/>
    <s v="Sédiba sylla"/>
    <n v="628142078"/>
    <m/>
    <s v="Sikhourou"/>
    <n v="57"/>
    <s v="Labour - uniquement"/>
    <n v="2"/>
    <s v="Ck90"/>
    <s v="Ck90"/>
    <s v="4 mois"/>
    <d v="2023-05-22T00:00:00"/>
    <m/>
    <s v="Diamouré keita"/>
    <s v="Riz"/>
    <x v="1"/>
    <n v="2"/>
    <d v="2023-05-22T00:00:00"/>
    <x v="18"/>
    <s v="2FA004T"/>
    <m/>
    <m/>
    <m/>
  </r>
  <r>
    <d v="2023-05-23T08:14:55"/>
    <s v="Beyla"/>
    <s v="Beyla centre"/>
    <s v="Individuel"/>
    <s v="Laye Sangare"/>
    <n v="628458946"/>
    <m/>
    <s v="Sokourala"/>
    <n v="30"/>
    <s v="Labour - uniquement"/>
    <n v="8"/>
    <s v="Malogbeni"/>
    <s v="Riz"/>
    <s v="6 mois"/>
    <d v="2023-05-23T00:00:00"/>
    <m/>
    <s v="Moussa Conde"/>
    <s v="Riz"/>
    <x v="0"/>
    <m/>
    <m/>
    <x v="0"/>
    <m/>
    <m/>
    <m/>
    <m/>
  </r>
  <r>
    <d v="2023-05-23T08:32:44"/>
    <s v="Beyla"/>
    <s v="Beyla"/>
    <s v="Individuel"/>
    <s v="Kanvaly Doumbouya"/>
    <n v="622852937"/>
    <m/>
    <s v="Samana"/>
    <n v="50"/>
    <s v="Labour - uniquement"/>
    <n v="20"/>
    <s v="Tchocho"/>
    <s v="Riz"/>
    <s v="6 mois"/>
    <d v="2023-05-23T00:00:00"/>
    <m/>
    <s v="Moussa Conde"/>
    <s v="Riz"/>
    <x v="1"/>
    <n v="20"/>
    <d v="2023-05-23T00:00:00"/>
    <x v="18"/>
    <s v="8BLA008T"/>
    <m/>
    <m/>
    <m/>
  </r>
  <r>
    <d v="2023-05-23T10:17:17"/>
    <s v="Kouroussa"/>
    <s v="Wassabada"/>
    <s v="Individuel"/>
    <s v="Mohamed Wattara"/>
    <n v="628108397"/>
    <m/>
    <s v="Kouroussa Centre"/>
    <n v="2"/>
    <s v="Labour - uniquement"/>
    <n v="1"/>
    <s v="Bouréma malo ni"/>
    <s v="Oriza sativa"/>
    <s v="4 mois"/>
    <d v="2023-05-23T00:00:00"/>
    <m/>
    <s v="Ibrahima Kalil Fofana"/>
    <s v="Riz"/>
    <x v="0"/>
    <m/>
    <m/>
    <x v="19"/>
    <m/>
    <m/>
    <m/>
    <m/>
  </r>
  <r>
    <d v="2023-05-23T10:24:07"/>
    <s v="Kouroussa"/>
    <s v="Wassabada"/>
    <s v="Individuel"/>
    <s v="Balla djouméssy"/>
    <n v="620091714"/>
    <m/>
    <s v="Kouroussa Centre"/>
    <n v="8"/>
    <s v="Labour - uniquement"/>
    <n v="3"/>
    <s v="Bagnè"/>
    <s v="Ck"/>
    <s v="4 mois"/>
    <d v="2023-05-25T00:00:00"/>
    <m/>
    <s v="Ibrahima Kalil Fofana"/>
    <s v="Riz"/>
    <x v="0"/>
    <m/>
    <m/>
    <x v="19"/>
    <m/>
    <m/>
    <m/>
    <m/>
  </r>
  <r>
    <d v="2023-05-23T10:27:55"/>
    <s v="Kouroussa"/>
    <s v="Wassabada"/>
    <s v="Individuel"/>
    <s v="Assa Fanta Camara"/>
    <n v="628075754"/>
    <m/>
    <s v="Kouroussa Centre"/>
    <n v="5"/>
    <s v="Labour - uniquement"/>
    <n v="3"/>
    <s v="Bagnè"/>
    <s v="Ck"/>
    <s v="4 mois"/>
    <d v="2023-05-22T00:00:00"/>
    <m/>
    <s v="Ibrahima Kalil Fofana"/>
    <s v="Riz"/>
    <x v="0"/>
    <m/>
    <m/>
    <x v="19"/>
    <m/>
    <m/>
    <m/>
    <m/>
  </r>
  <r>
    <d v="2023-05-23T11:37:02"/>
    <s v="Kouroussa"/>
    <s v="Wassabada"/>
    <s v="Individuel"/>
    <s v="Fodé keita"/>
    <n v="621219567"/>
    <m/>
    <s v="Kouroussa Centre"/>
    <n v="8"/>
    <s v="Labour - uniquement"/>
    <n v="10"/>
    <s v="Brema-malony"/>
    <s v="Kaoulaka"/>
    <s v="4 mois"/>
    <d v="2023-05-26T00:00:00"/>
    <m/>
    <s v="Ibrahima Kalil Fofana"/>
    <s v="Riz"/>
    <x v="0"/>
    <m/>
    <m/>
    <x v="19"/>
    <m/>
    <m/>
    <m/>
    <m/>
  </r>
  <r>
    <d v="2023-05-23T11:41:46"/>
    <s v="Kouroussa"/>
    <s v="Wassabada"/>
    <s v="Individuel"/>
    <s v="Kansereba Conde"/>
    <n v="628839757"/>
    <m/>
    <s v="Kouroussa Centre"/>
    <n v="2"/>
    <s v="Labour - uniquement"/>
    <n v="1"/>
    <s v="Bagnain"/>
    <s v="CEKA"/>
    <s v="4 mois"/>
    <d v="2023-05-25T00:00:00"/>
    <m/>
    <s v="Ibrahima Kalil Fofana"/>
    <s v="Riz"/>
    <x v="0"/>
    <m/>
    <m/>
    <x v="19"/>
    <m/>
    <m/>
    <m/>
    <m/>
  </r>
  <r>
    <d v="2023-05-23T11:52:28"/>
    <s v="Siguiri"/>
    <s v="Siguiri"/>
    <s v="Individuel"/>
    <s v="Kansireba Magassouba"/>
    <n v="626503906"/>
    <m/>
    <s v="Siguiri Centre"/>
    <n v="2"/>
    <s v="Labour - uniquement"/>
    <n v="1"/>
    <s v="Nenken"/>
    <s v="Nenken"/>
    <s v="3 mois"/>
    <d v="2023-05-23T00:00:00"/>
    <m/>
    <s v="Nanamoudou ll Magassouba"/>
    <s v="Riz"/>
    <x v="1"/>
    <n v="1"/>
    <d v="2023-05-23T00:00:00"/>
    <x v="18"/>
    <s v="7SRI005T"/>
    <m/>
    <m/>
    <m/>
  </r>
  <r>
    <d v="2023-05-23T11:57:22"/>
    <s v="Siguiri"/>
    <s v="Siguiri"/>
    <s v="Collectif"/>
    <s v="Fanta Mady Magassouba"/>
    <n v="623875187"/>
    <m/>
    <s v="Doko"/>
    <n v="60"/>
    <s v="Labour - uniquement"/>
    <n v="8"/>
    <s v="Nenkin"/>
    <s v="Nenkin"/>
    <s v="3 mois"/>
    <d v="2023-05-23T00:00:00"/>
    <m/>
    <s v="Nanamoudou ll Magassouba"/>
    <s v="Riz"/>
    <x v="1"/>
    <n v="8"/>
    <d v="2023-05-23T00:00:00"/>
    <x v="18"/>
    <s v="7SRI005T"/>
    <m/>
    <m/>
    <m/>
  </r>
  <r>
    <d v="2023-05-23T12:01:02"/>
    <s v="Siguiri"/>
    <s v="Siguiri"/>
    <s v="Individuel"/>
    <s v="Kassim Sylla"/>
    <n v="625723444"/>
    <m/>
    <s v="Siguiri Centre"/>
    <n v="4"/>
    <s v="Labour - uniquement"/>
    <n v="5"/>
    <s v="Nenkin"/>
    <s v="Nenkin"/>
    <s v="3 mois"/>
    <d v="2023-05-23T00:00:00"/>
    <m/>
    <s v="Nanamoudou ll Magassouba"/>
    <s v="Riz"/>
    <x v="1"/>
    <n v="5"/>
    <d v="2023-05-23T00:00:00"/>
    <x v="18"/>
    <s v="7SRI004T"/>
    <m/>
    <m/>
    <m/>
  </r>
  <r>
    <d v="2023-05-23T12:07:06"/>
    <s v="Siguiri"/>
    <s v="Siguiri"/>
    <s v="Individuel"/>
    <s v="Almamy Traore"/>
    <n v="622977919"/>
    <m/>
    <s v="Siguiri Centre"/>
    <n v="3"/>
    <s v="Labour - uniquement"/>
    <n v="3"/>
    <s v="Nerica19"/>
    <s v="Nerica19"/>
    <s v="4 mois"/>
    <d v="2023-05-23T00:00:00"/>
    <m/>
    <s v="Nanamoudou ll Magassouba"/>
    <s v="Riz"/>
    <x v="1"/>
    <n v="3"/>
    <d v="2023-05-23T00:00:00"/>
    <x v="18"/>
    <s v="7SRI004T"/>
    <m/>
    <m/>
    <m/>
  </r>
  <r>
    <d v="2023-05-23T12:10:22"/>
    <s v="Siguiri"/>
    <s v="Siguiri"/>
    <s v="Collectif"/>
    <s v="Amara Camara"/>
    <n v="621196192"/>
    <m/>
    <s v="Maléa"/>
    <n v="70"/>
    <s v="Labour - uniquement"/>
    <n v="30"/>
    <s v="Nerica19"/>
    <s v="Nerica19"/>
    <s v="4 mois"/>
    <d v="2023-05-23T00:00:00"/>
    <m/>
    <s v="Nanamoudou ll Magassouba"/>
    <s v="Riz"/>
    <x v="1"/>
    <n v="30"/>
    <d v="2023-05-23T00:00:00"/>
    <x v="18"/>
    <s v="7SRI007T"/>
    <m/>
    <m/>
    <m/>
  </r>
  <r>
    <d v="2023-05-23T12:25:35"/>
    <s v="Macenta"/>
    <s v="Direction préfectorale de l’agriculture"/>
    <s v="Individuel"/>
    <s v="Elhadj Mohamed bignè camara"/>
    <n v="622091928"/>
    <m/>
    <s v="Macenta Centre"/>
    <n v="8"/>
    <s v="Pulvérisation - uniquement"/>
    <n v="30"/>
    <s v="Ck90"/>
    <s v="Ck90"/>
    <s v="5 mois"/>
    <d v="2023-05-24T00:00:00"/>
    <s v="Pulvérisage"/>
    <s v="Alexandre Kpoghomou"/>
    <s v="Riz"/>
    <x v="1"/>
    <n v="30"/>
    <d v="2023-05-23T00:00:00"/>
    <x v="18"/>
    <s v="8GOU002T"/>
    <m/>
    <m/>
    <m/>
  </r>
  <r>
    <d v="2023-05-23T12:29:11"/>
    <s v="Macenta"/>
    <s v="Direction préfectorale de l’agriculture"/>
    <s v="Individuel"/>
    <s v="Aissata Camara"/>
    <n v="628161267"/>
    <m/>
    <s v="Macenta Centre"/>
    <n v="12"/>
    <s v="Labour + Pulvérisation"/>
    <n v="6"/>
    <s v="Djoukèmè"/>
    <s v="Oriza sativa"/>
    <s v="5 mois"/>
    <d v="2023-05-27T00:00:00"/>
    <m/>
    <s v="Alexandre Kpoghomou"/>
    <s v="Riz"/>
    <x v="1"/>
    <n v="6"/>
    <d v="2023-05-23T00:00:00"/>
    <x v="18"/>
    <m/>
    <m/>
    <m/>
    <m/>
  </r>
  <r>
    <d v="2023-05-23T12:32:44"/>
    <s v="Macenta"/>
    <s v="Direction préfectorale de l’agriculture"/>
    <s v="Individuel"/>
    <s v="Mathieu Millimouno"/>
    <n v="622564008"/>
    <m/>
    <s v="Daro"/>
    <n v="12"/>
    <s v="Labour - uniquement"/>
    <n v="5"/>
    <s v="Djoukèmè"/>
    <s v="Oriza sativa"/>
    <s v="5 mois"/>
    <d v="2023-05-30T00:00:00"/>
    <m/>
    <s v="Alexandre Kpoghomou"/>
    <s v="Riz"/>
    <x v="1"/>
    <n v="5"/>
    <d v="2023-05-23T00:00:00"/>
    <x v="18"/>
    <s v="8MTA004T"/>
    <m/>
    <m/>
    <m/>
  </r>
  <r>
    <d v="2023-05-23T13:01:43"/>
    <s v="Dubréka"/>
    <s v="Ouassou"/>
    <s v="Individuel"/>
    <s v="Abdoulaye camara"/>
    <n v="625365311"/>
    <n v="625365311"/>
    <s v="Koba-Tatema"/>
    <n v="6"/>
    <s v="Labour - uniquement"/>
    <n v="2"/>
    <s v="Wonkifon"/>
    <n v="0"/>
    <s v="4 mois"/>
    <d v="2023-05-22T00:00:00"/>
    <s v="Accord"/>
    <s v="Kissi Camara"/>
    <s v="Riz"/>
    <x v="1"/>
    <n v="2"/>
    <d v="2023-05-23T00:00:00"/>
    <x v="18"/>
    <s v="2DKA001T"/>
    <m/>
    <m/>
    <m/>
  </r>
  <r>
    <d v="2023-05-23T13:11:05"/>
    <s v="Dubréka"/>
    <s v="Ouassou"/>
    <s v="Individuel"/>
    <s v="Mabinty camara"/>
    <n v="627789375"/>
    <n v="627789375"/>
    <s v="Koba-Tatema"/>
    <n v="6"/>
    <s v="Labour - uniquement"/>
    <n v="1"/>
    <s v="M'Bampeya"/>
    <n v="0"/>
    <s v="4 mois"/>
    <d v="2023-05-23T00:00:00"/>
    <s v="Accord"/>
    <s v="Kissi Camara"/>
    <s v="Riz"/>
    <x v="1"/>
    <n v="1"/>
    <d v="2023-05-23T00:00:00"/>
    <x v="18"/>
    <s v="2DKA001T"/>
    <m/>
    <m/>
    <m/>
  </r>
  <r>
    <d v="2023-05-23T13:52:25"/>
    <s v="Kérouané"/>
    <s v="Centre"/>
    <s v="Individuel"/>
    <s v="Laye kelety oulen Diabaté"/>
    <n v="628205992"/>
    <n v="628205992"/>
    <s v="Kérouane Centre"/>
    <n v="12"/>
    <s v="Labour - uniquement"/>
    <n v="6"/>
    <s v="Samory"/>
    <s v="Samory"/>
    <s v="5 mois"/>
    <d v="2023-05-25T00:00:00"/>
    <m/>
    <s v="Moussa Kadia Camara"/>
    <s v="Riz"/>
    <x v="0"/>
    <m/>
    <m/>
    <x v="19"/>
    <m/>
    <m/>
    <m/>
    <m/>
  </r>
  <r>
    <d v="2023-05-23T13:55:54"/>
    <s v="Kérouané"/>
    <s v="Centre"/>
    <s v="Individuel"/>
    <s v="Moussa Touré"/>
    <n v="627302656"/>
    <n v="627302656"/>
    <s v="Kérouane Centre"/>
    <n v="7"/>
    <s v="Labour - uniquement"/>
    <n v="1"/>
    <s v="Djoufini"/>
    <s v="Djoufini"/>
    <s v="6 mois"/>
    <d v="2023-05-26T00:00:00"/>
    <m/>
    <s v="Moussa Kadia Camara"/>
    <s v="Riz"/>
    <x v="0"/>
    <m/>
    <m/>
    <x v="19"/>
    <m/>
    <m/>
    <m/>
    <m/>
  </r>
  <r>
    <d v="2023-05-23T13:59:52"/>
    <s v="Kérouané"/>
    <s v="Centre"/>
    <s v="Individuel"/>
    <s v="Fabory Keita"/>
    <n v="628571050"/>
    <n v="628571050"/>
    <s v="Kérouane Centre"/>
    <n v="7"/>
    <s v="Labour - uniquement"/>
    <n v="3"/>
    <s v="Samory"/>
    <s v="Samory"/>
    <s v="5 mois"/>
    <d v="2023-05-27T00:00:00"/>
    <m/>
    <s v="Moussa Kadia Camara"/>
    <s v="Riz"/>
    <x v="0"/>
    <m/>
    <m/>
    <x v="19"/>
    <m/>
    <m/>
    <m/>
    <m/>
  </r>
  <r>
    <d v="2023-05-23T14:04:24"/>
    <s v="Kérouané"/>
    <s v="Centre"/>
    <s v="Individuel"/>
    <s v="Soumaila kourouma"/>
    <n v="620347362"/>
    <n v="620347362"/>
    <s v="Kérouane Centre"/>
    <n v="37"/>
    <s v="Labour - uniquement"/>
    <n v="15"/>
    <s v="Samory"/>
    <s v="Samory"/>
    <s v="5 mois"/>
    <d v="2023-05-29T00:00:00"/>
    <m/>
    <s v="Moussa Kadia Camara"/>
    <s v="Riz"/>
    <x v="0"/>
    <m/>
    <m/>
    <x v="19"/>
    <m/>
    <m/>
    <m/>
    <m/>
  </r>
  <r>
    <d v="2023-05-23T14:10:38"/>
    <s v="Kérouané"/>
    <s v="Centre"/>
    <s v="Individuel"/>
    <s v="Badenba Barry"/>
    <n v="669451909"/>
    <n v="669451909"/>
    <s v="Kérouane Centre"/>
    <n v="40"/>
    <s v="Labour - uniquement"/>
    <n v="6"/>
    <s v="Moussagbe"/>
    <s v="Moussagbe"/>
    <s v="9 mois"/>
    <d v="2023-05-29T00:00:00"/>
    <m/>
    <s v="Moussa Kadia Camara"/>
    <s v="Riz"/>
    <x v="0"/>
    <m/>
    <m/>
    <x v="19"/>
    <m/>
    <m/>
    <m/>
    <m/>
  </r>
  <r>
    <d v="2023-05-23T14:13:27"/>
    <s v="Kérouané"/>
    <s v="Centre"/>
    <s v="Individuel"/>
    <s v="Mamadou Magassouba"/>
    <n v="622944999"/>
    <n v="622944999"/>
    <s v="Kérouane Centre"/>
    <n v="5"/>
    <s v="Labour - uniquement"/>
    <n v="6"/>
    <s v="Samory"/>
    <s v="Samory"/>
    <s v="5 mois"/>
    <d v="2023-05-29T00:00:00"/>
    <m/>
    <s v="Moussa Kadia Camara"/>
    <s v="Riz"/>
    <x v="0"/>
    <m/>
    <m/>
    <x v="19"/>
    <m/>
    <m/>
    <m/>
    <m/>
  </r>
  <r>
    <d v="2023-05-23T14:15:56"/>
    <s v="Kérouané"/>
    <s v="Centre"/>
    <s v="Individuel"/>
    <s v="Commandant Adjoint"/>
    <n v="625260705"/>
    <n v="625260705"/>
    <s v="Kérouane Centre"/>
    <n v="15"/>
    <s v="Labour - uniquement"/>
    <n v="3"/>
    <s v="Samory"/>
    <s v="Samory"/>
    <s v="5 mois"/>
    <d v="2023-05-30T00:00:00"/>
    <m/>
    <s v="Moussa Kadia Camara"/>
    <s v="Riz"/>
    <x v="0"/>
    <m/>
    <m/>
    <x v="19"/>
    <m/>
    <m/>
    <m/>
    <m/>
  </r>
  <r>
    <d v="2023-05-23T14:59:19"/>
    <s v="Faranah"/>
    <s v="Aviation"/>
    <s v="Individuel"/>
    <s v="Mamadi kourouma"/>
    <n v="622080387"/>
    <m/>
    <s v="Beindou"/>
    <n v="70"/>
    <s v="Labour - uniquement"/>
    <n v="8"/>
    <s v="Porotokolo"/>
    <s v="Porotokolo"/>
    <s v="6 mois"/>
    <d v="2023-05-24T00:00:00"/>
    <m/>
    <s v="Mohamed Fanta kourouma"/>
    <s v="Riz"/>
    <x v="0"/>
    <m/>
    <m/>
    <x v="19"/>
    <m/>
    <m/>
    <m/>
    <m/>
  </r>
  <r>
    <d v="2023-05-23T15:02:36"/>
    <s v="Faranah"/>
    <s v="Aviation"/>
    <s v="Individuel"/>
    <s v="Sekou mansaré"/>
    <n v="623716549"/>
    <m/>
    <s v="Banfélé"/>
    <n v="150"/>
    <s v="Labour - uniquement"/>
    <n v="10"/>
    <s v="Mettre 6"/>
    <s v="Mettre 6"/>
    <s v="6 mois"/>
    <d v="2023-05-24T00:00:00"/>
    <m/>
    <s v="Mohamed Fanta kourouma"/>
    <s v="Riz"/>
    <x v="0"/>
    <m/>
    <m/>
    <x v="19"/>
    <m/>
    <m/>
    <m/>
    <m/>
  </r>
  <r>
    <d v="2023-05-23T15:22:47"/>
    <s v="Kindia"/>
    <s v="Kindia"/>
    <s v="Individuel"/>
    <s v="BARRY Boubacar Siddy"/>
    <n v="620694314"/>
    <m/>
    <s v="Friguiagbé"/>
    <n v="22"/>
    <s v="Labour - uniquement"/>
    <n v="2"/>
    <s v="CK"/>
    <s v="CK"/>
    <s v="5 mois"/>
    <d v="2023-05-24T00:00:00"/>
    <s v="Realisable"/>
    <s v="Boubacar Gueme Bah"/>
    <s v="Riz"/>
    <x v="0"/>
    <m/>
    <m/>
    <x v="19"/>
    <m/>
    <m/>
    <m/>
    <m/>
  </r>
  <r>
    <m/>
    <m/>
    <m/>
    <m/>
    <m/>
    <m/>
    <m/>
    <m/>
    <n v="11411"/>
    <m/>
    <n v="1847.5"/>
    <m/>
    <m/>
    <m/>
    <m/>
    <m/>
    <m/>
    <m/>
    <x v="0"/>
    <n v="1066.5"/>
    <m/>
    <x v="0"/>
    <m/>
    <m/>
    <m/>
    <m/>
  </r>
  <r>
    <m/>
    <m/>
    <m/>
    <m/>
    <m/>
    <m/>
    <m/>
    <m/>
    <m/>
    <m/>
    <m/>
    <m/>
    <m/>
    <m/>
    <m/>
    <m/>
    <m/>
    <m/>
    <x v="0"/>
    <n v="542.5"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19"/>
    <s v="7KAN003T"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0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  <r>
    <m/>
    <m/>
    <m/>
    <m/>
    <m/>
    <m/>
    <m/>
    <m/>
    <m/>
    <m/>
    <m/>
    <m/>
    <m/>
    <m/>
    <m/>
    <m/>
    <m/>
    <m/>
    <x v="0"/>
    <m/>
    <m/>
    <x v="19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3">
  <r>
    <d v="2023-01-10T21:43:39"/>
    <x v="0"/>
    <s v="Direction préfectorale de l'agriculture et de l'élevage de Macenta"/>
    <s v="Collectif"/>
    <s v="Association des agronomes retraités pour le développement de Macenta"/>
    <n v="622671405"/>
    <n v="622715005"/>
    <s v="Macenta Centre"/>
    <n v="12"/>
    <s v="Déchaumage"/>
    <n v="15"/>
    <s v="Abou"/>
    <s v="Oriza sativa"/>
    <s v="5 mois"/>
    <d v="2023-01-25T00:00:00"/>
    <s v="Pas"/>
    <s v="Alexandre Kpoghomou"/>
    <s v="Riz"/>
    <x v="0"/>
    <m/>
    <m/>
    <x v="0"/>
    <m/>
    <m/>
    <m/>
    <m/>
    <m/>
    <m/>
    <m/>
    <x v="0"/>
  </r>
  <r>
    <d v="2023-01-10T21:49:31"/>
    <x v="0"/>
    <s v="Direction préfectorale de l'agriculture et de l'élevage de Macenta"/>
    <s v="Collectif"/>
    <s v="Entreprise guinéenne de production agricole (EGUIPA )"/>
    <n v="620655190"/>
    <m/>
    <s v="Macenta Centre"/>
    <n v="15"/>
    <s v="Labour - uniquement"/>
    <n v="5"/>
    <s v="Champs de piment"/>
    <s v="Petit piment"/>
    <s v="9 mois"/>
    <d v="2023-01-28T00:00:00"/>
    <s v="Pas"/>
    <s v="Alexandre Kpoghomou"/>
    <s v="Petit piment"/>
    <x v="0"/>
    <m/>
    <m/>
    <x v="0"/>
    <m/>
    <m/>
    <m/>
    <m/>
    <m/>
    <m/>
    <m/>
    <x v="0"/>
  </r>
  <r>
    <d v="2023-01-10T21:55:47"/>
    <x v="0"/>
    <s v="Direction préfectorale de l'agriculture et de l'élevage de Macenta"/>
    <s v="Individuel"/>
    <s v="François inapogui"/>
    <n v="621479659"/>
    <m/>
    <s v="Macenta Centre"/>
    <n v="10"/>
    <s v="Déchaumage"/>
    <n v="15"/>
    <s v="Abou"/>
    <s v="Oriza sativa"/>
    <s v="5 mois"/>
    <d v="2023-01-30T00:00:00"/>
    <s v="Pas"/>
    <s v="Alexandre Kpoghomou"/>
    <s v="Riz"/>
    <x v="0"/>
    <m/>
    <m/>
    <x v="0"/>
    <m/>
    <m/>
    <m/>
    <m/>
    <m/>
    <m/>
    <m/>
    <x v="0"/>
  </r>
  <r>
    <d v="2023-01-10T22:00:52"/>
    <x v="0"/>
    <s v="Direction préfectorale de l'agriculture et de l'élevage de Macenta"/>
    <s v="Individuel"/>
    <s v="Daouda Keita"/>
    <n v="622016575"/>
    <m/>
    <s v="Kouankan"/>
    <n v="70"/>
    <s v="Labour - uniquement"/>
    <n v="20"/>
    <s v="Samaka"/>
    <s v="Oriza sativa"/>
    <s v="4 mois"/>
    <d v="2023-02-10T00:00:00"/>
    <s v="Pas"/>
    <s v="Alexandre Kpoghomou"/>
    <s v="Riz"/>
    <x v="0"/>
    <m/>
    <m/>
    <x v="0"/>
    <m/>
    <m/>
    <m/>
    <m/>
    <m/>
    <m/>
    <m/>
    <x v="0"/>
  </r>
  <r>
    <d v="2023-01-10T22:05:36"/>
    <x v="0"/>
    <s v="Direction préfectorale de l'agriculture et de l'élevage de Macenta"/>
    <s v="Individuel"/>
    <s v="Damas tonguino"/>
    <n v="622564008"/>
    <m/>
    <s v="Ourémai"/>
    <n v="12"/>
    <s v="Labour - uniquement"/>
    <n v="10"/>
    <s v="Chinoiba"/>
    <s v="Oriza sativa"/>
    <s v="5 mois"/>
    <d v="2023-02-15T00:00:00"/>
    <s v="Pas"/>
    <s v="Alexandre Kpoghomou"/>
    <s v="Riz"/>
    <x v="0"/>
    <m/>
    <m/>
    <x v="0"/>
    <m/>
    <m/>
    <m/>
    <m/>
    <m/>
    <m/>
    <m/>
    <x v="0"/>
  </r>
  <r>
    <d v="2023-01-10T22:08:51"/>
    <x v="0"/>
    <s v="Direction préfectorale de l'agriculture et de l'élevage de Macenta"/>
    <s v="Individuel"/>
    <s v="Lanciné Diallo"/>
    <n v="621573030"/>
    <m/>
    <s v="Kouankan"/>
    <n v="83"/>
    <s v="Déchaumage"/>
    <n v="20"/>
    <s v="Djoukeme"/>
    <s v="Oriza sativa"/>
    <s v="5 mois"/>
    <d v="2023-01-15T00:00:00"/>
    <s v="Pas"/>
    <s v="Alexandre Kpoghomou"/>
    <s v="Riz"/>
    <x v="0"/>
    <m/>
    <m/>
    <x v="0"/>
    <m/>
    <m/>
    <m/>
    <m/>
    <m/>
    <m/>
    <m/>
    <x v="0"/>
  </r>
  <r>
    <d v="2023-01-12T10:57:49"/>
    <x v="1"/>
    <s v="Siguiri"/>
    <s v="Individuel"/>
    <s v="Kaba DOUMBOUYA"/>
    <n v="622865492"/>
    <m/>
    <s v="Bankon"/>
    <n v="35"/>
    <s v="Déchaumage"/>
    <n v="5"/>
    <s v="Nenkin"/>
    <s v="Nenkin"/>
    <s v="3 mois"/>
    <d v="2022-01-15T00:00:00"/>
    <m/>
    <s v="Nanamoudou ll Magassouba"/>
    <s v="Riz"/>
    <x v="1"/>
    <n v="5"/>
    <d v="2023-01-24T00:00:00"/>
    <x v="1"/>
    <m/>
    <m/>
    <m/>
    <m/>
    <m/>
    <m/>
    <s v="Siguiri 1"/>
    <x v="0"/>
  </r>
  <r>
    <d v="2023-01-12T11:01:02"/>
    <x v="1"/>
    <s v="Siguiri"/>
    <s v="Individuel"/>
    <s v="Kaba KEITA"/>
    <n v="628255406"/>
    <m/>
    <s v="Siguiri Centre"/>
    <n v="3"/>
    <s v="Déchaumage"/>
    <n v="1"/>
    <s v="Nerica19"/>
    <s v="Nerica19"/>
    <s v="4 mois"/>
    <d v="2022-01-15T00:00:00"/>
    <m/>
    <s v="Nanamoudou ll Magassouba"/>
    <s v="Riz"/>
    <x v="0"/>
    <m/>
    <m/>
    <x v="0"/>
    <m/>
    <m/>
    <m/>
    <m/>
    <m/>
    <m/>
    <m/>
    <x v="0"/>
  </r>
  <r>
    <d v="2023-01-12T11:06:31"/>
    <x v="1"/>
    <s v="Siguiri"/>
    <s v="Individuel"/>
    <s v="Mamoudou CONDE"/>
    <n v="622680135"/>
    <m/>
    <s v="Siguiri Centre"/>
    <n v="2"/>
    <s v="Labour - uniquement"/>
    <n v="1"/>
    <s v="Cultures maraîchère"/>
    <s v="Culture maraîchère"/>
    <s v="4 mois"/>
    <d v="2022-01-15T00:00:00"/>
    <m/>
    <s v="Nanamoudou ll Magassouba"/>
    <s v="Culture maraichère"/>
    <x v="0"/>
    <m/>
    <m/>
    <x v="0"/>
    <m/>
    <m/>
    <m/>
    <m/>
    <m/>
    <m/>
    <m/>
    <x v="0"/>
  </r>
  <r>
    <d v="2023-01-12T11:10:55"/>
    <x v="1"/>
    <s v="Siguiri"/>
    <s v="Collectif"/>
    <s v="Daman Keita"/>
    <n v="624056044"/>
    <m/>
    <s v="Kintinian"/>
    <n v="60"/>
    <s v="Déchaumage"/>
    <n v="20"/>
    <s v="Nenkin, Nerica19, Chinois...."/>
    <s v="Nenkin, Nerica19, chinois"/>
    <s v="5 mois"/>
    <d v="2022-01-15T00:00:00"/>
    <m/>
    <s v="Nanamoudou ll Magassouba"/>
    <s v="Riz"/>
    <x v="0"/>
    <m/>
    <m/>
    <x v="0"/>
    <m/>
    <m/>
    <m/>
    <m/>
    <m/>
    <m/>
    <m/>
    <x v="0"/>
  </r>
  <r>
    <d v="2023-01-12T11:42:01"/>
    <x v="1"/>
    <s v="Siguiri"/>
    <s v="Individuel"/>
    <s v="Elhdj Fode Barry"/>
    <n v="628305638"/>
    <m/>
    <s v="Siguiri Centre"/>
    <n v="2"/>
    <s v="Déchaumage"/>
    <n v="4"/>
    <s v="Chinois"/>
    <s v="Chinois"/>
    <s v="5 mois"/>
    <d v="2022-01-16T00:00:00"/>
    <m/>
    <s v="Nanamoudou ll Magassouba"/>
    <s v="Riz"/>
    <x v="1"/>
    <n v="5.5"/>
    <d v="2023-01-24T00:00:00"/>
    <x v="1"/>
    <m/>
    <m/>
    <m/>
    <m/>
    <m/>
    <m/>
    <m/>
    <x v="0"/>
  </r>
  <r>
    <d v="2023-01-12T11:46:13"/>
    <x v="1"/>
    <s v="Siguiri"/>
    <s v="Individuel"/>
    <s v="Lamine Diallo"/>
    <n v="628309993"/>
    <m/>
    <s v="Siguiri Centre"/>
    <n v="2"/>
    <s v="Déchaumage"/>
    <n v="4"/>
    <s v="Nenkin"/>
    <s v="Nenkin"/>
    <s v="3 mois"/>
    <d v="2022-01-15T00:00:00"/>
    <m/>
    <s v="Nanamoudou ll Magassouba"/>
    <s v="Riz"/>
    <x v="0"/>
    <m/>
    <m/>
    <x v="0"/>
    <m/>
    <m/>
    <m/>
    <m/>
    <m/>
    <m/>
    <m/>
    <x v="0"/>
  </r>
  <r>
    <d v="2023-01-12T12:56:48"/>
    <x v="1"/>
    <s v="Siguiri"/>
    <s v="Collectif"/>
    <s v="Sindian TRAORE"/>
    <n v="628729355"/>
    <m/>
    <s v="Kiniébakoura"/>
    <n v="15"/>
    <s v="Déchaumage"/>
    <n v="10"/>
    <s v="Nerica19, Nenkin, Dissi...."/>
    <s v="Nerica19, Nenkin, Dissi"/>
    <s v="4 mois"/>
    <d v="2023-01-15T00:00:00"/>
    <m/>
    <s v="Nanamoudou ll Magassouba"/>
    <s v="Riz"/>
    <x v="0"/>
    <m/>
    <m/>
    <x v="0"/>
    <m/>
    <m/>
    <m/>
    <m/>
    <m/>
    <m/>
    <m/>
    <x v="0"/>
  </r>
  <r>
    <d v="2023-01-12T16:54:49"/>
    <x v="2"/>
    <s v="Bordeaux"/>
    <s v="Individuel"/>
    <s v="N'FALY Berete"/>
    <n v="621362961"/>
    <n v="0"/>
    <s v="Bate-Nafadji"/>
    <n v="95"/>
    <s v="Déchaumage"/>
    <n v="2"/>
    <s v="Gbintirima"/>
    <s v="Variété tardive"/>
    <s v="4 mois"/>
    <d v="2023-01-12T00:00:00"/>
    <s v="Petit producteur"/>
    <s v="Moussa Alamako Keita"/>
    <s v="Riz"/>
    <x v="0"/>
    <m/>
    <m/>
    <x v="0"/>
    <m/>
    <m/>
    <m/>
    <m/>
    <m/>
    <m/>
    <m/>
    <x v="0"/>
  </r>
  <r>
    <d v="2023-01-12T17:07:22"/>
    <x v="2"/>
    <s v="Bordeaux"/>
    <s v="Individuel"/>
    <s v="Biridjan Keita"/>
    <n v="628717030"/>
    <n v="0"/>
    <s v="Bate-Nafadji"/>
    <n v="95"/>
    <s v="Déchaumage"/>
    <n v="3"/>
    <s v="Nenkenba"/>
    <s v="Variété locale"/>
    <s v="6 mois"/>
    <d v="2023-01-15T00:00:00"/>
    <s v="Petit producteur"/>
    <s v="Moussa Alamako Keita"/>
    <s v="Riz"/>
    <x v="0"/>
    <m/>
    <m/>
    <x v="0"/>
    <m/>
    <m/>
    <m/>
    <m/>
    <m/>
    <m/>
    <m/>
    <x v="0"/>
  </r>
  <r>
    <d v="2023-01-12T17:24:25"/>
    <x v="2"/>
    <s v="Bordeaux"/>
    <s v="Collectif"/>
    <s v="Taliby kaba"/>
    <n v="622611665"/>
    <n v="0"/>
    <s v="Moribayah"/>
    <n v="95"/>
    <s v="Labour - uniquement"/>
    <n v="30"/>
    <s v="Ck90"/>
    <s v="Variété améliorée"/>
    <s v="4 mois"/>
    <d v="2023-01-15T00:00:00"/>
    <s v="Pas urgent"/>
    <s v="Moussa Alamako Keita"/>
    <s v="Riz"/>
    <x v="0"/>
    <m/>
    <m/>
    <x v="0"/>
    <m/>
    <m/>
    <m/>
    <m/>
    <m/>
    <m/>
    <m/>
    <x v="0"/>
  </r>
  <r>
    <d v="2023-01-12T17:31:02"/>
    <x v="1"/>
    <s v="Siguiri"/>
    <s v="Individuel"/>
    <s v="Mamady Kaba CAMARA"/>
    <n v="622151010"/>
    <m/>
    <s v="Siguiri Centre"/>
    <n v="5"/>
    <s v="Labour - uniquement"/>
    <n v="8"/>
    <s v="Banankou"/>
    <s v="Manioc"/>
    <s v="3 mois"/>
    <d v="2023-01-15T00:00:00"/>
    <m/>
    <s v="Nanamoudou ll Magassouba"/>
    <s v="Manioc"/>
    <x v="0"/>
    <m/>
    <m/>
    <x v="0"/>
    <m/>
    <m/>
    <m/>
    <m/>
    <m/>
    <m/>
    <m/>
    <x v="0"/>
  </r>
  <r>
    <d v="2023-01-15T14:48:42"/>
    <x v="1"/>
    <s v="Siguiri"/>
    <s v="Individuel"/>
    <s v="Almamy Sylla"/>
    <n v="622636385"/>
    <m/>
    <s v="Kiniébakoura"/>
    <n v="15"/>
    <s v="Déchaumage"/>
    <n v="3"/>
    <s v="Nenkin"/>
    <s v="Nenkin"/>
    <s v="3 mois"/>
    <d v="2023-01-15T00:00:00"/>
    <m/>
    <s v="Nanamoudou ll Magassouba"/>
    <s v="Riz"/>
    <x v="0"/>
    <m/>
    <m/>
    <x v="0"/>
    <m/>
    <m/>
    <m/>
    <m/>
    <m/>
    <m/>
    <m/>
    <x v="1"/>
  </r>
  <r>
    <d v="2023-01-16T11:05:56"/>
    <x v="0"/>
    <s v="Direction préfectorale de l'agriculture et de l'élevage de Macenta"/>
    <s v="Collectif"/>
    <s v="Association des agronomes retraités pour le développement de Macenta"/>
    <n v="622671405"/>
    <n v="622715005"/>
    <s v="Macenta Centre"/>
    <n v="12"/>
    <s v="Déchaumage"/>
    <n v="15"/>
    <s v="Chinoiba"/>
    <s v="Oriza sativa"/>
    <s v="5 mois"/>
    <d v="2023-01-16T00:00:00"/>
    <s v="Pas"/>
    <s v="Alexandre Kpoghomou"/>
    <s v="Riz"/>
    <x v="0"/>
    <m/>
    <m/>
    <x v="0"/>
    <m/>
    <m/>
    <m/>
    <m/>
    <m/>
    <m/>
    <m/>
    <x v="1"/>
  </r>
  <r>
    <d v="2023-01-16T11:11:49"/>
    <x v="0"/>
    <s v="Direction préfectorale de l'agriculture et de l'élevage de Macenta"/>
    <s v="Collectif"/>
    <s v="Entreprise guinéenne de production agricole EGUIPA"/>
    <n v="620655190"/>
    <m/>
    <s v="Macenta Centre"/>
    <n v="12"/>
    <s v="Labour + Pulvérisation"/>
    <n v="5"/>
    <s v="Le petit piment"/>
    <s v="Petit piment"/>
    <s v="4 mois"/>
    <d v="2023-01-13T00:00:00"/>
    <s v="Pas"/>
    <s v="Alexandre Kpoghomou"/>
    <s v="Culture maraichère"/>
    <x v="0"/>
    <m/>
    <m/>
    <x v="0"/>
    <m/>
    <m/>
    <m/>
    <m/>
    <m/>
    <m/>
    <m/>
    <x v="1"/>
  </r>
  <r>
    <d v="2023-01-16T11:29:42"/>
    <x v="1"/>
    <s v="Siguiri"/>
    <s v="Collectif"/>
    <s v="Solo TRAORE"/>
    <n v="628304701"/>
    <m/>
    <s v="Bankon"/>
    <n v="30"/>
    <s v="Déchaumage"/>
    <n v="10"/>
    <s v="Nenkin, Djoukeme"/>
    <s v="Nenkin, Dioukeme"/>
    <s v="3 mois"/>
    <d v="2023-01-17T00:00:00"/>
    <m/>
    <s v="Nanamoudou ll Magassouba"/>
    <s v="Riz"/>
    <x v="0"/>
    <m/>
    <m/>
    <x v="0"/>
    <m/>
    <m/>
    <m/>
    <m/>
    <m/>
    <m/>
    <m/>
    <x v="1"/>
  </r>
  <r>
    <d v="2023-01-16T11:31:29"/>
    <x v="0"/>
    <s v="Direction préfectorale de l'agriculture et de l'élevage de Macenta"/>
    <s v="Individuel"/>
    <s v="François inapogui"/>
    <n v="621479659"/>
    <m/>
    <s v="Macenta Centre"/>
    <n v="10"/>
    <s v="Déchaumage"/>
    <n v="10"/>
    <s v="Abou"/>
    <s v="Oriza sativa"/>
    <s v="4 mois"/>
    <d v="2023-01-27T00:00:00"/>
    <s v="Pas"/>
    <s v="Alexandre Kpoghomou"/>
    <s v="Riz"/>
    <x v="0"/>
    <m/>
    <m/>
    <x v="0"/>
    <m/>
    <m/>
    <m/>
    <m/>
    <m/>
    <m/>
    <m/>
    <x v="1"/>
  </r>
  <r>
    <d v="2023-01-16T11:36:37"/>
    <x v="0"/>
    <s v="Direction préfectorale de l'agriculture et de l'élevage de Macenta"/>
    <s v="Individuel"/>
    <s v="Daouda Keita"/>
    <n v="622016575"/>
    <m/>
    <s v="Kouankan"/>
    <n v="65"/>
    <s v="Labour + Pulvérisation"/>
    <n v="20"/>
    <s v="Djoukeme"/>
    <s v="Oriza sativa"/>
    <s v="4 mois"/>
    <d v="2023-02-15T00:00:00"/>
    <s v="Pas"/>
    <s v="Alexandre Kpoghomou"/>
    <s v="Riz"/>
    <x v="0"/>
    <m/>
    <m/>
    <x v="0"/>
    <m/>
    <m/>
    <m/>
    <m/>
    <m/>
    <m/>
    <m/>
    <x v="1"/>
  </r>
  <r>
    <d v="2023-01-16T11:43:53"/>
    <x v="1"/>
    <s v="Siguiri"/>
    <s v="Collectif"/>
    <s v="Mamady DOUMBOUYA"/>
    <n v="622324657"/>
    <m/>
    <s v="Bankon"/>
    <n v="35"/>
    <s v="Déchaumage"/>
    <n v="7"/>
    <s v="Kaolaka"/>
    <s v="Kaolaka"/>
    <s v="4 mois"/>
    <d v="2023-01-17T00:00:00"/>
    <m/>
    <s v="Nanamoudou ll Magassouba"/>
    <s v="Riz"/>
    <x v="1"/>
    <n v="7"/>
    <d v="2023-01-24T00:00:00"/>
    <x v="1"/>
    <m/>
    <m/>
    <m/>
    <m/>
    <m/>
    <m/>
    <m/>
    <x v="1"/>
  </r>
  <r>
    <d v="2023-01-16T11:44:47"/>
    <x v="0"/>
    <s v="Direction préfectorale de l'agriculture et de l'élevage de Macenta"/>
    <s v="Individuel"/>
    <s v="Damas tonguino"/>
    <n v="622586487"/>
    <m/>
    <s v="Ourémai"/>
    <n v="15"/>
    <s v="Labour + Pulvérisation"/>
    <n v="10"/>
    <s v="Abou"/>
    <s v="Oriza sativa"/>
    <s v="5 mois"/>
    <d v="2023-02-17T00:00:00"/>
    <s v="Pas"/>
    <s v="Alexandre Kpoghomou"/>
    <s v="Riz"/>
    <x v="0"/>
    <m/>
    <m/>
    <x v="0"/>
    <m/>
    <m/>
    <m/>
    <m/>
    <m/>
    <m/>
    <m/>
    <x v="1"/>
  </r>
  <r>
    <d v="2023-01-16T12:31:36"/>
    <x v="0"/>
    <s v="Direction préfectorale de l'agriculture et de l'élevage de Macenta"/>
    <s v="Individuel"/>
    <s v="Jean Beavogui"/>
    <n v="622820437"/>
    <m/>
    <s v="Macenta Centre"/>
    <n v="9"/>
    <s v="Labour + Pulvérisation"/>
    <n v="3"/>
    <s v="Chinoiba"/>
    <s v="Oriza sativa"/>
    <s v="4 mois"/>
    <d v="2023-01-30T00:00:00"/>
    <s v="Pas"/>
    <s v="Alexandre Kpoghomou"/>
    <s v="Riz"/>
    <x v="1"/>
    <n v="4"/>
    <d v="2023-02-13T00:00:00"/>
    <x v="2"/>
    <m/>
    <m/>
    <m/>
    <m/>
    <m/>
    <m/>
    <m/>
    <x v="1"/>
  </r>
  <r>
    <d v="2023-01-16T12:36:48"/>
    <x v="0"/>
    <s v="Direction préfectorale de l'agriculture et de l'élevage de Macenta"/>
    <s v="Individuel"/>
    <s v="Patricia Akoï Mara"/>
    <n v="622820437"/>
    <m/>
    <s v="Daro"/>
    <n v="27"/>
    <s v="Labour + Pulvérisation"/>
    <n v="3"/>
    <s v="Samaka"/>
    <s v="Oriza sativa"/>
    <s v="5 mois"/>
    <d v="2023-01-31T00:00:00"/>
    <s v="Pas"/>
    <s v="Alexandre Kpoghomou"/>
    <s v="Riz"/>
    <x v="0"/>
    <m/>
    <m/>
    <x v="0"/>
    <m/>
    <m/>
    <m/>
    <m/>
    <m/>
    <m/>
    <m/>
    <x v="1"/>
  </r>
  <r>
    <d v="2023-01-16T12:44:10"/>
    <x v="0"/>
    <s v="Direction préfectorale de l'agriculture et de l'élevage de Macenta"/>
    <s v="Collectif"/>
    <s v="OPAPE organisation pour la promotion agro-pastorale et environnement"/>
    <n v="623332108"/>
    <n v="622836757"/>
    <s v="Macenta Centre"/>
    <n v="27"/>
    <s v="Labour + Pulvérisation"/>
    <n v="15"/>
    <s v="Djoukeme et chinoiba"/>
    <s v="Oriza sativa"/>
    <s v="5 mois"/>
    <d v="2023-02-15T00:00:00"/>
    <s v="Pas"/>
    <s v="Alexandre Kpoghomou"/>
    <s v="Riz"/>
    <x v="0"/>
    <m/>
    <m/>
    <x v="0"/>
    <m/>
    <m/>
    <m/>
    <m/>
    <m/>
    <m/>
    <m/>
    <x v="1"/>
  </r>
  <r>
    <d v="2023-01-16T12:47:24"/>
    <x v="0"/>
    <s v="Direction préfectorale de l'agriculture et de l'élevage de Macenta"/>
    <s v="Individuel"/>
    <s v="Mohamed kourouma"/>
    <n v="620108977"/>
    <m/>
    <s v="Macenta Centre"/>
    <n v="9"/>
    <s v="Déchaumage"/>
    <n v="3"/>
    <s v="Chinoiba"/>
    <s v="Oriza sativa"/>
    <s v="5 mois"/>
    <d v="2023-01-30T00:00:00"/>
    <s v="Pas"/>
    <s v="Alexandre Kpoghomou"/>
    <s v="Riz"/>
    <x v="0"/>
    <m/>
    <m/>
    <x v="0"/>
    <m/>
    <m/>
    <m/>
    <m/>
    <m/>
    <m/>
    <m/>
    <x v="1"/>
  </r>
  <r>
    <d v="2023-01-17T14:49:58"/>
    <x v="3"/>
    <s v="Petel Mamou"/>
    <s v="Collectif"/>
    <s v="Mouctar Barry"/>
    <n v="628016732"/>
    <m/>
    <s v="Soyah"/>
    <n v="15"/>
    <s v="Labour - uniquement"/>
    <n v="6"/>
    <s v="Kalya"/>
    <s v="CK 90"/>
    <s v="4 mois"/>
    <d v="2023-11-25T00:00:00"/>
    <s v="Tout va bien pour le moment"/>
    <s v="Mamadouba Camara"/>
    <s v="Riz"/>
    <x v="1"/>
    <n v="6"/>
    <d v="2023-01-30T00:00:00"/>
    <x v="3"/>
    <m/>
    <m/>
    <m/>
    <m/>
    <m/>
    <m/>
    <m/>
    <x v="1"/>
  </r>
  <r>
    <d v="2023-01-17T20:43:26"/>
    <x v="4"/>
    <s v="boké centre"/>
    <s v="Individuel"/>
    <s v="el karamba Guirarssy"/>
    <n v="624774769"/>
    <n v="0"/>
    <s v="Kolaboui"/>
    <n v="37"/>
    <s v="Labour + Pulvérisation"/>
    <n v="150"/>
    <s v="djoumou kémé"/>
    <s v="connais pas le nom d'abord"/>
    <s v="4 mois"/>
    <d v="2023-02-15T00:00:00"/>
    <s v="il doit faire le 1er labour d'abord"/>
    <s v="Elhadj Souaré Mamadou Dian"/>
    <s v="Riz"/>
    <x v="1"/>
    <n v="25"/>
    <d v="2023-05-17T00:00:00"/>
    <x v="4"/>
    <s v="3BKE001T"/>
    <m/>
    <m/>
    <m/>
    <m/>
    <m/>
    <m/>
    <x v="1"/>
  </r>
  <r>
    <d v="2023-01-19T09:33:54"/>
    <x v="0"/>
    <s v="Direction préfectorale de l'agriculture et de l'élevage de Macenta"/>
    <s v="Individuel"/>
    <s v="Mohamed Bignè FOFANA"/>
    <n v="622091928"/>
    <m/>
    <s v="Macenta Centre"/>
    <n v="12"/>
    <s v="Pulvérisation - uniquement"/>
    <n v="50"/>
    <s v="Abou, djoukeme et CK 90"/>
    <s v="Oriza sativa"/>
    <s v="5 mois"/>
    <d v="2023-03-15T00:00:00"/>
    <s v="Pas"/>
    <s v="Alexandre Kpoghomou"/>
    <s v="Riz"/>
    <x v="0"/>
    <m/>
    <m/>
    <x v="0"/>
    <m/>
    <m/>
    <m/>
    <m/>
    <m/>
    <m/>
    <m/>
    <x v="1"/>
  </r>
  <r>
    <d v="2023-01-19T09:43:45"/>
    <x v="0"/>
    <s v="Direction préfectorale de l'agriculture et de l'élevage de Macenta"/>
    <s v="Individuel"/>
    <s v="Mamadi Bereté"/>
    <n v="622833153"/>
    <m/>
    <s v="Kouankan"/>
    <n v="90"/>
    <s v="Labour + Pulvérisation"/>
    <n v="4"/>
    <s v="Jogbacie"/>
    <s v="Oriza sativa"/>
    <s v="5 mois"/>
    <d v="2023-03-15T00:00:00"/>
    <s v="Pas"/>
    <s v="Alexandre Kpoghomou"/>
    <s v="Riz"/>
    <x v="0"/>
    <m/>
    <m/>
    <x v="0"/>
    <m/>
    <m/>
    <m/>
    <m/>
    <m/>
    <m/>
    <m/>
    <x v="1"/>
  </r>
  <r>
    <d v="2023-01-19T10:10:57"/>
    <x v="0"/>
    <s v="Direction préfectorale de l'agriculture et de l'élevage de Macenta"/>
    <s v="Individuel"/>
    <s v="Bangaly Camara"/>
    <n v="628823310"/>
    <m/>
    <s v="Macenta Centre"/>
    <n v="8"/>
    <s v="Labour + Pulvérisation"/>
    <n v="6"/>
    <s v="Djoukeme"/>
    <s v="Oriza sativa"/>
    <s v="5 mois"/>
    <d v="2023-02-05T00:00:00"/>
    <s v="Pas"/>
    <s v="Alexandre Kpoghomou"/>
    <s v="Riz"/>
    <x v="0"/>
    <m/>
    <m/>
    <x v="0"/>
    <m/>
    <m/>
    <m/>
    <m/>
    <m/>
    <m/>
    <m/>
    <x v="1"/>
  </r>
  <r>
    <d v="2023-01-19T10:21:23"/>
    <x v="0"/>
    <s v="Direction préfectorale de l'agriculture et de l'élevage de Macenta"/>
    <s v="Individuel"/>
    <s v="Bangaly Camara"/>
    <n v="628823310"/>
    <m/>
    <s v="Macenta Centre"/>
    <n v="8"/>
    <s v="Labour + Pulvérisation"/>
    <n v="6"/>
    <s v="Djoukeme"/>
    <s v="Oriza sativa"/>
    <s v="5 mois"/>
    <d v="2023-03-05T00:00:00"/>
    <s v="Pas"/>
    <s v="Alexandre Kpoghomou"/>
    <s v="Riz"/>
    <x v="0"/>
    <m/>
    <m/>
    <x v="0"/>
    <m/>
    <m/>
    <m/>
    <m/>
    <m/>
    <m/>
    <m/>
    <x v="1"/>
  </r>
  <r>
    <d v="2023-01-19T10:30:14"/>
    <x v="0"/>
    <s v="Direction préfectorale de l'agriculture et de l'élevage de Macenta"/>
    <s v="Individuel"/>
    <s v="Youssouf Traoré"/>
    <n v="622885364"/>
    <m/>
    <s v="Kouankan"/>
    <n v="90"/>
    <s v="Labour + Pulvérisation"/>
    <n v="3"/>
    <s v="Jogbacie"/>
    <s v="Oriza sativa"/>
    <s v="5 mois"/>
    <d v="2024-03-16T00:00:00"/>
    <s v="Pas"/>
    <s v="Alexandre Kpoghomou"/>
    <s v="Riz"/>
    <x v="0"/>
    <m/>
    <m/>
    <x v="0"/>
    <m/>
    <m/>
    <m/>
    <m/>
    <m/>
    <m/>
    <m/>
    <x v="1"/>
  </r>
  <r>
    <d v="2023-01-19T11:47:08"/>
    <x v="0"/>
    <s v="Direction préfectorale de l'agriculture et de l'élevage de Macenta"/>
    <s v="Individuel"/>
    <s v="Amara Bereté"/>
    <n v="621624679"/>
    <n v="629929091"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1"/>
  </r>
  <r>
    <d v="2023-01-23T10:50:28"/>
    <x v="1"/>
    <s v="Siguiri"/>
    <s v="Individuel"/>
    <s v="Fodé TRAORE"/>
    <n v="628735038"/>
    <m/>
    <s v="Siguiri Centre"/>
    <n v="2"/>
    <s v="Déchaumage"/>
    <n v="2"/>
    <s v="Nenkin"/>
    <s v="Nenkin"/>
    <s v="3 mois"/>
    <d v="2023-01-25T00:00:00"/>
    <m/>
    <s v="Nanamoudou ll Magassouba"/>
    <s v="Riz"/>
    <x v="0"/>
    <m/>
    <m/>
    <x v="0"/>
    <m/>
    <m/>
    <m/>
    <m/>
    <m/>
    <m/>
    <m/>
    <x v="2"/>
  </r>
  <r>
    <d v="2023-01-25T10:30:18"/>
    <x v="0"/>
    <s v="Direction préfectorale de l'agriculture et de l'élevage de Macenta"/>
    <s v="Individuel"/>
    <s v="Kouya-Food Supply"/>
    <n v="628827085"/>
    <n v="666776416"/>
    <s v="Macenta Centre"/>
    <n v="22"/>
    <s v="Labour - uniquement"/>
    <n v="12"/>
    <s v="Chinoiba"/>
    <s v="Oriza sativa"/>
    <s v="5 mois"/>
    <d v="2023-02-25T00:00:00"/>
    <s v="Pas"/>
    <s v="Alexandre Kpoghomou"/>
    <s v="Riz"/>
    <x v="0"/>
    <m/>
    <m/>
    <x v="0"/>
    <m/>
    <m/>
    <m/>
    <m/>
    <m/>
    <m/>
    <m/>
    <x v="2"/>
  </r>
  <r>
    <d v="2023-01-26T19:42:04"/>
    <x v="2"/>
    <s v="Bordeaux"/>
    <s v="Individuel"/>
    <s v="Djibril Keita"/>
    <n v="622630080"/>
    <n v="0"/>
    <s v="Kobikoro"/>
    <n v="10"/>
    <s v="Déchaumage"/>
    <n v="5"/>
    <s v="Riz laye Namory"/>
    <s v="Variété locale et tardive"/>
    <s v="4 mois"/>
    <d v="2023-01-25T00:00:00"/>
    <s v="Petit producteur"/>
    <s v="Moussa Alamako Keita"/>
    <s v="Riz"/>
    <x v="1"/>
    <n v="4"/>
    <d v="2023-02-03T00:00:00"/>
    <x v="3"/>
    <m/>
    <m/>
    <m/>
    <m/>
    <m/>
    <m/>
    <m/>
    <x v="2"/>
  </r>
  <r>
    <d v="2023-01-27T15:43:54"/>
    <x v="3"/>
    <s v="Petel Mamou"/>
    <s v="Individuel"/>
    <s v="Sadio Diallo"/>
    <n v="628911160"/>
    <m/>
    <s v="Soyah"/>
    <n v="15"/>
    <s v="Déchaumage"/>
    <n v="3"/>
    <s v="Seydouba"/>
    <s v="Nerica"/>
    <s v="4 mois"/>
    <d v="2023-12-20T00:00:00"/>
    <s v="Tout ce passe bien"/>
    <s v="Mamadouba Camara"/>
    <s v="Riz"/>
    <x v="1"/>
    <n v="3"/>
    <d v="2023-01-30T00:00:00"/>
    <x v="3"/>
    <m/>
    <m/>
    <m/>
    <m/>
    <m/>
    <m/>
    <m/>
    <x v="2"/>
  </r>
  <r>
    <d v="2023-01-28T18:15:50"/>
    <x v="1"/>
    <s v="Siguiri"/>
    <s v="Individuel"/>
    <s v="Bakary DOUMBOUYA"/>
    <n v="622635327"/>
    <m/>
    <s v="Bankon"/>
    <n v="35"/>
    <s v="Déchaumage"/>
    <n v="5"/>
    <s v="Nenkin"/>
    <s v="Nenkin"/>
    <s v="3 mois"/>
    <d v="2023-01-26T00:00:00"/>
    <m/>
    <s v="Nanamoudou ll Magassouba"/>
    <s v="Riz"/>
    <x v="1"/>
    <n v="5"/>
    <d v="2023-02-20T00:00:00"/>
    <x v="5"/>
    <m/>
    <m/>
    <m/>
    <m/>
    <m/>
    <m/>
    <s v="Siguiri 2"/>
    <x v="2"/>
  </r>
  <r>
    <d v="2023-01-28T18:19:33"/>
    <x v="1"/>
    <s v="Siguiri"/>
    <s v="Individuel"/>
    <s v="Aboubacar Sidiki Sangare"/>
    <n v="623430578"/>
    <m/>
    <s v="Siguiri Centre"/>
    <n v="10"/>
    <s v="Déchaumage"/>
    <n v="2"/>
    <s v="Nenkin"/>
    <s v="Nenkin"/>
    <s v="3 mois"/>
    <d v="2023-01-29T00:00:00"/>
    <m/>
    <s v="Nanamoudou ll Magassouba"/>
    <s v="Riz"/>
    <x v="1"/>
    <n v="1.5"/>
    <d v="2023-02-20T00:00:00"/>
    <x v="5"/>
    <m/>
    <m/>
    <m/>
    <m/>
    <m/>
    <m/>
    <s v="Siguiri 3"/>
    <x v="2"/>
  </r>
  <r>
    <d v="2023-01-28T18:21:37"/>
    <x v="1"/>
    <s v="Siguiri"/>
    <s v="Individuel"/>
    <s v="Kaba DOUMBOUYA"/>
    <n v="622865492"/>
    <m/>
    <s v="Bankon"/>
    <n v="35"/>
    <s v="Déchaumage"/>
    <n v="2"/>
    <s v="Kaolaka"/>
    <s v="Kaolaka"/>
    <s v="4 mois"/>
    <d v="2023-01-26T00:00:00"/>
    <m/>
    <s v="Nanamoudou ll Magassouba"/>
    <s v="Riz"/>
    <x v="1"/>
    <n v="2"/>
    <d v="2023-02-20T00:00:00"/>
    <x v="5"/>
    <m/>
    <m/>
    <m/>
    <m/>
    <m/>
    <m/>
    <s v="Siguiri 4"/>
    <x v="2"/>
  </r>
  <r>
    <d v="2023-01-28T18:24:07"/>
    <x v="1"/>
    <s v="Siguiri"/>
    <s v="Individuel"/>
    <s v="Fode TRAORE"/>
    <n v="628735058"/>
    <m/>
    <s v="Siguiri Centre"/>
    <n v="3"/>
    <s v="Déchaumage"/>
    <n v="2"/>
    <s v="Nerica19"/>
    <s v="Nerica19"/>
    <s v="4 mois"/>
    <d v="2022-01-25T00:00:00"/>
    <m/>
    <s v="Nanamoudou ll Magassouba"/>
    <s v="Riz"/>
    <x v="1"/>
    <n v="4"/>
    <d v="2023-02-20T00:00:00"/>
    <x v="5"/>
    <m/>
    <m/>
    <m/>
    <m/>
    <m/>
    <m/>
    <s v="Siguiri 5"/>
    <x v="2"/>
  </r>
  <r>
    <d v="2023-01-30T11:16:14"/>
    <x v="0"/>
    <s v="Direction préfectorale de l'agriculture et de l'élevage de Macenta l'élev"/>
    <s v="Individuel"/>
    <s v="Mamadi Camara"/>
    <n v="620342577"/>
    <m/>
    <s v="Kouankan"/>
    <n v="90"/>
    <s v="Labour + Pulvérisation"/>
    <n v="10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1:17:51"/>
    <x v="4"/>
    <s v="boké centre"/>
    <s v="Collectif"/>
    <s v="Ousmane Deen Diaby"/>
    <n v="625114036"/>
    <n v="0"/>
    <s v="Tanéné"/>
    <n v="16"/>
    <s v="Labour + Pulvérisation"/>
    <n v="100"/>
    <s v="non"/>
    <s v="non"/>
    <s v="3 mois"/>
    <d v="2023-02-28T00:00:00"/>
    <s v="c'est un champ collectif on ne connait pas la variété d abord."/>
    <s v="Elhadj Souaré Mamadou Dian"/>
    <s v="Riz"/>
    <x v="0"/>
    <m/>
    <m/>
    <x v="0"/>
    <m/>
    <m/>
    <m/>
    <m/>
    <m/>
    <m/>
    <m/>
    <x v="3"/>
  </r>
  <r>
    <d v="2023-01-30T11:27:41"/>
    <x v="0"/>
    <s v="Direction préfectorale de l'agriculture et de l'élevage de Macenta"/>
    <s v="Individuel"/>
    <s v="Sékou kourouma"/>
    <n v="629110871"/>
    <m/>
    <s v="Kouankan"/>
    <n v="90"/>
    <s v="Labour + Pulvérisation"/>
    <n v="5"/>
    <s v="Moribanar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1:36:08"/>
    <x v="0"/>
    <s v="Direction préfectorale de l'agriculture et de l'élevage de Macenta"/>
    <s v="Individuel"/>
    <s v="Mamadi Camara"/>
    <n v="622064433"/>
    <m/>
    <s v="Kouankan"/>
    <n v="90"/>
    <s v="Labour + Pulvérisation"/>
    <n v="4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1:45:44"/>
    <x v="0"/>
    <s v="Direction préfectorale de l'agriculture et de l'élevage de Macenta"/>
    <s v="Individuel"/>
    <s v="Vakaba Camara"/>
    <n v="62265369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1:50:58"/>
    <x v="0"/>
    <s v="Direction préfectorale de l'agriculture et de l'élevage de Macenta"/>
    <s v="Individuel"/>
    <s v="Sékou Camara"/>
    <n v="621072814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1:55:27"/>
    <x v="0"/>
    <s v="Direction préfectorale de l'agriculture et de l'élevage de Macenta"/>
    <s v="Individuel"/>
    <s v="Djakouba Camara"/>
    <n v="624064434"/>
    <m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01:14"/>
    <x v="0"/>
    <s v="Direction préfectorale de l'agriculture et de l'élevage de Macenta"/>
    <s v="Individuel"/>
    <s v="Makoura Valy kourouma"/>
    <n v="621835187"/>
    <n v="623291491"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05:50"/>
    <x v="0"/>
    <s v="Direction préfectorale de l'agriculture et de l'élevage de Macenta"/>
    <s v="Individuel"/>
    <s v="Magnaba Mamadi Camara"/>
    <n v="624832253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09:26"/>
    <x v="0"/>
    <s v="Direction préfectorale de l'agriculture et de l'élevage de Macenta"/>
    <s v="Individuel"/>
    <s v="N faly Camara"/>
    <n v="628721768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13:11"/>
    <x v="0"/>
    <s v="Direction préfectorale de l'agriculture et de l'élevage de Macenta"/>
    <s v="Individuel"/>
    <s v="Kemo Condé"/>
    <n v="62035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19:42"/>
    <x v="0"/>
    <s v="Direction préfectorale de l'agriculture et de l'élevage de Macenta"/>
    <s v="Individuel"/>
    <s v="Mafarima Kourouma"/>
    <n v="623356162"/>
    <m/>
    <s v="Kouankan"/>
    <n v="90"/>
    <s v="Labour + Pulvérisation"/>
    <n v="4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26:02"/>
    <x v="0"/>
    <s v="Direction préfectorale de l'agriculture et de l'élevage de Macenta"/>
    <s v="Individuel"/>
    <s v="Moussa Kourouma"/>
    <n v="611623324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33:22"/>
    <x v="0"/>
    <s v="Direction préfectorale de l'agriculture et de l'élevage de Macenta"/>
    <s v="Individuel"/>
    <s v="Sidiki kourouma Makour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40:35"/>
    <x v="0"/>
    <s v="Direction préfectorale de l'agriculture et de l'élevage de Macenta"/>
    <s v="Individuel"/>
    <s v="Mousoukoura Laye Camara"/>
    <n v="620342577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49:51"/>
    <x v="0"/>
    <s v="Direction préfectorale de l'agriculture et de l'élevage de Macenta"/>
    <s v="Individuel"/>
    <s v="Aly kourouma"/>
    <n v="62762875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2:55:36"/>
    <x v="0"/>
    <s v="Direction préfectorale de l'agriculture et de l'élevage de Macenta"/>
    <s v="Individuel"/>
    <s v="Bore Sidiki Keita"/>
    <n v="627628753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00:29"/>
    <x v="0"/>
    <s v="Direction préfectorale de l'agriculture et de l'élevage de Macenta"/>
    <s v="Individuel"/>
    <s v="Amara Bakino Camara"/>
    <n v="622950709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04:14"/>
    <x v="0"/>
    <s v="Direction préfectorale de l'agriculture et de l'élevage de Macenta"/>
    <s v="Individuel"/>
    <s v="Mory Camara"/>
    <n v="622060358"/>
    <m/>
    <s v="Kouankan"/>
    <n v="90"/>
    <s v="Labour + Pulvérisation"/>
    <n v="7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10:40"/>
    <x v="0"/>
    <s v="Direction préfectorale de l'agriculture et de l'élevage de Macenta"/>
    <s v="Individuel"/>
    <s v="Matenin Sidiki Keita"/>
    <n v="622356014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14:36"/>
    <x v="0"/>
    <s v="Direction préfectorale de l'agriculture et de l'élevage de Macenta"/>
    <s v="Individuel"/>
    <s v="Mamadi kourouma"/>
    <n v="626922544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18:11"/>
    <x v="0"/>
    <s v="Direction préfectorale de l'agriculture et de l'élevage de Macenta"/>
    <s v="Individuel"/>
    <s v="Mateneke Sidiki kourouma"/>
    <n v="624581369"/>
    <m/>
    <s v="Kouankan"/>
    <n v="90"/>
    <s v="Labour + Pulvérisation"/>
    <n v="6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22:01"/>
    <x v="0"/>
    <s v="Direction préfectorale de l'agriculture et de l'élevage de Macenta"/>
    <s v="Individuel"/>
    <s v="Boï Mamadi Konaté"/>
    <n v="61181320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26:14"/>
    <x v="0"/>
    <s v="Direction préfectorale de l'agriculture et de l'élevage de Macenta"/>
    <s v="Individuel"/>
    <s v="Fatta Lanciné Kane"/>
    <n v="62034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0T13:29:57"/>
    <x v="0"/>
    <s v="Direction préfectorale de l'agriculture et de l'élevage de Macenta"/>
    <s v="Individuel"/>
    <s v="Lanciné Diallo"/>
    <n v="629467493"/>
    <m/>
    <s v="Kouankan"/>
    <n v="90"/>
    <s v="Labour + Pulvérisation"/>
    <n v="4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05:35"/>
    <x v="0"/>
    <s v="Direction préfectorale de l'agriculture et de l'élevage de Macenta"/>
    <s v="Individuel"/>
    <s v="Maboussa Mamadi Condé"/>
    <n v="620342577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08:52"/>
    <x v="0"/>
    <s v="Direction préfectorale de l'agriculture et de l'élevage de Macenta"/>
    <s v="Individuel"/>
    <s v="Amara kané"/>
    <n v="620342577"/>
    <m/>
    <s v="Kouankan"/>
    <n v="90"/>
    <s v="Labour + Pulvérisation"/>
    <n v="3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18:56"/>
    <x v="0"/>
    <s v="Direction préfectorale de l'agriculture et de l'élevage de Macenta"/>
    <s v="Individuel"/>
    <s v="Bakary Mariame Camara"/>
    <n v="623723285"/>
    <m/>
    <s v="Kouankan"/>
    <n v="90"/>
    <s v="Labour + Pulvérisation"/>
    <n v="5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22:45"/>
    <x v="0"/>
    <s v="Direction préfectorale de l'agriculture et de l'élevage de Macenta"/>
    <s v="Individuel"/>
    <s v="Tougna Moussa kourouma"/>
    <n v="626651825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27:03"/>
    <x v="0"/>
    <s v="Direction préfectorale de l'agriculture et de l'élevage de Macenta"/>
    <s v="Individuel"/>
    <s v="Shaka Moussa Condé"/>
    <n v="620342577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29:52"/>
    <x v="0"/>
    <s v="Direction préfectorale de l'agriculture et de l'élevage de Macenta"/>
    <s v="Individuel"/>
    <s v="Watta Sidiki Keita"/>
    <n v="629516021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32:21"/>
    <x v="0"/>
    <s v="Direction préfectorale de l'agriculture et de l'élevage de Macenta"/>
    <s v="Individuel"/>
    <s v="Mala Laye Camara"/>
    <n v="620211259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34:49"/>
    <x v="0"/>
    <s v="Direction préfectorale de l'agriculture et de l'élevage de Macenta"/>
    <s v="Individuel"/>
    <s v="Mala kourouma"/>
    <n v="620342577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37:40"/>
    <x v="0"/>
    <s v="Direction préfectorale de l'agriculture et de l'élevage de Macenta"/>
    <s v="Individuel"/>
    <s v="Mory kourouma"/>
    <n v="620342577"/>
    <m/>
    <s v="Kouankan"/>
    <n v="90"/>
    <s v="Labour + Pulvérisation"/>
    <n v="7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40:36"/>
    <x v="0"/>
    <s v="Direction préfectorale de l'agriculture et de l'élevage de Macenta"/>
    <s v="Individuel"/>
    <s v="Sory Keit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43:04"/>
    <x v="0"/>
    <s v="Direction préfectorale de l'agriculture et de l'élevage de Macenta"/>
    <s v="Individuel"/>
    <s v="Massama Camara"/>
    <n v="620342577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46:16"/>
    <x v="0"/>
    <s v="Direction préfectorale de l'agriculture et de l'élevage de Macenta"/>
    <s v="Individuel"/>
    <s v="Zoumane Bouba Camara"/>
    <n v="625008870"/>
    <m/>
    <s v="Kouankan"/>
    <n v="90"/>
    <s v="Labour + Pulvérisation"/>
    <n v="3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51:30"/>
    <x v="0"/>
    <s v="Direction préfectorale de l'agriculture et de l'élevage de Macenta"/>
    <s v="Individuel"/>
    <s v="Magna Condé et Mamadi Camara"/>
    <n v="620342577"/>
    <m/>
    <s v="Kouankan"/>
    <n v="90"/>
    <s v="Labour + Pulvérisation"/>
    <n v="4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55:12"/>
    <x v="0"/>
    <s v="Direction préfectorale de l'agriculture et de l'élevage de Macenta"/>
    <s v="Individuel"/>
    <s v="Mamadi kourouma"/>
    <n v="620342577"/>
    <m/>
    <s v="Kouankan"/>
    <n v="90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0:59:57"/>
    <x v="0"/>
    <s v="Direction préfectorale de l'agriculture et de l'élevage de Macenta"/>
    <s v="Individuel"/>
    <s v="Ousmane Camara"/>
    <n v="628240693"/>
    <m/>
    <s v="Kouankan"/>
    <n v="90"/>
    <s v="Labour + Pulvérisation"/>
    <n v="2"/>
    <s v="Djoukeme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1:02:57"/>
    <x v="0"/>
    <s v="Direction préfectorale de l'agriculture et de l'élevage de Macenta"/>
    <s v="Individuel"/>
    <s v="Sidiki Diakité"/>
    <n v="610548828"/>
    <m/>
    <s v="Kouankan"/>
    <n v="90"/>
    <s v="Labour + Pulvérisation"/>
    <n v="2"/>
    <s v="Djoukeme"/>
    <s v="Oriza sativa"/>
    <s v="5 mois"/>
    <d v="2023-03-15T00:00:00"/>
    <s v="Pas"/>
    <s v="u"/>
    <s v="Riz"/>
    <x v="0"/>
    <m/>
    <m/>
    <x v="0"/>
    <m/>
    <m/>
    <m/>
    <m/>
    <m/>
    <m/>
    <m/>
    <x v="3"/>
  </r>
  <r>
    <d v="2023-01-31T11:08:24"/>
    <x v="0"/>
    <s v="Direction préfectorale de l'agriculture et de l'élevage de Macenta"/>
    <s v="Individuel"/>
    <s v="Sassa Moussa Camara"/>
    <n v="620342577"/>
    <m/>
    <s v="Kouankan"/>
    <n v="90"/>
    <s v="Labour + Pulvérisation"/>
    <n v="1"/>
    <s v="Djoukeme"/>
    <s v="Oriza sativa"/>
    <s v="5 mois"/>
    <d v="2023-03-15T00:00:00"/>
    <s v="Pas de"/>
    <s v="Alexandre Kpoghomou"/>
    <s v="Riz"/>
    <x v="0"/>
    <m/>
    <m/>
    <x v="0"/>
    <m/>
    <m/>
    <m/>
    <m/>
    <m/>
    <m/>
    <m/>
    <x v="3"/>
  </r>
  <r>
    <d v="2023-01-31T11:11:41"/>
    <x v="0"/>
    <s v="Direction préfectorale de l'agriculture et de l'élevage de Macenta"/>
    <s v="Individuel"/>
    <s v="Fabory komara"/>
    <n v="627423234"/>
    <m/>
    <s v="Kouankan"/>
    <n v="90"/>
    <s v="Labour + Pulvérisation"/>
    <n v="2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1:15:01"/>
    <x v="0"/>
    <s v="Direction préfectorale de l'agriculture et de l'élevage de Macenta"/>
    <s v="Individuel"/>
    <s v="Massan Camara"/>
    <n v="626581586"/>
    <m/>
    <s v="Kouankan"/>
    <n v="90"/>
    <s v="Labour + Pulvérisation"/>
    <n v="3"/>
    <s v="Chinoiba"/>
    <s v="Oriza sativa"/>
    <s v="5 mois"/>
    <d v="2023-02-15T00:00:00"/>
    <s v="Pas"/>
    <s v="Alexandre Kpoghomou"/>
    <s v="Riz"/>
    <x v="0"/>
    <m/>
    <m/>
    <x v="0"/>
    <m/>
    <m/>
    <m/>
    <m/>
    <m/>
    <m/>
    <m/>
    <x v="3"/>
  </r>
  <r>
    <d v="2023-01-31T11:20:37"/>
    <x v="0"/>
    <s v="Direction préfectorale de l'agriculture et de l'élevage de Macenta"/>
    <s v="Individuel"/>
    <s v="Gnada Beavogui"/>
    <n v="620645347"/>
    <m/>
    <s v="Ourémai"/>
    <n v="6"/>
    <s v="Labour + Pulvérisation"/>
    <n v="1"/>
    <s v="Chinoiba"/>
    <s v="Oriza sativa"/>
    <s v="5 mois"/>
    <d v="2023-03-15T00:00:00"/>
    <s v="Pas"/>
    <s v="Alexandre Kpoghomou"/>
    <s v="Riz"/>
    <x v="0"/>
    <m/>
    <m/>
    <x v="0"/>
    <m/>
    <m/>
    <m/>
    <m/>
    <m/>
    <m/>
    <m/>
    <x v="3"/>
  </r>
  <r>
    <d v="2023-01-31T13:37:26"/>
    <x v="0"/>
    <s v="Direction préfectorale de l'agriculture et de l'élevage de Macenta"/>
    <s v="Individuel"/>
    <s v="Facely kourouma"/>
    <n v="628612762"/>
    <m/>
    <s v="Macenta Centre"/>
    <n v="10"/>
    <s v="Labour + Pulvérisation"/>
    <n v="25"/>
    <s v="CK90 , chinoiba"/>
    <s v="Oriza sativa"/>
    <s v="5 mois"/>
    <d v="2023-02-25T00:00:00"/>
    <s v="Pas"/>
    <s v="Alexandre Kpoghomou"/>
    <s v="Riz"/>
    <x v="1"/>
    <n v="15"/>
    <d v="2023-02-13T00:00:00"/>
    <x v="2"/>
    <m/>
    <m/>
    <m/>
    <m/>
    <m/>
    <m/>
    <m/>
    <x v="3"/>
  </r>
  <r>
    <d v="2023-01-31T17:42:53"/>
    <x v="1"/>
    <s v="Siguiri"/>
    <s v="Individuel"/>
    <s v="Karamo Dansoko"/>
    <n v="628392953"/>
    <m/>
    <s v="Siguiri Centre"/>
    <n v="5"/>
    <s v="Déchaumage"/>
    <n v="1"/>
    <s v="Nioronka"/>
    <s v="Nioronka"/>
    <s v="6 mois"/>
    <d v="2023-02-01T00:00:00"/>
    <m/>
    <s v="Nanamoudou ll Magassouba"/>
    <s v="Riz"/>
    <x v="1"/>
    <n v="1"/>
    <d v="2023-02-20T00:00:00"/>
    <x v="5"/>
    <m/>
    <m/>
    <m/>
    <m/>
    <m/>
    <m/>
    <s v="Siguiri 6"/>
    <x v="3"/>
  </r>
  <r>
    <d v="2023-02-02T12:57:25"/>
    <x v="3"/>
    <s v="Petel Mamou"/>
    <s v="Individuel"/>
    <s v="Thierno Ibrahima Diallo"/>
    <n v="624213632"/>
    <m/>
    <s v="Dounet"/>
    <n v="18"/>
    <s v="Labour - uniquement"/>
    <n v="0.5"/>
    <s v="Kobokobo"/>
    <s v="Kalenda"/>
    <s v="6 mois"/>
    <d v="2023-05-28T00:00:00"/>
    <s v="Tout ce passe bien pour le moment"/>
    <s v="Mamadouba Camara"/>
    <s v="Culture maraichère"/>
    <x v="0"/>
    <m/>
    <m/>
    <x v="0"/>
    <m/>
    <m/>
    <m/>
    <m/>
    <m/>
    <m/>
    <m/>
    <x v="3"/>
  </r>
  <r>
    <d v="2023-02-03T15:40:59"/>
    <x v="2"/>
    <s v="Bordeaux"/>
    <s v="Individuel"/>
    <s v="Sere Moussa Keita"/>
    <n v="622993813"/>
    <n v="0"/>
    <s v="Bate-Nafadji"/>
    <n v="95"/>
    <s v="Déchaumage"/>
    <n v="3"/>
    <s v="Nenkenba"/>
    <s v="Variété locale et tardive"/>
    <s v="6 mois"/>
    <d v="2023-01-17T00:00:00"/>
    <s v="Petit producteur"/>
    <s v="Moussa Alamako Keita"/>
    <s v="Riz"/>
    <x v="1"/>
    <n v="3"/>
    <d v="2023-02-03T00:00:00"/>
    <x v="3"/>
    <m/>
    <m/>
    <m/>
    <m/>
    <m/>
    <m/>
    <m/>
    <x v="3"/>
  </r>
  <r>
    <d v="2023-02-03T15:45:30"/>
    <x v="2"/>
    <s v="Bordeaux"/>
    <s v="Individuel"/>
    <s v="Bily Diawara"/>
    <n v="628391086"/>
    <n v="0"/>
    <s v="Bate-Nafadji"/>
    <n v="95"/>
    <s v="Déchaumage"/>
    <n v="1"/>
    <s v="Nenkenba"/>
    <s v="Variété tardive et locale"/>
    <s v="6 mois"/>
    <d v="2023-01-20T00:00:00"/>
    <s v="Petit producteur"/>
    <s v="Moussa Alamako Keita"/>
    <s v="Riz"/>
    <x v="1"/>
    <n v="1"/>
    <d v="2023-02-03T00:00:00"/>
    <x v="3"/>
    <m/>
    <m/>
    <m/>
    <m/>
    <m/>
    <m/>
    <m/>
    <x v="3"/>
  </r>
  <r>
    <d v="2023-02-03T15:49:50"/>
    <x v="2"/>
    <s v="Bordeaux"/>
    <s v="Individuel"/>
    <s v="Amara camara"/>
    <n v="628189296"/>
    <n v="0"/>
    <s v="Bate-Nafadji"/>
    <n v="95"/>
    <s v="Déchaumage"/>
    <n v="1"/>
    <s v="Nenkenba"/>
    <s v="Variété tardive et locale"/>
    <s v="6 mois"/>
    <d v="2023-01-23T00:00:00"/>
    <s v="Petit producteur"/>
    <s v="Moussa Alamako Keita"/>
    <s v="Riz"/>
    <x v="1"/>
    <n v="1"/>
    <d v="2023-02-03T00:00:00"/>
    <x v="3"/>
    <m/>
    <m/>
    <m/>
    <m/>
    <m/>
    <m/>
    <m/>
    <x v="3"/>
  </r>
  <r>
    <d v="2023-02-03T15:59:11"/>
    <x v="2"/>
    <s v="Bordeaux"/>
    <s v="Individuel"/>
    <s v="Mamadi Keita"/>
    <n v="628189296"/>
    <n v="0"/>
    <s v="Bate-Nafadji"/>
    <n v="95"/>
    <s v="Déchaumage"/>
    <n v="1"/>
    <s v="Nenkenba"/>
    <s v="Variété tardive et locale"/>
    <s v="6 mois"/>
    <d v="2023-01-24T00:00:00"/>
    <s v="Petit producteur"/>
    <s v="Moussa Alamako Keita"/>
    <s v="Riz"/>
    <x v="1"/>
    <n v="1"/>
    <d v="2023-02-03T00:00:00"/>
    <x v="3"/>
    <m/>
    <m/>
    <m/>
    <m/>
    <m/>
    <m/>
    <m/>
    <x v="3"/>
  </r>
  <r>
    <d v="2023-02-03T16:04:28"/>
    <x v="2"/>
    <s v="Bordeaux"/>
    <s v="Individuel"/>
    <s v="N'FALY Diawara"/>
    <n v="628717030"/>
    <n v="0"/>
    <s v="Bate-Nafadji"/>
    <n v="95"/>
    <s v="Déchaumage"/>
    <n v="1"/>
    <s v="Nenkenba"/>
    <s v="Variété tardive et locale"/>
    <s v="6 mois"/>
    <d v="2023-01-30T00:00:00"/>
    <s v="Petit producteur"/>
    <s v="Moussa Alamako Keita"/>
    <s v="Riz"/>
    <x v="1"/>
    <n v="1"/>
    <d v="2023-02-03T00:00:00"/>
    <x v="3"/>
    <m/>
    <m/>
    <m/>
    <m/>
    <m/>
    <m/>
    <m/>
    <x v="3"/>
  </r>
  <r>
    <d v="2023-02-03T16:08:46"/>
    <x v="2"/>
    <s v="Bordeaux"/>
    <s v="Individuel"/>
    <s v="Lanfia Keita"/>
    <n v="628717030"/>
    <n v="0"/>
    <s v="Bate-Nafadji"/>
    <n v="95"/>
    <s v="Déchaumage"/>
    <n v="2"/>
    <s v="Nenkenba"/>
    <s v="Variété tardive et locale"/>
    <s v="6 mois"/>
    <d v="2023-01-31T00:00:00"/>
    <s v="Petit producteur"/>
    <s v="Moussa Alamako Keita"/>
    <s v="Riz"/>
    <x v="1"/>
    <n v="1"/>
    <d v="2023-02-03T00:00:00"/>
    <x v="3"/>
    <m/>
    <m/>
    <m/>
    <m/>
    <m/>
    <m/>
    <m/>
    <x v="3"/>
  </r>
  <r>
    <d v="2023-02-03T16:14:21"/>
    <x v="2"/>
    <s v="Bordeaux"/>
    <s v="Collectif"/>
    <s v="Moussa toure"/>
    <n v="628581868"/>
    <n v="0"/>
    <s v="Bate-Nafadji"/>
    <n v="45"/>
    <s v="Labour - uniquement"/>
    <n v="7"/>
    <s v="Nenken"/>
    <s v="Variété locale"/>
    <s v="4 mois"/>
    <d v="2023-05-10T00:00:00"/>
    <s v="Petit producteur"/>
    <s v="Moussa Alamako Keita"/>
    <s v="Riz"/>
    <x v="0"/>
    <m/>
    <m/>
    <x v="0"/>
    <m/>
    <m/>
    <m/>
    <m/>
    <m/>
    <m/>
    <m/>
    <x v="3"/>
  </r>
  <r>
    <d v="2023-02-06T09:34:01"/>
    <x v="1"/>
    <s v="Siguiri"/>
    <s v="Individuel"/>
    <s v="Fodé TRAORE"/>
    <n v="628735058"/>
    <m/>
    <s v="Siguiri Centre"/>
    <n v="3"/>
    <s v="Déchaumage"/>
    <n v="3"/>
    <s v="Dissibawoulen"/>
    <s v="Dissibawoulen"/>
    <s v="4 mois"/>
    <d v="2023-02-01T00:00:00"/>
    <m/>
    <s v="Nanamoudou ll Magassouba"/>
    <s v="Riz"/>
    <x v="0"/>
    <m/>
    <m/>
    <x v="0"/>
    <m/>
    <m/>
    <m/>
    <m/>
    <m/>
    <m/>
    <m/>
    <x v="4"/>
  </r>
  <r>
    <d v="2023-02-06T18:44:35"/>
    <x v="5"/>
    <s v="Centre de Gueckédou"/>
    <s v="Individuel"/>
    <s v="Mamady Sanoh"/>
    <n v="622869482"/>
    <m/>
    <s v="Guendembou"/>
    <n v="12"/>
    <s v="Labour - uniquement"/>
    <n v="3"/>
    <s v="Gombo"/>
    <s v="Abelmoschus esculentus"/>
    <s v="3 mois"/>
    <d v="2023-02-08T00:00:00"/>
    <s v="Le producteur veu faire une culture intercalaires (le gombo et l'aubergine)."/>
    <s v="Lamine Condé"/>
    <s v="Culture maraichère"/>
    <x v="1"/>
    <n v="4"/>
    <d v="2023-02-10T00:00:00"/>
    <x v="6"/>
    <m/>
    <m/>
    <m/>
    <m/>
    <m/>
    <m/>
    <s v="Siguiri 7"/>
    <x v="4"/>
  </r>
  <r>
    <d v="2023-02-09T08:22:57"/>
    <x v="6"/>
    <s v="Dinguiraye centre"/>
    <s v="Individuel"/>
    <s v="yaya savané"/>
    <n v="621322940"/>
    <m/>
    <s v="Banora"/>
    <n v="67"/>
    <s v="Déchaumage"/>
    <n v="8"/>
    <s v="Dissi oulén"/>
    <s v="C'est une variété locale"/>
    <s v="5 mois"/>
    <d v="2023-02-12T00:00:00"/>
    <m/>
    <s v="Mamadou 1 Diallo"/>
    <s v="Riz"/>
    <x v="1"/>
    <n v="8"/>
    <d v="2023-02-13T00:00:00"/>
    <x v="2"/>
    <m/>
    <m/>
    <m/>
    <m/>
    <m/>
    <m/>
    <m/>
    <x v="4"/>
  </r>
  <r>
    <d v="2023-02-13T09:57:46"/>
    <x v="7"/>
    <s v="Bloc Administratif de la préfecture"/>
    <s v="Collectif"/>
    <s v="Groupement Fadimala"/>
    <n v="622384741"/>
    <m/>
    <s v="Dialakoro"/>
    <n v="138"/>
    <s v="Déchaumage"/>
    <n v="50"/>
    <s v="Kamiaka, Nenken, 52"/>
    <s v="Ne connais pas"/>
    <s v="3 mois"/>
    <d v="2023-02-25T00:00:00"/>
    <m/>
    <s v="Nounkè Doumbouya"/>
    <s v="Riz"/>
    <x v="0"/>
    <m/>
    <m/>
    <x v="0"/>
    <m/>
    <m/>
    <m/>
    <m/>
    <m/>
    <m/>
    <m/>
    <x v="5"/>
  </r>
  <r>
    <d v="2023-02-13T11:21:12"/>
    <x v="0"/>
    <s v="Direction préfectorale de l'agriculture et de l'élevage de Macenta"/>
    <s v="Individuel"/>
    <s v="Jean Beavogui"/>
    <n v="622501048"/>
    <n v="628406741"/>
    <s v="Macenta Centre"/>
    <n v="12"/>
    <s v="Labour + Pulvérisation"/>
    <n v="4"/>
    <s v="Djoukeme et chinoiba"/>
    <s v="Oriza sativa"/>
    <s v="5 mois"/>
    <d v="2023-02-13T00:00:00"/>
    <s v="Pas"/>
    <s v="Alexandre Kpoghomou"/>
    <s v="Riz"/>
    <x v="1"/>
    <n v="2.5"/>
    <d v="2023-03-22T00:00:00"/>
    <x v="7"/>
    <m/>
    <m/>
    <m/>
    <m/>
    <m/>
    <m/>
    <m/>
    <x v="5"/>
  </r>
  <r>
    <d v="2023-02-13T13:51:32"/>
    <x v="0"/>
    <s v="Direction préfectorale de l'agriculture et de l'élevage de Macenta"/>
    <s v="Individuel"/>
    <s v="Esther dopavogui"/>
    <n v="624367136"/>
    <m/>
    <s v="Ourémai"/>
    <n v="11"/>
    <s v="Labour + Pulvérisation"/>
    <n v="1"/>
    <s v="Moribanara"/>
    <s v="Oriza sativa"/>
    <s v="5 mois"/>
    <d v="2023-02-17T00:00:00"/>
    <s v="Pas"/>
    <s v="Alexandre Kpoghomou"/>
    <s v="Riz"/>
    <x v="0"/>
    <m/>
    <m/>
    <x v="0"/>
    <m/>
    <m/>
    <m/>
    <m/>
    <m/>
    <m/>
    <m/>
    <x v="5"/>
  </r>
  <r>
    <d v="2023-02-13T19:40:45"/>
    <x v="5"/>
    <s v="Centre de Gueckédou"/>
    <s v="Individuel"/>
    <s v="Faya Kamano"/>
    <n v="622559196"/>
    <m/>
    <s v="Guendembou"/>
    <n v="13"/>
    <s v="Labour - uniquement"/>
    <n v="4"/>
    <s v="Mais nom local :Dookorony"/>
    <s v="Gea mais saccharata"/>
    <s v="3 mois"/>
    <d v="2023-02-14T00:00:00"/>
    <m/>
    <s v="Lamine Condé"/>
    <s v="Maïs"/>
    <x v="1"/>
    <n v="3"/>
    <d v="2023-02-20T00:00:00"/>
    <x v="5"/>
    <m/>
    <m/>
    <m/>
    <m/>
    <m/>
    <m/>
    <m/>
    <x v="5"/>
  </r>
  <r>
    <d v="2023-02-13T22:09:52"/>
    <x v="8"/>
    <s v="Centre"/>
    <s v="Collectif"/>
    <s v="Abdoulaye SANGARÉ"/>
    <n v="620161706"/>
    <m/>
    <s v="Bossou"/>
    <n v="215"/>
    <s v="Labour + Pulvérisation"/>
    <n v="50"/>
    <s v="Malogbe, Bloky"/>
    <s v="Oryza"/>
    <s v="5 mois"/>
    <d v="2023-10-15T00:00:00"/>
    <s v="Si calendrier agricole est respecté OUI"/>
    <s v="Mohamed Billo Sangare"/>
    <s v="Riz"/>
    <x v="0"/>
    <m/>
    <m/>
    <x v="0"/>
    <m/>
    <m/>
    <m/>
    <m/>
    <m/>
    <m/>
    <m/>
    <x v="5"/>
  </r>
  <r>
    <d v="2023-02-13T22:22:40"/>
    <x v="8"/>
    <s v="Centre"/>
    <s v="Individuel"/>
    <s v="NVa Kaba Kourouma"/>
    <n v="623024358"/>
    <m/>
    <s v="Beyla Centre"/>
    <n v="25"/>
    <s v="Labour - uniquement"/>
    <n v="5"/>
    <s v="Perta"/>
    <s v="Zea mays"/>
    <s v="3 mois"/>
    <d v="2023-04-10T00:00:00"/>
    <s v="Possible si calendrier agricole est respecté"/>
    <s v="Mohamed Billo Sangare"/>
    <s v="Maïs"/>
    <x v="0"/>
    <m/>
    <m/>
    <x v="0"/>
    <m/>
    <m/>
    <m/>
    <m/>
    <m/>
    <m/>
    <m/>
    <x v="5"/>
  </r>
  <r>
    <d v="2023-02-13T22:31:32"/>
    <x v="8"/>
    <s v="Centre"/>
    <s v="Individuel"/>
    <s v="Elh Keme Sam Kourouma"/>
    <n v="628659814"/>
    <m/>
    <s v="Beyla Centre"/>
    <n v="20"/>
    <s v="Labour - uniquement"/>
    <n v="5"/>
    <s v="Djoukeme"/>
    <s v="Oryza"/>
    <s v="5 mois"/>
    <d v="2023-06-20T00:00:00"/>
    <s v="Possible si calendrier agricole est respecté"/>
    <s v="Mohamed Billo Sangare"/>
    <s v="Riz"/>
    <x v="0"/>
    <m/>
    <m/>
    <x v="0"/>
    <m/>
    <m/>
    <m/>
    <m/>
    <m/>
    <m/>
    <m/>
    <x v="5"/>
  </r>
  <r>
    <d v="2023-02-15T16:54:44"/>
    <x v="8"/>
    <s v="Centre"/>
    <s v="Collectif"/>
    <s v="Laye. Albert DORE"/>
    <n v="627137360"/>
    <m/>
    <s v="Guéassou"/>
    <n v="215"/>
    <s v="Labour + Pulvérisation"/>
    <n v="5"/>
    <s v="Malogbe"/>
    <s v="Oryza"/>
    <s v="5 mois"/>
    <d v="2023-02-25T00:00:00"/>
    <s v="La. Pluviométrie du milieu de prête aux labours"/>
    <s v="Mohamed Billo Sangare"/>
    <s v="Riz"/>
    <x v="0"/>
    <m/>
    <m/>
    <x v="0"/>
    <m/>
    <m/>
    <m/>
    <m/>
    <m/>
    <m/>
    <m/>
    <x v="5"/>
  </r>
  <r>
    <d v="2023-02-15T21:03:49"/>
    <x v="8"/>
    <s v="Centre"/>
    <s v="Collectif"/>
    <s v="Groupement Agricole Nouvelle Vision GAN V"/>
    <n v="627137360"/>
    <m/>
    <s v="Guéassou"/>
    <n v="215"/>
    <s v="Labour + Pulvérisation"/>
    <n v="5"/>
    <s v="Perta"/>
    <s v="Ses mays"/>
    <s v="4 mois"/>
    <d v="2023-02-25T00:00:00"/>
    <s v="La pluviométrie favorable à débuté là-bas"/>
    <s v="Mohamed Billo Sangare"/>
    <s v="Maïs"/>
    <x v="0"/>
    <m/>
    <m/>
    <x v="0"/>
    <m/>
    <m/>
    <m/>
    <m/>
    <m/>
    <m/>
    <m/>
    <x v="5"/>
  </r>
  <r>
    <d v="2023-02-15T21:12:25"/>
    <x v="8"/>
    <s v="Centre"/>
    <s v="Individuel"/>
    <s v="Saadama Laye Donzo"/>
    <n v="650544434"/>
    <m/>
    <s v="Beyla Centre"/>
    <n v="22"/>
    <s v="Labour - uniquement"/>
    <n v="4"/>
    <s v="Djoukeme"/>
    <s v="Oryza"/>
    <s v="5 mois"/>
    <d v="2023-06-17T00:00:00"/>
    <s v="Période favorable"/>
    <s v="Mohamed Billo Sangare"/>
    <s v="Riz"/>
    <x v="0"/>
    <m/>
    <m/>
    <x v="0"/>
    <m/>
    <m/>
    <m/>
    <m/>
    <m/>
    <m/>
    <m/>
    <x v="5"/>
  </r>
  <r>
    <d v="2023-02-19T14:49:41"/>
    <x v="5"/>
    <s v="Centre de Gueckédou"/>
    <s v="Individuel"/>
    <s v="Sàa Wanalé Milimono"/>
    <n v="622577038"/>
    <m/>
    <s v="Guéckédou Centre"/>
    <n v="5"/>
    <s v="Labour - uniquement"/>
    <n v="3"/>
    <s v="K5"/>
    <s v="Zea maîs"/>
    <s v="3 mois"/>
    <d v="2023-02-20T00:00:00"/>
    <m/>
    <s v="Lamine Condé"/>
    <s v="Maïs"/>
    <x v="1"/>
    <n v="3"/>
    <d v="2023-02-22T00:00:00"/>
    <x v="5"/>
    <m/>
    <m/>
    <m/>
    <m/>
    <m/>
    <m/>
    <m/>
    <x v="6"/>
  </r>
  <r>
    <d v="2023-02-19T15:07:03"/>
    <x v="5"/>
    <s v="Centre de Gueckédou"/>
    <s v="Collectif"/>
    <s v="Mamady Traoré"/>
    <n v="621683998"/>
    <m/>
    <s v="Guendembou"/>
    <n v="15"/>
    <s v="Labour - uniquement"/>
    <n v="2"/>
    <s v="Yaro"/>
    <s v="Solanum mélongena"/>
    <s v="3 mois"/>
    <d v="2023-03-01T00:00:00"/>
    <m/>
    <s v="Lamine Condé"/>
    <s v="Culture maraichère"/>
    <x v="0"/>
    <m/>
    <m/>
    <x v="0"/>
    <m/>
    <m/>
    <m/>
    <m/>
    <m/>
    <m/>
    <m/>
    <x v="6"/>
  </r>
  <r>
    <d v="2023-02-20T11:13:07"/>
    <x v="1"/>
    <s v="Siguiri"/>
    <s v="Collectif"/>
    <s v="Fode MAGASSOUBA"/>
    <n v="626491118"/>
    <m/>
    <s v="Siguiri Centre"/>
    <n v="8"/>
    <s v="Déchaumage"/>
    <n v="4"/>
    <s v="Dissi"/>
    <s v="Dissi"/>
    <s v="4 mois"/>
    <d v="2023-02-19T00:00:00"/>
    <m/>
    <s v="Nanamoudou ll Magassouba"/>
    <s v="Riz"/>
    <x v="1"/>
    <n v="4"/>
    <d v="2023-02-20T00:00:00"/>
    <x v="5"/>
    <m/>
    <m/>
    <m/>
    <m/>
    <m/>
    <m/>
    <m/>
    <x v="6"/>
  </r>
  <r>
    <d v="2023-02-20T11:16:45"/>
    <x v="1"/>
    <s v="Siguiri"/>
    <s v="Collectif"/>
    <s v="Alpha CAMARA"/>
    <n v="628845822"/>
    <m/>
    <s v="Maléa"/>
    <n v="90"/>
    <s v="Déchaumage"/>
    <n v="20"/>
    <s v="Nenkin, Dissi...."/>
    <s v="Nenkin...."/>
    <s v="4 mois"/>
    <d v="2023-02-19T00:00:00"/>
    <m/>
    <s v="Nanamoudou ll Magassouba"/>
    <s v="Riz"/>
    <x v="1"/>
    <n v="20"/>
    <d v="2023-02-20T00:00:00"/>
    <x v="5"/>
    <m/>
    <m/>
    <m/>
    <m/>
    <m/>
    <m/>
    <m/>
    <x v="6"/>
  </r>
  <r>
    <d v="2023-02-21T13:48:12"/>
    <x v="4"/>
    <s v="boké centre"/>
    <s v="Collectif"/>
    <s v="el koldougou"/>
    <n v="623486083"/>
    <n v="0"/>
    <s v="Kolaboui"/>
    <n v="35"/>
    <s v="Déchaumage"/>
    <n v="20"/>
    <n v="0"/>
    <n v="0"/>
    <s v="3 mois"/>
    <d v="2023-03-10T00:00:00"/>
    <s v="dans kolaboui"/>
    <s v="Elhadj Souaré Mamadou Dian"/>
    <s v="Riz"/>
    <x v="0"/>
    <m/>
    <m/>
    <x v="0"/>
    <m/>
    <m/>
    <m/>
    <m/>
    <m/>
    <m/>
    <m/>
    <x v="6"/>
  </r>
  <r>
    <d v="2023-02-21T13:54:36"/>
    <x v="4"/>
    <s v="boké centre"/>
    <s v="Individuel"/>
    <s v="Mariam Doumbouya"/>
    <n v="628000478"/>
    <n v="0"/>
    <s v="Tanéné"/>
    <n v="12"/>
    <s v="Labour - uniquement"/>
    <m/>
    <n v="0"/>
    <n v="0"/>
    <s v="3 mois"/>
    <d v="2023-06-01T00:00:00"/>
    <s v="se trouve dans Tanéné"/>
    <s v="Elhadj Souaré Mamadou Dian"/>
    <s v="Riz"/>
    <x v="0"/>
    <m/>
    <m/>
    <x v="0"/>
    <m/>
    <m/>
    <m/>
    <m/>
    <m/>
    <m/>
    <m/>
    <x v="6"/>
  </r>
  <r>
    <d v="2023-02-21T14:00:10"/>
    <x v="4"/>
    <s v="boké centre"/>
    <s v="Collectif"/>
    <s v="Groupement Allawaly"/>
    <n v="628156512"/>
    <n v="0"/>
    <s v="Sangaredi"/>
    <n v="60"/>
    <s v="Labour - uniquement"/>
    <n v="45"/>
    <n v="0"/>
    <n v="0"/>
    <s v="4 mois"/>
    <d v="2023-03-15T00:00:00"/>
    <s v="au mois de mars 2023"/>
    <s v="Elhadj Souaré Mamadou Dian"/>
    <s v="Riz"/>
    <x v="0"/>
    <m/>
    <m/>
    <x v="0"/>
    <m/>
    <m/>
    <m/>
    <m/>
    <m/>
    <m/>
    <m/>
    <x v="6"/>
  </r>
  <r>
    <d v="2023-02-21T14:05:46"/>
    <x v="4"/>
    <s v="boké centre"/>
    <s v="Collectif"/>
    <s v="Groupement Mamadouba Camara"/>
    <n v="628972657"/>
    <n v="0"/>
    <s v="Kolaboui"/>
    <n v="30"/>
    <s v="Labour + Pulvérisation"/>
    <n v="100"/>
    <n v="0"/>
    <n v="0"/>
    <s v="4 mois"/>
    <d v="2023-06-01T00:00:00"/>
    <s v="pour le mois de juin 1ère quinzaine"/>
    <s v="Elhadj Souaré Mamadou Dian"/>
    <s v="Riz"/>
    <x v="0"/>
    <m/>
    <m/>
    <x v="0"/>
    <m/>
    <m/>
    <m/>
    <m/>
    <m/>
    <m/>
    <m/>
    <x v="6"/>
  </r>
  <r>
    <d v="2023-02-21T14:10:59"/>
    <x v="4"/>
    <s v="boké centre"/>
    <s v="Individuel"/>
    <s v="Mohamed Dia"/>
    <n v="621666431"/>
    <n v="0"/>
    <s v="Tanéné"/>
    <n v="15"/>
    <s v="Labour + Pulvérisation"/>
    <n v="50"/>
    <n v="0"/>
    <n v="0"/>
    <s v="4 mois"/>
    <d v="2023-03-10T00:00:00"/>
    <s v="pour le mois de mars 2023"/>
    <s v="Elhadj Souaré Mamadou Dian"/>
    <s v="Riz"/>
    <x v="0"/>
    <m/>
    <m/>
    <x v="0"/>
    <m/>
    <m/>
    <m/>
    <m/>
    <m/>
    <m/>
    <m/>
    <x v="6"/>
  </r>
  <r>
    <d v="2023-02-21T14:40:12"/>
    <x v="4"/>
    <s v="boké centre"/>
    <s v="Individuel"/>
    <s v="Mariama Limba Bah"/>
    <n v="625920834"/>
    <n v="0"/>
    <s v="Sangaredi"/>
    <n v="60"/>
    <s v="Labour + Pulvérisation"/>
    <n v="30"/>
    <n v="0"/>
    <n v="0"/>
    <s v="4 mois"/>
    <d v="2023-03-05T00:00:00"/>
    <s v="pour le mois de mars 2023"/>
    <s v="Elhadj Souaré Mamadou Dian"/>
    <s v="Riz"/>
    <x v="0"/>
    <m/>
    <m/>
    <x v="0"/>
    <m/>
    <m/>
    <m/>
    <m/>
    <m/>
    <m/>
    <m/>
    <x v="6"/>
  </r>
  <r>
    <d v="2023-02-21T14:44:55"/>
    <x v="4"/>
    <s v="boké centre"/>
    <s v="Individuel"/>
    <s v="Lansana Dramé"/>
    <n v="623832792"/>
    <n v="0"/>
    <s v="Tanéné"/>
    <n v="25"/>
    <s v="Labour + Pulvérisation"/>
    <n v="40"/>
    <n v="0"/>
    <n v="0"/>
    <s v="4 mois"/>
    <d v="2023-03-10T00:00:00"/>
    <s v="pour le mois de mars 2023"/>
    <s v="Elhadj Souaré Mamadou Dian"/>
    <s v="Riz"/>
    <x v="0"/>
    <m/>
    <m/>
    <x v="0"/>
    <m/>
    <m/>
    <m/>
    <m/>
    <m/>
    <m/>
    <m/>
    <x v="6"/>
  </r>
  <r>
    <d v="2023-02-21T14:49:52"/>
    <x v="4"/>
    <s v="boké centre"/>
    <s v="Individuel"/>
    <s v="Alia sampou"/>
    <n v="625763959"/>
    <n v="0"/>
    <s v="Dabiss"/>
    <n v="60"/>
    <s v="Labour + Pulvérisation"/>
    <n v="12"/>
    <n v="0"/>
    <n v="0"/>
    <s v="4 mois"/>
    <d v="2023-02-15T00:00:00"/>
    <s v="pour le mois de mars 2023"/>
    <s v="Elhadj Souaré Mamadou Dian"/>
    <s v="Riz"/>
    <x v="0"/>
    <m/>
    <m/>
    <x v="0"/>
    <m/>
    <m/>
    <m/>
    <m/>
    <m/>
    <m/>
    <m/>
    <x v="6"/>
  </r>
  <r>
    <d v="2023-02-21T14:54:22"/>
    <x v="4"/>
    <s v="boké centre"/>
    <s v="Individuel"/>
    <s v="Alia Bangoura"/>
    <n v="620231554"/>
    <n v="0"/>
    <s v="Kamsar"/>
    <n v="47"/>
    <s v="Labour + Pulvérisation"/>
    <n v="7"/>
    <n v="0"/>
    <n v="0"/>
    <s v="4 mois"/>
    <d v="2023-06-01T00:00:00"/>
    <s v="dans kamsar à kabogossy"/>
    <s v="Elhadj Souaré Mamadou Dian"/>
    <s v="Riz"/>
    <x v="0"/>
    <m/>
    <m/>
    <x v="0"/>
    <m/>
    <m/>
    <m/>
    <m/>
    <m/>
    <m/>
    <m/>
    <x v="6"/>
  </r>
  <r>
    <d v="2023-02-21T14:58:51"/>
    <x v="4"/>
    <s v="boké centre"/>
    <s v="Individuel"/>
    <s v="Ousmane Deen Diaby"/>
    <n v="625115036"/>
    <n v="0"/>
    <s v="Tanéné"/>
    <n v="18"/>
    <s v="Labour + Pulvérisation"/>
    <n v="40"/>
    <n v="0"/>
    <n v="0"/>
    <s v="4 mois"/>
    <d v="2023-03-05T00:00:00"/>
    <s v="pour le mois de mars 2023"/>
    <s v="Elhadj Souaré Mamadou Dian"/>
    <s v="Riz"/>
    <x v="0"/>
    <m/>
    <m/>
    <x v="0"/>
    <m/>
    <m/>
    <m/>
    <m/>
    <m/>
    <m/>
    <m/>
    <x v="6"/>
  </r>
  <r>
    <d v="2023-02-21T15:06:52"/>
    <x v="4"/>
    <s v="boké centre"/>
    <s v="Individuel"/>
    <s v="Abdoulaye Camara"/>
    <n v="622377618"/>
    <n v="0"/>
    <s v="Kanfarandé"/>
    <n v="50"/>
    <s v="Labour + Pulvérisation"/>
    <n v="40"/>
    <n v="0"/>
    <n v="0"/>
    <s v="4 mois"/>
    <d v="2023-03-10T00:00:00"/>
    <s v="pour le mois de mars 2023"/>
    <s v="Elhadj Souaré Mamadou Dian"/>
    <s v="Riz"/>
    <x v="0"/>
    <m/>
    <m/>
    <x v="0"/>
    <m/>
    <m/>
    <m/>
    <m/>
    <m/>
    <m/>
    <m/>
    <x v="6"/>
  </r>
  <r>
    <d v="2023-02-21T15:15:04"/>
    <x v="4"/>
    <s v="boké centre"/>
    <s v="Individuel"/>
    <s v="Souleymane Souaré"/>
    <n v="623176610"/>
    <n v="0"/>
    <s v="Kanfarandé"/>
    <n v="50"/>
    <s v="Labour + Pulvérisation"/>
    <n v="20"/>
    <s v="non"/>
    <n v="0"/>
    <s v="4 mois"/>
    <d v="2023-06-01T00:00:00"/>
    <s v="au mois de juin 2024"/>
    <s v="Elhadj Souaré Mamadou Dian"/>
    <s v="Riz"/>
    <x v="0"/>
    <m/>
    <m/>
    <x v="0"/>
    <m/>
    <m/>
    <m/>
    <m/>
    <m/>
    <m/>
    <m/>
    <x v="6"/>
  </r>
  <r>
    <d v="2023-02-21T15:22:30"/>
    <x v="4"/>
    <s v="boké centre"/>
    <s v="Individuel"/>
    <s v="Mamadou Arafan Camara"/>
    <n v="623806610"/>
    <n v="0"/>
    <s v="Kanfarandé"/>
    <n v="50"/>
    <s v="Labour + Pulvérisation"/>
    <n v="30"/>
    <n v="0"/>
    <n v="0"/>
    <s v="4 mois"/>
    <d v="2023-06-01T00:00:00"/>
    <s v="au mois de juin 2023"/>
    <s v="Elhadj Souaré Mamadou Dian"/>
    <s v="Riz"/>
    <x v="0"/>
    <m/>
    <m/>
    <x v="0"/>
    <m/>
    <m/>
    <m/>
    <m/>
    <m/>
    <m/>
    <m/>
    <x v="6"/>
  </r>
  <r>
    <d v="2023-02-21T16:20:22"/>
    <x v="6"/>
    <s v="Dinguiraye centre"/>
    <s v="Individuel"/>
    <s v="Sanfan kouyate"/>
    <n v="628779113"/>
    <m/>
    <s v="Banora"/>
    <n v="72"/>
    <s v="Déchaumage"/>
    <n v="5"/>
    <s v="Dissiba-oulén"/>
    <s v="Dissiba-oulén"/>
    <s v="5 mois"/>
    <d v="2023-02-22T00:00:00"/>
    <m/>
    <s v="Mamadou 1 Diallo"/>
    <s v="Riz"/>
    <x v="1"/>
    <n v="5"/>
    <d v="2023-02-21T00:00:00"/>
    <x v="5"/>
    <m/>
    <m/>
    <m/>
    <m/>
    <m/>
    <m/>
    <m/>
    <x v="6"/>
  </r>
  <r>
    <d v="2023-02-25T08:09:47"/>
    <x v="5"/>
    <s v="Centre de Gueckédou"/>
    <s v="Individuel"/>
    <s v="Baba Cherif"/>
    <n v="621902292"/>
    <m/>
    <s v="Guendembou"/>
    <n v="13"/>
    <s v="Déchaumage"/>
    <n v="5"/>
    <s v="Ck90"/>
    <s v="Inconnu"/>
    <s v="5 mois"/>
    <d v="2023-02-25T00:00:00"/>
    <m/>
    <s v="Lamine Condé"/>
    <s v="Riz"/>
    <x v="1"/>
    <n v="5"/>
    <d v="2023-02-25T00:00:00"/>
    <x v="5"/>
    <m/>
    <m/>
    <m/>
    <m/>
    <m/>
    <m/>
    <m/>
    <x v="6"/>
  </r>
  <r>
    <d v="2023-02-25T16:42:06"/>
    <x v="5"/>
    <s v="Centre de Gueckédou"/>
    <s v="Individuel"/>
    <s v="Sidy Oularé"/>
    <n v="624468963"/>
    <m/>
    <s v="Guendembou"/>
    <n v="18"/>
    <s v="Labour - uniquement"/>
    <n v="1"/>
    <s v="Doukono"/>
    <s v="Inconnu"/>
    <s v="6 mois"/>
    <d v="2023-02-28T00:00:00"/>
    <m/>
    <s v="Lamine Condé"/>
    <s v="Riz"/>
    <x v="0"/>
    <m/>
    <m/>
    <x v="0"/>
    <m/>
    <m/>
    <m/>
    <m/>
    <m/>
    <m/>
    <m/>
    <x v="6"/>
  </r>
  <r>
    <d v="2023-02-26T20:08:26"/>
    <x v="2"/>
    <s v="Bordeaux"/>
    <s v="Individuel"/>
    <s v="Sory Camara"/>
    <n v="622038835"/>
    <n v="0"/>
    <s v="Moribayah"/>
    <n v="95"/>
    <s v="Déchaumage"/>
    <n v="15"/>
    <s v="Bangalyba malo"/>
    <s v="Variété locale"/>
    <s v="6 mois"/>
    <d v="2023-03-03T00:00:00"/>
    <s v="Producteur moins"/>
    <s v="Moussa Alamako Keita"/>
    <s v="Riz"/>
    <x v="1"/>
    <n v="15"/>
    <d v="2023-02-26T00:00:00"/>
    <x v="8"/>
    <m/>
    <m/>
    <m/>
    <m/>
    <m/>
    <m/>
    <m/>
    <x v="7"/>
  </r>
  <r>
    <d v="2023-02-28T12:37:31"/>
    <x v="5"/>
    <s v="Centre de Gueckédou"/>
    <s v="Individuel"/>
    <s v="Elhadji Sidiky Cherif"/>
    <n v="622549090"/>
    <m/>
    <s v="Guendembou"/>
    <n v="13"/>
    <s v="Déchaumage"/>
    <n v="5"/>
    <s v="Ck 90"/>
    <s v="Inconnu"/>
    <s v="5 mois"/>
    <d v="2023-02-23T00:00:00"/>
    <m/>
    <s v="Lamine Condé"/>
    <s v="Riz"/>
    <x v="1"/>
    <n v="5"/>
    <d v="2023-02-28T00:00:00"/>
    <x v="8"/>
    <m/>
    <m/>
    <m/>
    <m/>
    <m/>
    <m/>
    <m/>
    <x v="7"/>
  </r>
  <r>
    <d v="2023-02-28T12:49:31"/>
    <x v="5"/>
    <s v="Centre de Gueckédou"/>
    <s v="Individuel"/>
    <s v="Mamady Sanoh"/>
    <n v="622869482"/>
    <m/>
    <s v="Guendembou"/>
    <n v="13"/>
    <s v="Labour - uniquement"/>
    <n v="4"/>
    <s v="Gombo et Aubergine"/>
    <s v="Pour le Gombo : Abelmoschus esculentus ; Pour l'aubergine : Solanum mélongena."/>
    <s v="3 mois"/>
    <d v="2023-02-10T00:00:00"/>
    <m/>
    <s v="Lamine Condé"/>
    <s v="Culture maraichère"/>
    <x v="0"/>
    <m/>
    <m/>
    <x v="0"/>
    <m/>
    <m/>
    <m/>
    <m/>
    <m/>
    <m/>
    <m/>
    <x v="7"/>
  </r>
  <r>
    <d v="2023-02-28T13:28:15"/>
    <x v="5"/>
    <s v="Centre de Gueckédou"/>
    <s v="Individuel"/>
    <s v="Sàa Wanalé Milimono"/>
    <n v="622577038"/>
    <m/>
    <s v="Guéckédou Centre"/>
    <n v="5"/>
    <s v="Labour - uniquement"/>
    <n v="3"/>
    <s v="K5"/>
    <s v="Zea mais"/>
    <s v="3 mois"/>
    <d v="2023-02-19T00:00:00"/>
    <m/>
    <s v="Lamine Condé"/>
    <s v="Maïs"/>
    <x v="0"/>
    <m/>
    <m/>
    <x v="0"/>
    <m/>
    <m/>
    <m/>
    <m/>
    <m/>
    <m/>
    <m/>
    <x v="7"/>
  </r>
  <r>
    <d v="2023-03-01T10:04:30"/>
    <x v="5"/>
    <s v="Centre de Gueckédou"/>
    <s v="Individuel"/>
    <s v="Adama Keira"/>
    <n v="624400963"/>
    <m/>
    <s v="Guendembou"/>
    <n v="13"/>
    <s v="Déchaumage"/>
    <n v="3"/>
    <s v="Ck90"/>
    <s v="Inconnu"/>
    <s v="5 mois"/>
    <d v="2023-03-01T00:00:00"/>
    <m/>
    <s v="Lamine Condé"/>
    <s v="Riz"/>
    <x v="1"/>
    <n v="3"/>
    <d v="2023-03-01T00:00:00"/>
    <x v="8"/>
    <m/>
    <m/>
    <m/>
    <m/>
    <m/>
    <m/>
    <m/>
    <x v="7"/>
  </r>
  <r>
    <d v="2023-03-01T12:48:41"/>
    <x v="2"/>
    <s v="Bordeaux"/>
    <s v="Individuel"/>
    <s v="Fodé Bangaly condé"/>
    <n v="628045423"/>
    <n v="0"/>
    <s v="Missamana"/>
    <n v="30"/>
    <s v="Labour - uniquement"/>
    <n v="10"/>
    <s v="Ck8o1"/>
    <s v="Variété améliorée"/>
    <s v="4 mois"/>
    <d v="2023-03-26T00:00:00"/>
    <s v="Producteur moins"/>
    <s v="Moussa Alamako Keita"/>
    <s v="Riz"/>
    <x v="0"/>
    <m/>
    <m/>
    <x v="0"/>
    <m/>
    <m/>
    <m/>
    <m/>
    <m/>
    <m/>
    <m/>
    <x v="7"/>
  </r>
  <r>
    <d v="2023-03-01T12:55:32"/>
    <x v="2"/>
    <s v="Bordeaux"/>
    <s v="Collectif"/>
    <s v="Amadou DOUMBOUYA"/>
    <n v="621812730"/>
    <n v="0"/>
    <s v="Boula"/>
    <n v="155"/>
    <s v="Labour + Pulvérisation"/>
    <n v="25"/>
    <s v="Kaoulaka"/>
    <s v="Variété locale"/>
    <s v="4 mois"/>
    <d v="2023-05-15T00:00:00"/>
    <s v="Grand producteur"/>
    <s v="Moussa Alamako Keita"/>
    <s v="Riz"/>
    <x v="0"/>
    <m/>
    <m/>
    <x v="0"/>
    <m/>
    <m/>
    <m/>
    <m/>
    <m/>
    <m/>
    <m/>
    <x v="7"/>
  </r>
  <r>
    <d v="2023-03-01T13:02:53"/>
    <x v="2"/>
    <s v="Bordeaux"/>
    <s v="Individuel"/>
    <s v="Soulemane Sangare"/>
    <n v="623463992"/>
    <n v="0"/>
    <s v="Koumban"/>
    <n v="80"/>
    <s v="Labour - uniquement"/>
    <n v="25"/>
    <s v="Draponi"/>
    <s v="Variété locale"/>
    <s v="6 mois"/>
    <d v="2023-05-05T00:00:00"/>
    <s v="Grand producteur"/>
    <s v="Moussa Alamako Keita"/>
    <s v="Riz"/>
    <x v="0"/>
    <m/>
    <m/>
    <x v="0"/>
    <m/>
    <m/>
    <m/>
    <m/>
    <m/>
    <m/>
    <m/>
    <x v="7"/>
  </r>
  <r>
    <d v="2023-03-01T13:08:34"/>
    <x v="2"/>
    <s v="Bordeaux"/>
    <s v="Collectif"/>
    <s v="Société Agroalimentaire de Guinée"/>
    <n v="610592067"/>
    <n v="0"/>
    <s v="Moribayah"/>
    <n v="100"/>
    <s v="Labour + Pulvérisation"/>
    <n v="50"/>
    <s v="Lanyeri"/>
    <s v="Variété locale"/>
    <s v="6 mois"/>
    <d v="2023-05-10T00:00:00"/>
    <s v="Grand producteur"/>
    <s v="Moussa Alamako Keita"/>
    <s v="Riz"/>
    <x v="0"/>
    <m/>
    <m/>
    <x v="0"/>
    <m/>
    <m/>
    <m/>
    <m/>
    <m/>
    <m/>
    <m/>
    <x v="7"/>
  </r>
  <r>
    <d v="2023-03-01T13:14:13"/>
    <x v="2"/>
    <s v="Bordeaux"/>
    <s v="Individuel"/>
    <s v="Moussa Doumbouya"/>
    <n v="621739984"/>
    <n v="0"/>
    <s v="Moribayah"/>
    <n v="95"/>
    <s v="Labour - uniquement"/>
    <n v="10"/>
    <s v="Bangalyba Malo"/>
    <s v="Variété locale"/>
    <s v="6 mois"/>
    <d v="2023-05-25T00:00:00"/>
    <s v="Producteur moins"/>
    <s v="Moussa Alamako Keita"/>
    <s v="Riz"/>
    <x v="0"/>
    <m/>
    <m/>
    <x v="0"/>
    <m/>
    <m/>
    <m/>
    <m/>
    <m/>
    <m/>
    <m/>
    <x v="7"/>
  </r>
  <r>
    <d v="2023-03-05T12:53:44"/>
    <x v="6"/>
    <s v="Dinguiraye centre"/>
    <s v="Individuel"/>
    <s v="Mory sanoh"/>
    <n v="622497980"/>
    <m/>
    <s v="Banora"/>
    <n v="67"/>
    <s v="Déchaumage"/>
    <n v="4"/>
    <s v="Dissi"/>
    <s v="Dissi"/>
    <s v="4 mois"/>
    <d v="2023-03-06T00:00:00"/>
    <m/>
    <s v="Mamadou 1 Diallo"/>
    <s v="Riz"/>
    <x v="1"/>
    <n v="4"/>
    <d v="2023-03-05T00:00:00"/>
    <x v="9"/>
    <m/>
    <m/>
    <m/>
    <m/>
    <m/>
    <m/>
    <m/>
    <x v="8"/>
  </r>
  <r>
    <d v="2023-03-05T14:21:17"/>
    <x v="9"/>
    <s v="Centre ville de forecariah (secteur pepinière)"/>
    <s v="Collectif"/>
    <s v="Moussa Diane"/>
    <n v="611143366"/>
    <m/>
    <s v="Farmoriah"/>
    <n v="35"/>
    <s v="Labour - uniquement"/>
    <n v="2"/>
    <s v="Barrone"/>
    <s v="Barrone"/>
    <s v="9 mois"/>
    <d v="2023-03-06T00:00:00"/>
    <m/>
    <s v="Moussa Diakité"/>
    <s v="Ananas"/>
    <x v="1"/>
    <n v="2"/>
    <d v="2023-03-05T00:00:00"/>
    <x v="9"/>
    <m/>
    <m/>
    <m/>
    <m/>
    <m/>
    <m/>
    <m/>
    <x v="8"/>
  </r>
  <r>
    <d v="2023-03-05T14:48:23"/>
    <x v="9"/>
    <s v="Forecariah centre ville (secteur pepinière)"/>
    <s v="Individuel"/>
    <s v="Sekou Toure"/>
    <n v="627225156"/>
    <m/>
    <s v="Alassoya"/>
    <n v="25"/>
    <s v="Labour - uniquement"/>
    <n v="2"/>
    <s v="Kondeyah"/>
    <s v="kondeyah"/>
    <s v="4 mois"/>
    <d v="2023-03-08T00:00:00"/>
    <m/>
    <s v="Moussa Diakité"/>
    <s v="Riz"/>
    <x v="1"/>
    <n v="2"/>
    <d v="2023-03-05T00:00:00"/>
    <x v="9"/>
    <m/>
    <m/>
    <m/>
    <m/>
    <m/>
    <m/>
    <m/>
    <x v="8"/>
  </r>
  <r>
    <d v="2023-03-06T10:10:58"/>
    <x v="1"/>
    <s v="Siguiri"/>
    <s v="Individuel"/>
    <s v="Mamady KEITA"/>
    <n v="621063863"/>
    <m/>
    <s v="Siguiri Centre"/>
    <n v="9"/>
    <s v="Déchaumage"/>
    <n v="7"/>
    <s v="Dissibawoulen"/>
    <s v="Dissibawoulen"/>
    <s v="4 mois"/>
    <d v="2023-03-05T00:00:00"/>
    <m/>
    <s v="Nanamoudou ll Magassouba"/>
    <s v="Riz"/>
    <x v="1"/>
    <n v="7"/>
    <d v="2023-03-05T00:00:00"/>
    <x v="9"/>
    <m/>
    <m/>
    <m/>
    <m/>
    <m/>
    <m/>
    <m/>
    <x v="8"/>
  </r>
  <r>
    <d v="2023-03-06T10:13:53"/>
    <x v="1"/>
    <s v="Siguiri"/>
    <s v="Individuel"/>
    <s v="Fode MAGASSOUBA"/>
    <n v="628022657"/>
    <m/>
    <s v="Siguiri Centre"/>
    <n v="10"/>
    <s v="Déchaumage"/>
    <n v="2"/>
    <s v="Nenkin"/>
    <s v="Nenkin"/>
    <s v="3 mois"/>
    <d v="2023-03-04T00:00:00"/>
    <m/>
    <s v="Nanamoudou ll Magassouba"/>
    <s v="Riz"/>
    <x v="1"/>
    <n v="2"/>
    <d v="2023-03-05T00:00:00"/>
    <x v="9"/>
    <m/>
    <m/>
    <m/>
    <m/>
    <m/>
    <m/>
    <m/>
    <x v="8"/>
  </r>
  <r>
    <d v="2023-03-09T11:10:49"/>
    <x v="1"/>
    <s v="Siguiri"/>
    <s v="Collectif"/>
    <s v="Alpha CAMARA"/>
    <n v="621550643"/>
    <m/>
    <s v="Maléa"/>
    <n v="90"/>
    <s v="Déchaumage"/>
    <n v="10"/>
    <s v="Nenkin, Nerica19, Dioukémé..."/>
    <s v="Nenkin...."/>
    <s v="4 mois"/>
    <d v="2023-03-11T00:00:00"/>
    <m/>
    <s v="Nanamoudou ll Magassouba"/>
    <s v="Riz"/>
    <x v="1"/>
    <n v="10"/>
    <d v="2023-03-29T00:00:00"/>
    <x v="10"/>
    <m/>
    <m/>
    <m/>
    <m/>
    <m/>
    <m/>
    <m/>
    <x v="8"/>
  </r>
  <r>
    <d v="2023-03-10T15:15:30"/>
    <x v="2"/>
    <s v="Bordeaux"/>
    <s v="Individuel"/>
    <s v="Mamadi kouyate"/>
    <n v="628729650"/>
    <n v="0"/>
    <s v="Bate-Nafadji"/>
    <n v="95"/>
    <s v="Déchaumage"/>
    <n v="1"/>
    <s v="Nenkemba"/>
    <s v="Variété locale"/>
    <s v="6 mois"/>
    <d v="2023-03-11T00:00:00"/>
    <s v="Petit producteur"/>
    <s v="Moussa Alamako Keita"/>
    <s v="Riz"/>
    <x v="1"/>
    <n v="1"/>
    <d v="2023-03-21T00:00:00"/>
    <x v="7"/>
    <m/>
    <m/>
    <m/>
    <m/>
    <m/>
    <m/>
    <m/>
    <x v="8"/>
  </r>
  <r>
    <d v="2023-03-13T12:46:09"/>
    <x v="0"/>
    <s v="Direction préfectorale de l'agriculture et de l'élevage de Macenta"/>
    <s v="Individuel"/>
    <s v="Pauline zoumanigui"/>
    <n v="621775680"/>
    <m/>
    <s v="Ourémai"/>
    <n v="15"/>
    <s v="Labour - uniquement"/>
    <n v="2"/>
    <s v="Djoukeme"/>
    <s v="Oriza sativa"/>
    <s v="5 mois"/>
    <d v="2023-03-21T00:00:00"/>
    <s v="Pas"/>
    <s v="Alexandre Kpoghomou"/>
    <s v="Riz"/>
    <x v="1"/>
    <n v="2"/>
    <d v="2023-03-14T00:00:00"/>
    <x v="11"/>
    <m/>
    <m/>
    <m/>
    <m/>
    <m/>
    <m/>
    <m/>
    <x v="9"/>
  </r>
  <r>
    <d v="2023-03-13T13:04:38"/>
    <x v="5"/>
    <s v="Centre de Gueckédou"/>
    <s v="Individuel"/>
    <s v="Marie Réné Milimono"/>
    <n v="628436179"/>
    <m/>
    <s v="Guéckédou Centre"/>
    <n v="3"/>
    <s v="Labour - uniquement"/>
    <n v="3"/>
    <s v="Dôcronin"/>
    <s v="Zea mais"/>
    <s v="3 mois"/>
    <d v="2023-02-16T00:00:00"/>
    <m/>
    <s v="Lamine Condé"/>
    <s v="Maïs"/>
    <x v="1"/>
    <n v="3"/>
    <d v="2023-02-16T00:00:00"/>
    <x v="2"/>
    <m/>
    <m/>
    <m/>
    <m/>
    <m/>
    <m/>
    <m/>
    <x v="9"/>
  </r>
  <r>
    <d v="2023-03-15T12:50:13"/>
    <x v="2"/>
    <s v="Bordeaux"/>
    <s v="Individuel"/>
    <s v="Abdoulaye Soumah"/>
    <n v="622540775"/>
    <n v="0"/>
    <s v="Moribayah"/>
    <n v="100"/>
    <s v="Labour - uniquement"/>
    <n v="80"/>
    <s v="Forotokolo,Nenken"/>
    <s v="Variété locale"/>
    <s v="6 mois"/>
    <d v="2023-04-05T00:00:00"/>
    <s v="Grand producteur"/>
    <s v="Moussa Alamako Keita"/>
    <s v="Riz"/>
    <x v="0"/>
    <m/>
    <m/>
    <x v="0"/>
    <m/>
    <m/>
    <m/>
    <m/>
    <m/>
    <m/>
    <m/>
    <x v="9"/>
  </r>
  <r>
    <d v="2023-03-15T12:59:51"/>
    <x v="2"/>
    <s v="Bordeaux"/>
    <s v="Individuel"/>
    <s v="Mamadi condé"/>
    <n v="628483278"/>
    <n v="0"/>
    <s v="Sabadou-Baranama"/>
    <n v="85"/>
    <s v="Déchaumage"/>
    <n v="10"/>
    <s v="Tchotcho"/>
    <s v="Variété locale"/>
    <s v="6 mois"/>
    <d v="2023-04-19T00:00:00"/>
    <s v="Producteur moins"/>
    <s v="Moussa Alamako Keita"/>
    <s v="Riz"/>
    <x v="1"/>
    <n v="10"/>
    <d v="2023-03-21T00:00:00"/>
    <x v="7"/>
    <m/>
    <m/>
    <m/>
    <m/>
    <m/>
    <m/>
    <m/>
    <x v="9"/>
  </r>
  <r>
    <d v="2023-03-15T17:58:56"/>
    <x v="1"/>
    <s v="Siguiri"/>
    <s v="Individuel"/>
    <s v="Djantoun Mamadi CAMARA"/>
    <n v="624196807"/>
    <m/>
    <s v="Maléa"/>
    <n v="75"/>
    <s v="Déchaumage"/>
    <n v="2"/>
    <s v="Dioukeme"/>
    <s v="Dioukémé"/>
    <s v="5 mois"/>
    <d v="2023-03-19T00:00:00"/>
    <m/>
    <s v="Nanamoudou ll Magassouba"/>
    <s v="Riz"/>
    <x v="1"/>
    <n v="2"/>
    <d v="2023-03-20T00:00:00"/>
    <x v="7"/>
    <m/>
    <m/>
    <m/>
    <m/>
    <m/>
    <m/>
    <m/>
    <x v="9"/>
  </r>
  <r>
    <d v="2023-03-15T18:01:51"/>
    <x v="1"/>
    <s v="Siguiri"/>
    <s v="Individuel"/>
    <s v="Saliou CAMARA"/>
    <n v="629394171"/>
    <m/>
    <s v="Maléa"/>
    <n v="75"/>
    <s v="Déchaumage"/>
    <n v="2"/>
    <s v="Dioukémé"/>
    <s v="Dioukémé"/>
    <s v="5 mois"/>
    <d v="2023-03-20T00:00:00"/>
    <m/>
    <s v="Nanamoudou ll Magassouba"/>
    <s v="Riz"/>
    <x v="1"/>
    <n v="2"/>
    <d v="2023-03-20T00:00:00"/>
    <x v="7"/>
    <m/>
    <m/>
    <m/>
    <m/>
    <m/>
    <m/>
    <m/>
    <x v="9"/>
  </r>
  <r>
    <d v="2023-03-17T09:46:10"/>
    <x v="0"/>
    <s v="Direction préfectorale de l'agriculture et de l'élevage de Macenta"/>
    <s v="Individuel"/>
    <s v="Kemo kourouma"/>
    <n v="628612762"/>
    <m/>
    <s v="Macenta Centre"/>
    <n v="8"/>
    <s v="Labour - uniquement"/>
    <n v="2"/>
    <s v="Djoukeme"/>
    <s v="Oriza sativa"/>
    <s v="5 mois"/>
    <d v="2023-03-16T00:00:00"/>
    <s v="Pas"/>
    <s v="Alexandre Kpoghomou"/>
    <s v="Riz"/>
    <x v="1"/>
    <n v="2"/>
    <d v="2023-03-16T00:00:00"/>
    <x v="11"/>
    <m/>
    <m/>
    <m/>
    <m/>
    <m/>
    <m/>
    <m/>
    <x v="9"/>
  </r>
  <r>
    <d v="2023-03-19T17:14:31"/>
    <x v="5"/>
    <s v="Centre de Gueckédou"/>
    <s v="Individuel"/>
    <s v="Aly kourouma"/>
    <n v="628199581"/>
    <m/>
    <s v="Guéckédou Centre"/>
    <n v="5"/>
    <s v="Labour - uniquement"/>
    <n v="1"/>
    <s v="Abou"/>
    <s v="Inconnu"/>
    <s v="5 mois"/>
    <d v="2023-03-20T00:00:00"/>
    <s v="NB :La superficie à labourée est 1,5 ha."/>
    <s v="Lamine Condé"/>
    <s v="Riz"/>
    <x v="1"/>
    <n v="1.5"/>
    <d v="2023-03-20T00:00:00"/>
    <x v="7"/>
    <m/>
    <m/>
    <m/>
    <m/>
    <m/>
    <m/>
    <m/>
    <x v="10"/>
  </r>
  <r>
    <d v="2023-03-20T08:01:01"/>
    <x v="0"/>
    <s v="Direction préfectorale de l'agriculture et de l'élevage de Macenta"/>
    <s v="Individuel"/>
    <s v="Lanciné Diallo"/>
    <n v="621573030"/>
    <m/>
    <s v="Kouankan"/>
    <n v="80"/>
    <s v="Labour - uniquement"/>
    <n v="20"/>
    <s v="Chinoiba et djoukeme"/>
    <s v="Oriza sativa"/>
    <s v="5 mois"/>
    <d v="2023-03-22T00:00:00"/>
    <s v="Pas"/>
    <s v="Alexandre Kpoghomou"/>
    <s v="Riz"/>
    <x v="1"/>
    <n v="10"/>
    <d v="2023-03-20T00:00:00"/>
    <x v="7"/>
    <m/>
    <m/>
    <m/>
    <m/>
    <m/>
    <m/>
    <m/>
    <x v="10"/>
  </r>
  <r>
    <d v="2023-03-20T08:07:52"/>
    <x v="0"/>
    <s v="Direction préfectorale de l'agriculture et de l'élevage de Macenta"/>
    <s v="Individuel"/>
    <s v="Zézé kourouma"/>
    <n v="628649465"/>
    <m/>
    <s v="Kouankan"/>
    <n v="80"/>
    <s v="Labour - uniquement"/>
    <n v="5"/>
    <s v="Moribanara"/>
    <s v="Oriza sativa"/>
    <s v="5 mois"/>
    <d v="2023-03-24T00:00:00"/>
    <s v="Pas"/>
    <s v="Alexandre Kpoghomou"/>
    <s v="Riz"/>
    <x v="0"/>
    <m/>
    <m/>
    <x v="0"/>
    <m/>
    <m/>
    <m/>
    <m/>
    <m/>
    <m/>
    <m/>
    <x v="10"/>
  </r>
  <r>
    <d v="2023-03-20T11:38:15"/>
    <x v="0"/>
    <s v="Direction préfectorale de l'agriculture et de l'élevage de Macenta"/>
    <s v="Individuel"/>
    <s v="Hadja Simita FOFANA"/>
    <n v="622936183"/>
    <m/>
    <s v="Semgbédou"/>
    <n v="12"/>
    <s v="Labour + Pulvérisation"/>
    <n v="25"/>
    <s v="Samaka"/>
    <s v="Oriza sativa"/>
    <s v="5 mois"/>
    <d v="2023-03-30T00:00:00"/>
    <s v="Pas"/>
    <s v="Alexandre Kpoghomou"/>
    <s v="Riz"/>
    <x v="0"/>
    <m/>
    <m/>
    <x v="0"/>
    <m/>
    <m/>
    <m/>
    <m/>
    <m/>
    <m/>
    <m/>
    <x v="10"/>
  </r>
  <r>
    <d v="2023-03-20T17:31:10"/>
    <x v="1"/>
    <s v="Siguiri"/>
    <s v="Individuel"/>
    <s v="Baba CAMARA"/>
    <n v="622385518"/>
    <m/>
    <s v="Maléa"/>
    <n v="75"/>
    <s v="Déchaumage"/>
    <n v="3"/>
    <s v="Dioukémé"/>
    <s v="Dioukémé"/>
    <s v="5 mois"/>
    <d v="2023-03-17T00:00:00"/>
    <m/>
    <s v="Nanamoudou ll Magassouba"/>
    <s v="Riz"/>
    <x v="1"/>
    <n v="3"/>
    <d v="2023-03-21T00:00:00"/>
    <x v="7"/>
    <m/>
    <m/>
    <m/>
    <m/>
    <m/>
    <m/>
    <m/>
    <x v="10"/>
  </r>
  <r>
    <d v="2023-03-20T17:34:24"/>
    <x v="1"/>
    <s v="Siguiri"/>
    <s v="Individuel"/>
    <s v="Sekou Kourouma"/>
    <n v="610507642"/>
    <m/>
    <s v="Maléa"/>
    <n v="75"/>
    <s v="Déchaumage"/>
    <n v="2"/>
    <s v="Dioukémé"/>
    <s v="Dioukémé"/>
    <s v="5 mois"/>
    <d v="2023-03-18T00:00:00"/>
    <m/>
    <s v="Nanamoudou ll Magassouba"/>
    <s v="Riz"/>
    <x v="1"/>
    <n v="2"/>
    <d v="2023-03-21T00:00:00"/>
    <x v="7"/>
    <m/>
    <m/>
    <m/>
    <m/>
    <m/>
    <m/>
    <m/>
    <x v="10"/>
  </r>
  <r>
    <d v="2023-03-20T17:37:12"/>
    <x v="1"/>
    <s v="Siguiri"/>
    <s v="Individuel"/>
    <s v="Billo Fofana"/>
    <n v="629208918"/>
    <m/>
    <s v="Maléa"/>
    <n v="80"/>
    <s v="Déchaumage"/>
    <n v="3"/>
    <s v="Dioukémé"/>
    <s v="Dioukémé"/>
    <s v="5 mois"/>
    <d v="2023-03-18T00:00:00"/>
    <m/>
    <s v="Nanamoudou ll Magassouba"/>
    <s v="Riz"/>
    <x v="1"/>
    <n v="3"/>
    <d v="2023-03-21T00:00:00"/>
    <x v="7"/>
    <m/>
    <m/>
    <m/>
    <m/>
    <m/>
    <m/>
    <m/>
    <x v="10"/>
  </r>
  <r>
    <d v="2023-03-20T17:41:18"/>
    <x v="1"/>
    <s v="Siguiri"/>
    <s v="Collectif"/>
    <s v="Ansoumane CAMARA"/>
    <n v="628834336"/>
    <m/>
    <s v="Maléa"/>
    <n v="75"/>
    <s v="Déchaumage"/>
    <n v="24"/>
    <s v="Dioukémé, Nenkin, Dissibawoulen...."/>
    <s v="Dioukémé, Nenkin, Dissibawoulen..."/>
    <s v="5 mois"/>
    <d v="2023-03-25T00:00:00"/>
    <m/>
    <s v="Nanamoudou ll Magassouba"/>
    <s v="Riz"/>
    <x v="1"/>
    <n v="24"/>
    <d v="2023-03-21T00:00:00"/>
    <x v="7"/>
    <m/>
    <m/>
    <m/>
    <m/>
    <m/>
    <m/>
    <m/>
    <x v="10"/>
  </r>
  <r>
    <d v="2023-03-21T10:26:54"/>
    <x v="5"/>
    <s v="Centre de Gueckédou"/>
    <s v="Individuel"/>
    <s v="N'Bemba Moundékeno"/>
    <n v="622042658"/>
    <m/>
    <s v="Guéckédou Centre"/>
    <n v="2"/>
    <s v="Déchaumage"/>
    <n v="2"/>
    <s v="Elyon"/>
    <s v="Inconnu"/>
    <s v="4 mois"/>
    <d v="2023-03-22T00:00:00"/>
    <m/>
    <s v="Lamine Condé"/>
    <s v="Riz"/>
    <x v="1"/>
    <n v="3.5"/>
    <d v="2023-03-21T00:00:00"/>
    <x v="7"/>
    <m/>
    <m/>
    <m/>
    <m/>
    <m/>
    <m/>
    <m/>
    <x v="10"/>
  </r>
  <r>
    <d v="2023-03-21T11:01:33"/>
    <x v="0"/>
    <s v="Direction préfectorale de l'agriculture et de l'élevage de Macenta"/>
    <s v="Individuel"/>
    <s v="Esther dopavogui"/>
    <n v="624367136"/>
    <m/>
    <s v="Ourémai"/>
    <n v="12"/>
    <s v="Labour - uniquement"/>
    <n v="1"/>
    <s v="Kpaghaï"/>
    <s v="Oriza sativa"/>
    <s v="5 mois"/>
    <d v="2023-03-17T00:00:00"/>
    <s v="Pas"/>
    <s v="Alexandre Kpoghomou"/>
    <s v="Riz"/>
    <x v="1"/>
    <n v="1"/>
    <d v="2023-03-20T00:00:00"/>
    <x v="7"/>
    <m/>
    <m/>
    <m/>
    <m/>
    <m/>
    <m/>
    <m/>
    <x v="10"/>
  </r>
  <r>
    <d v="2023-03-21T11:08:30"/>
    <x v="0"/>
    <s v="Direction préfectorale de l'agriculture et de l'élevage de Macenta"/>
    <s v="Individuel"/>
    <s v="Aly keita"/>
    <n v="628095010"/>
    <m/>
    <s v="Macenta Centre"/>
    <n v="12"/>
    <s v="Labour - uniquement"/>
    <n v="2"/>
    <s v="Malogbè"/>
    <s v="Oriza sativa"/>
    <s v="5 mois"/>
    <d v="2023-03-21T00:00:00"/>
    <s v="Pas"/>
    <s v="Alexandre Kpoghomou"/>
    <s v="Riz"/>
    <x v="1"/>
    <n v="2"/>
    <d v="2023-03-22T00:00:00"/>
    <x v="7"/>
    <m/>
    <m/>
    <m/>
    <m/>
    <m/>
    <m/>
    <m/>
    <x v="10"/>
  </r>
  <r>
    <d v="2023-03-21T12:15:49"/>
    <x v="4"/>
    <s v="boké centre"/>
    <s v="Individuel"/>
    <s v="Galaï Daniel"/>
    <n v="628193453"/>
    <n v="0"/>
    <s v="Boké Centre"/>
    <n v="12"/>
    <s v="Labour + Pulvérisation"/>
    <n v="6"/>
    <s v="non"/>
    <s v="non"/>
    <s v="4 mois"/>
    <d v="2023-04-01T00:00:00"/>
    <s v="c'est dans la commune urbaine de Boké"/>
    <s v="Elhadj Souaré Mamadou Dian"/>
    <s v="Riz"/>
    <x v="0"/>
    <m/>
    <m/>
    <x v="0"/>
    <m/>
    <m/>
    <m/>
    <m/>
    <m/>
    <m/>
    <m/>
    <x v="10"/>
  </r>
  <r>
    <d v="2023-03-21T16:46:24"/>
    <x v="10"/>
    <s v="Commune urbaine"/>
    <s v="Individuel"/>
    <s v="Colonel Mamady Camara"/>
    <n v="622588398"/>
    <n v="622588398"/>
    <s v="Sangardo"/>
    <n v="18"/>
    <s v="Déchaumage"/>
    <n v="8"/>
    <s v="CK90"/>
    <s v="CK90"/>
    <s v="5 mois"/>
    <d v="2023-11-20T00:00:00"/>
    <s v="Mansoya"/>
    <s v="Mamady 2 Camara"/>
    <s v="Riz"/>
    <x v="0"/>
    <m/>
    <m/>
    <x v="0"/>
    <m/>
    <m/>
    <m/>
    <m/>
    <m/>
    <m/>
    <m/>
    <x v="10"/>
  </r>
  <r>
    <d v="2023-03-22T12:40:08"/>
    <x v="5"/>
    <s v="Centre de Gueckédou"/>
    <s v="Individuel"/>
    <s v="Mamady Fofana"/>
    <n v="620940903"/>
    <m/>
    <s v="Guendembou"/>
    <n v="25"/>
    <s v="Labour - uniquement"/>
    <n v="2"/>
    <s v="Chinois"/>
    <s v="Inconnu"/>
    <s v="3 mois"/>
    <d v="2023-03-23T00:00:00"/>
    <s v="NB: c'est 2,5ha a labouré."/>
    <s v="Lamine Condé"/>
    <s v="Riz"/>
    <x v="1"/>
    <n v="2.5"/>
    <d v="2023-03-22T00:00:00"/>
    <x v="7"/>
    <m/>
    <m/>
    <m/>
    <m/>
    <m/>
    <m/>
    <m/>
    <x v="10"/>
  </r>
  <r>
    <d v="2023-03-23T10:05:41"/>
    <x v="11"/>
    <s v="Centre"/>
    <s v="Individuel"/>
    <s v="Yomba sanoh"/>
    <n v="628204012"/>
    <n v="625448612"/>
    <s v="Banankoro"/>
    <n v="50"/>
    <s v="Déchaumage"/>
    <n v="10"/>
    <s v="Kaoulaka"/>
    <s v="Caolaca"/>
    <s v="6 mois"/>
    <d v="2023-03-24T00:00:00"/>
    <s v="Bien"/>
    <s v="Moussa Kadia Camara"/>
    <s v="Riz"/>
    <x v="1"/>
    <n v="10"/>
    <d v="2023-03-23T00:00:00"/>
    <x v="7"/>
    <m/>
    <m/>
    <m/>
    <m/>
    <m/>
    <m/>
    <m/>
    <x v="10"/>
  </r>
  <r>
    <d v="2023-03-23T15:07:17"/>
    <x v="8"/>
    <s v="Centre ville de Beyla (PRODABEK)"/>
    <s v="Individuel"/>
    <s v="Sekou konate"/>
    <n v="622932910"/>
    <m/>
    <s v="Boola"/>
    <n v="45"/>
    <s v="Labour - uniquement"/>
    <n v="5"/>
    <s v="Tchoto"/>
    <s v="Tchocho"/>
    <s v="9 mois"/>
    <d v="2023-03-25T00:00:00"/>
    <m/>
    <s v="Mohamed Billo Sangare"/>
    <s v="Riz"/>
    <x v="1"/>
    <n v="5"/>
    <d v="2023-03-27T00:00:00"/>
    <x v="10"/>
    <m/>
    <m/>
    <m/>
    <m/>
    <m/>
    <m/>
    <m/>
    <x v="10"/>
  </r>
  <r>
    <d v="2023-03-24T12:26:43"/>
    <x v="0"/>
    <n v="2"/>
    <s v="Individuel"/>
    <s v="Jean Beavogui"/>
    <n v="622501048"/>
    <m/>
    <s v="Macenta Centre"/>
    <n v="12"/>
    <s v="Pulvérisation - uniquement"/>
    <n v="2"/>
    <s v="Djoukeme"/>
    <s v="Oriza sativa"/>
    <s v="5 mois"/>
    <d v="2023-03-29T00:00:00"/>
    <s v="Pas"/>
    <s v="Alexandre Kpoghomou"/>
    <s v="Riz"/>
    <x v="0"/>
    <m/>
    <m/>
    <x v="0"/>
    <m/>
    <m/>
    <m/>
    <m/>
    <m/>
    <m/>
    <m/>
    <x v="10"/>
  </r>
  <r>
    <d v="2023-03-24T12:39:47"/>
    <x v="0"/>
    <s v="Direction préfectorale de l'agriculture et de l'élevage de Macenta"/>
    <s v="Individuel"/>
    <s v="Yomba solano"/>
    <n v="628329575"/>
    <m/>
    <s v="Daro"/>
    <n v="14"/>
    <s v="Labour - uniquement"/>
    <n v="3"/>
    <s v="Abou et djoko"/>
    <s v="Oriza sativa"/>
    <s v="5 mois"/>
    <d v="2023-03-25T00:00:00"/>
    <s v="Pas"/>
    <s v="Alexandre Kpoghomou"/>
    <s v="Riz"/>
    <x v="0"/>
    <m/>
    <m/>
    <x v="0"/>
    <m/>
    <m/>
    <m/>
    <m/>
    <m/>
    <m/>
    <m/>
    <x v="10"/>
  </r>
  <r>
    <d v="2023-03-24T12:48:29"/>
    <x v="0"/>
    <s v="Direction préfectorale de l'agriculture et de l'élevage de Macenta"/>
    <s v="Individuel"/>
    <s v="Jean Beavogui"/>
    <n v="622501048"/>
    <m/>
    <s v="Macenta Centre"/>
    <n v="12"/>
    <s v="Pulvérisation - uniquement"/>
    <n v="2"/>
    <s v="Djoukeme"/>
    <s v="Oriza sativa"/>
    <s v="5 mois"/>
    <d v="2023-03-30T00:00:00"/>
    <s v="Le champ donne 2,5 ha"/>
    <s v="Alexandre Kpoghomou"/>
    <s v="Riz"/>
    <x v="1"/>
    <n v="2.5"/>
    <d v="2023-03-22T00:00:00"/>
    <x v="7"/>
    <m/>
    <m/>
    <m/>
    <m/>
    <m/>
    <m/>
    <m/>
    <x v="10"/>
  </r>
  <r>
    <d v="2023-03-24T17:20:38"/>
    <x v="5"/>
    <s v="Centre de Gueckédou"/>
    <s v="Individuel"/>
    <s v="Damey Sakho"/>
    <n v="624302875"/>
    <m/>
    <s v="Guendembou"/>
    <n v="25"/>
    <s v="Labour - uniquement"/>
    <n v="1"/>
    <s v="Tiguibiri Kabalen"/>
    <s v="Zea Mays"/>
    <s v="3 mois"/>
    <d v="2023-03-24T00:00:00"/>
    <m/>
    <s v="Lamine Condé"/>
    <s v="Maïs"/>
    <x v="1"/>
    <n v="1"/>
    <d v="2023-03-24T00:00:00"/>
    <x v="7"/>
    <m/>
    <m/>
    <m/>
    <m/>
    <m/>
    <m/>
    <m/>
    <x v="10"/>
  </r>
  <r>
    <d v="2023-03-25T13:21:26"/>
    <x v="8"/>
    <s v="Centre de ville de Beyla (PRODABEK)"/>
    <s v="Collectif"/>
    <s v="GROUPEMENT GJVDC"/>
    <n v="628720898"/>
    <m/>
    <s v="Beyla Centre"/>
    <n v="10"/>
    <s v="Labour - uniquement"/>
    <n v="10"/>
    <s v="Tchoto"/>
    <s v="Tchoto"/>
    <s v="6 mois"/>
    <d v="2023-03-21T00:00:00"/>
    <m/>
    <s v="Mohamed Billo Sangare"/>
    <s v="Riz"/>
    <x v="1"/>
    <n v="10"/>
    <d v="2023-03-27T00:00:00"/>
    <x v="10"/>
    <m/>
    <m/>
    <m/>
    <m/>
    <m/>
    <m/>
    <m/>
    <x v="10"/>
  </r>
  <r>
    <d v="2023-03-25T16:30:46"/>
    <x v="5"/>
    <s v="Centre de Gueckédou"/>
    <s v="Individuel"/>
    <s v="Christophe Combadouno"/>
    <n v="621317998"/>
    <m/>
    <s v="Guendembou"/>
    <n v="25"/>
    <s v="Labour - uniquement"/>
    <n v="1"/>
    <s v="Chinois"/>
    <s v="Inconnu"/>
    <s v="3 mois"/>
    <d v="2023-03-25T00:00:00"/>
    <m/>
    <s v="Lamine Condé"/>
    <s v="Riz"/>
    <x v="1"/>
    <n v="1.5"/>
    <d v="2023-03-25T00:00:00"/>
    <x v="7"/>
    <m/>
    <m/>
    <m/>
    <m/>
    <m/>
    <m/>
    <m/>
    <x v="10"/>
  </r>
  <r>
    <d v="2023-03-25T16:42:38"/>
    <x v="5"/>
    <s v="Centre de Gueckédou"/>
    <s v="Individuel"/>
    <s v="Sékou Condé"/>
    <n v="626445494"/>
    <m/>
    <s v="Guendembou"/>
    <n v="15"/>
    <s v="Labour - uniquement"/>
    <n v="1"/>
    <s v="Yokoyon"/>
    <s v="Inconnu"/>
    <s v="5 mois"/>
    <d v="2023-03-25T00:00:00"/>
    <m/>
    <s v="Lamine Condé"/>
    <s v="Riz"/>
    <x v="0"/>
    <m/>
    <m/>
    <x v="0"/>
    <m/>
    <m/>
    <m/>
    <m/>
    <m/>
    <m/>
    <m/>
    <x v="10"/>
  </r>
  <r>
    <d v="2023-03-27T08:35:15"/>
    <x v="5"/>
    <s v="Centre de Gueckédou"/>
    <s v="Individuel"/>
    <s v="Alaye Soh"/>
    <n v="628084780"/>
    <m/>
    <s v="Guendembou"/>
    <n v="18"/>
    <s v="Labour - uniquement"/>
    <n v="1"/>
    <s v="Yaro"/>
    <s v="Solanum mélongena"/>
    <s v="3 mois"/>
    <d v="2023-03-26T00:00:00"/>
    <s v="NB:le nombre d'ha total labouré chez Alaye Soh est 1,5."/>
    <s v="Lamine Condé"/>
    <s v="Culture maraichère"/>
    <x v="1"/>
    <n v="1.5"/>
    <d v="2023-03-27T00:00:00"/>
    <x v="10"/>
    <m/>
    <m/>
    <m/>
    <m/>
    <m/>
    <m/>
    <m/>
    <x v="11"/>
  </r>
  <r>
    <d v="2023-03-27T12:28:45"/>
    <x v="5"/>
    <s v="Centre de Gueckédou"/>
    <s v="Individuel"/>
    <s v="Bamba Kémoko"/>
    <n v="622552214"/>
    <m/>
    <s v="Guendembou"/>
    <n v="15"/>
    <s v="Labour - uniquement"/>
    <n v="2"/>
    <s v="Dôcronin"/>
    <s v="Zea Mays juste"/>
    <s v="3 mois"/>
    <d v="2023-03-27T00:00:00"/>
    <m/>
    <s v="Lamine Condé"/>
    <s v="Riz"/>
    <x v="1"/>
    <n v="2"/>
    <d v="2023-03-27T00:00:00"/>
    <x v="10"/>
    <m/>
    <m/>
    <m/>
    <m/>
    <m/>
    <m/>
    <m/>
    <x v="11"/>
  </r>
  <r>
    <d v="2023-03-28T11:05:23"/>
    <x v="5"/>
    <s v="Centre de Gueckédou"/>
    <s v="Collectif"/>
    <s v="Manty Condé"/>
    <n v="628190387"/>
    <m/>
    <s v="Guendembou"/>
    <n v="30"/>
    <s v="Labour - uniquement"/>
    <n v="5"/>
    <s v="Yaro"/>
    <s v="Solanum mélongena"/>
    <s v="3 mois"/>
    <d v="2023-03-28T00:00:00"/>
    <m/>
    <s v="Lamine Condé"/>
    <s v="Culture maraichère"/>
    <x v="1"/>
    <n v="5"/>
    <d v="2023-03-29T00:00:00"/>
    <x v="10"/>
    <m/>
    <m/>
    <m/>
    <m/>
    <m/>
    <m/>
    <m/>
    <x v="11"/>
  </r>
  <r>
    <d v="2023-03-29T14:23:29"/>
    <x v="5"/>
    <s v="Centre de Gueckédou"/>
    <s v="Individuel"/>
    <s v="Sékou Traoré"/>
    <n v="626445494"/>
    <m/>
    <s v="Guendembou"/>
    <n v="15"/>
    <s v="Labour - uniquement"/>
    <n v="1"/>
    <s v="Yokoyon"/>
    <s v="Inconnu"/>
    <s v="5 mois"/>
    <d v="2023-03-25T00:00:00"/>
    <m/>
    <s v="Lamine Condé"/>
    <s v="Riz"/>
    <x v="1"/>
    <n v="1"/>
    <d v="2023-03-25T00:00:00"/>
    <x v="7"/>
    <m/>
    <m/>
    <m/>
    <m/>
    <m/>
    <m/>
    <m/>
    <x v="11"/>
  </r>
  <r>
    <d v="2023-03-29T14:31:03"/>
    <x v="5"/>
    <s v="Centre de Gueckédou"/>
    <s v="Individuel"/>
    <s v="Ousmane Camara"/>
    <n v="628403137"/>
    <m/>
    <s v="Guendembou"/>
    <n v="25"/>
    <s v="Labour - uniquement"/>
    <n v="3"/>
    <s v="CK90"/>
    <s v="Inconnu"/>
    <s v="5 mois"/>
    <d v="2023-03-29T00:00:00"/>
    <m/>
    <s v="Lamine Condé"/>
    <s v="Riz"/>
    <x v="1"/>
    <n v="3"/>
    <d v="2023-03-30T00:00:00"/>
    <x v="10"/>
    <m/>
    <m/>
    <m/>
    <m/>
    <m/>
    <m/>
    <m/>
    <x v="11"/>
  </r>
  <r>
    <d v="2023-03-29T15:09:47"/>
    <x v="5"/>
    <s v="Centre de Gueckédou"/>
    <s v="Individuel"/>
    <s v="Manty Condé"/>
    <n v="628190387"/>
    <m/>
    <s v="Guendembou"/>
    <n v="25"/>
    <s v="Labour - uniquement"/>
    <n v="5"/>
    <s v="Yaro"/>
    <s v="Solanum mélongena"/>
    <s v="3 mois"/>
    <d v="2023-03-28T00:00:00"/>
    <s v="Cette femme a été enregistrée deux fois par ce que, dans la première demande de carburant j'ai mis 1000000 par oubli, sans Quoi c'est 2000000 qu'elle a versé sur le compte marchant."/>
    <s v="Lamine Condé"/>
    <s v="Culture maraichère"/>
    <x v="1"/>
    <n v="5"/>
    <d v="2023-03-29T00:00:00"/>
    <x v="10"/>
    <m/>
    <m/>
    <m/>
    <m/>
    <m/>
    <m/>
    <m/>
    <x v="11"/>
  </r>
  <r>
    <d v="2023-03-31T08:45:59"/>
    <x v="5"/>
    <s v="Centre de Gueckédou"/>
    <s v="Individuel"/>
    <s v="Mamady kourouma"/>
    <n v="621245366"/>
    <m/>
    <s v="Guendembou"/>
    <n v="25"/>
    <s v="Labour - uniquement"/>
    <n v="1"/>
    <s v="Morice"/>
    <s v="Inconnu"/>
    <s v="6 mois"/>
    <d v="2023-03-30T00:00:00"/>
    <m/>
    <s v="Lamine Condé"/>
    <s v="Riz"/>
    <x v="1"/>
    <n v="1"/>
    <d v="2023-03-31T00:00:00"/>
    <x v="10"/>
    <m/>
    <m/>
    <m/>
    <m/>
    <m/>
    <m/>
    <m/>
    <x v="11"/>
  </r>
  <r>
    <d v="2023-03-31T10:34:50"/>
    <x v="2"/>
    <s v="Bordeaux"/>
    <s v="Individuel"/>
    <s v="Sekou Diakité"/>
    <n v="628154646"/>
    <n v="0"/>
    <s v="Karifamoriyah"/>
    <n v="12"/>
    <s v="Labour - uniquement"/>
    <n v="1"/>
    <s v="Piment"/>
    <s v="Inconnu"/>
    <s v="5 mois"/>
    <d v="2023-03-31T00:00:00"/>
    <s v="Petit maraîcher"/>
    <s v="Moussa Alamako Keita"/>
    <s v="Culture maraichère"/>
    <x v="1"/>
    <n v="1"/>
    <d v="2023-03-31T00:00:00"/>
    <x v="10"/>
    <m/>
    <m/>
    <m/>
    <m/>
    <m/>
    <m/>
    <m/>
    <x v="11"/>
  </r>
  <r>
    <d v="2023-03-31T10:44:25"/>
    <x v="2"/>
    <s v="Bordeaux"/>
    <s v="Individuel"/>
    <s v="Ibrahima kalil Sidibe"/>
    <n v="628308285"/>
    <n v="0"/>
    <s v="Tinti-Oulen"/>
    <n v="12"/>
    <s v="Déchaumage"/>
    <n v="2"/>
    <s v="Soketa"/>
    <s v="Variété locale"/>
    <s v="5 mois"/>
    <d v="2023-04-01T00:00:00"/>
    <s v="Petit producteur"/>
    <s v="Moussa Alamako Keita"/>
    <s v="Riz"/>
    <x v="1"/>
    <n v="2"/>
    <d v="2023-03-31T00:00:00"/>
    <x v="10"/>
    <m/>
    <m/>
    <m/>
    <m/>
    <m/>
    <m/>
    <m/>
    <x v="11"/>
  </r>
  <r>
    <d v="2023-03-31T10:51:35"/>
    <x v="2"/>
    <s v="Bordeaux"/>
    <s v="Individuel"/>
    <s v="Ibrahima condé"/>
    <n v="666596193"/>
    <n v="0"/>
    <s v="Sabadou-Baranama"/>
    <n v="85"/>
    <s v="Déchaumage"/>
    <n v="2"/>
    <s v="Fakan"/>
    <s v="Variété locale"/>
    <s v="4 mois"/>
    <d v="2023-04-02T00:00:00"/>
    <s v="Petit producteur"/>
    <s v="Moussa Alamako Keita"/>
    <s v="Riz"/>
    <x v="1"/>
    <n v="2"/>
    <d v="2023-03-31T00:00:00"/>
    <x v="10"/>
    <m/>
    <m/>
    <m/>
    <m/>
    <m/>
    <m/>
    <m/>
    <x v="11"/>
  </r>
  <r>
    <d v="2023-03-31T14:17:55"/>
    <x v="5"/>
    <s v="Centre de Gueckédou"/>
    <s v="Individuel"/>
    <s v="Yamory Oularé"/>
    <n v="629193335"/>
    <m/>
    <s v="Guendembou"/>
    <n v="25"/>
    <s v="Labour - uniquement"/>
    <n v="2"/>
    <s v="Samaka"/>
    <s v="Inconnu"/>
    <s v="5 mois"/>
    <d v="2023-03-31T00:00:00"/>
    <m/>
    <s v="Lamine Condé"/>
    <s v="Riz"/>
    <x v="1"/>
    <n v="2"/>
    <d v="2023-03-31T00:00:00"/>
    <x v="10"/>
    <m/>
    <m/>
    <m/>
    <m/>
    <m/>
    <m/>
    <m/>
    <x v="11"/>
  </r>
  <r>
    <d v="2023-03-31T20:13:02"/>
    <x v="0"/>
    <s v="Direction préfectorale de l'agriculture et de l'élevage de Macenta"/>
    <s v="Individuel"/>
    <s v="Mathieu Millimouno"/>
    <n v="622564008"/>
    <m/>
    <s v="Daro"/>
    <n v="12"/>
    <s v="Labour - uniquement"/>
    <n v="3"/>
    <s v="Tamba Coulon"/>
    <s v="Oriza sativa"/>
    <s v="5 mois"/>
    <d v="2023-03-31T00:00:00"/>
    <s v="Pas"/>
    <s v="Alexandre Kpoghomou"/>
    <s v="Riz"/>
    <x v="1"/>
    <n v="5"/>
    <d v="2023-03-31T00:00:00"/>
    <x v="10"/>
    <s v="8MTA004T"/>
    <m/>
    <m/>
    <m/>
    <m/>
    <m/>
    <m/>
    <x v="11"/>
  </r>
  <r>
    <d v="2023-03-31T20:18:46"/>
    <x v="0"/>
    <s v="Direction préfectorale de l'agriculture et de l'élevage de Macenta"/>
    <s v="Individuel"/>
    <s v="Emmanuel kolamou"/>
    <n v="622901681"/>
    <m/>
    <s v="Macenta Centre"/>
    <n v="5"/>
    <s v="Labour - uniquement"/>
    <n v="2"/>
    <s v="Djoukeme"/>
    <s v="Oriza sativa"/>
    <s v="5 mois"/>
    <d v="2023-04-02T00:00:00"/>
    <s v="Pas"/>
    <s v="Alexandre Kpoghomou"/>
    <s v="Riz"/>
    <x v="1"/>
    <n v="2"/>
    <d v="2023-03-31T00:00:00"/>
    <x v="10"/>
    <m/>
    <m/>
    <m/>
    <m/>
    <m/>
    <m/>
    <m/>
    <x v="11"/>
  </r>
  <r>
    <d v="2023-04-01T08:54:39"/>
    <x v="5"/>
    <s v="Centre de Gueckédou"/>
    <s v="Collectif"/>
    <s v="Nanfadima Gnagbasara Kourouma"/>
    <n v="628787084"/>
    <m/>
    <s v="Terméssadou Djibo"/>
    <n v="34"/>
    <s v="Labour - uniquement"/>
    <n v="5"/>
    <s v="Abou"/>
    <s v="Inconnu"/>
    <s v="4 mois"/>
    <d v="2023-04-01T00:00:00"/>
    <m/>
    <s v="Lamine Condé"/>
    <s v="Riz"/>
    <x v="1"/>
    <n v="10"/>
    <d v="2023-04-01T00:00:00"/>
    <x v="10"/>
    <m/>
    <m/>
    <m/>
    <m/>
    <m/>
    <m/>
    <m/>
    <x v="11"/>
  </r>
  <r>
    <d v="2023-04-01T12:32:04"/>
    <x v="10"/>
    <s v="Commune urbaine"/>
    <s v="Individuel"/>
    <s v="Agrisamo SARL"/>
    <n v="625411748"/>
    <n v="625411748"/>
    <s v="Gbangbadou"/>
    <n v="18"/>
    <s v="Déchaumage"/>
    <n v="10"/>
    <s v="Locale"/>
    <s v="Locale"/>
    <s v="4 mois"/>
    <d v="2023-04-10T00:00:00"/>
    <s v="Korabo"/>
    <s v="Mamady 2 Camara"/>
    <s v="Maïs"/>
    <x v="1"/>
    <n v="10"/>
    <d v="2023-04-05T00:00:00"/>
    <x v="12"/>
    <m/>
    <m/>
    <m/>
    <m/>
    <m/>
    <m/>
    <m/>
    <x v="11"/>
  </r>
  <r>
    <d v="2023-04-02T15:07:58"/>
    <x v="6"/>
    <s v="Dinguiraye centre"/>
    <s v="Individuel"/>
    <s v="Thierno Ibrahima Barry"/>
    <n v="662434317"/>
    <m/>
    <s v="Kalinko"/>
    <n v="64"/>
    <s v="Déchaumage"/>
    <n v="2.5"/>
    <s v="Kaoulaka"/>
    <s v="Kaoulaka"/>
    <s v="5 mois"/>
    <d v="2023-04-03T00:00:00"/>
    <m/>
    <s v="Mamadou 1 Diallo"/>
    <s v="Riz"/>
    <x v="1"/>
    <n v="2.5"/>
    <d v="2023-04-02T00:00:00"/>
    <x v="12"/>
    <m/>
    <m/>
    <m/>
    <m/>
    <m/>
    <m/>
    <m/>
    <x v="12"/>
  </r>
  <r>
    <d v="2023-04-03T07:42:22"/>
    <x v="0"/>
    <s v="Direction préfectorale de l'agriculture et de l'élevage de Macenta"/>
    <s v="Individuel"/>
    <s v="Yakouba Keita"/>
    <n v="621816250"/>
    <m/>
    <s v="Kouankan"/>
    <n v="65"/>
    <s v="Labour - uniquement"/>
    <n v="13"/>
    <s v="Non"/>
    <s v="Non"/>
    <s v="3 mois"/>
    <d v="2023-04-10T00:00:00"/>
    <s v="Pas"/>
    <s v="Alexandre Kpoghomou"/>
    <s v="Fonio"/>
    <x v="1"/>
    <n v="5"/>
    <d v="2023-04-03T00:00:00"/>
    <x v="12"/>
    <m/>
    <m/>
    <m/>
    <m/>
    <m/>
    <m/>
    <m/>
    <x v="12"/>
  </r>
  <r>
    <d v="2023-04-03T09:46:46"/>
    <x v="0"/>
    <s v="Direction préfectorale de l'agriculture et de l'élevage de Macenta"/>
    <s v="Individuel"/>
    <s v="Zézé kourouma"/>
    <n v="628649465"/>
    <m/>
    <s v="Kouankan"/>
    <n v="90"/>
    <s v="Labour - uniquement"/>
    <s v="2."/>
    <s v="Djoukeme"/>
    <s v="Oriza sativa"/>
    <s v="5 mois"/>
    <d v="2023-04-03T00:00:00"/>
    <s v="2.5 ha sont versés"/>
    <s v="Alexandre Kpoghomou"/>
    <s v="Riz"/>
    <x v="1"/>
    <n v="2.5"/>
    <d v="2023-04-03T00:00:00"/>
    <x v="12"/>
    <m/>
    <m/>
    <m/>
    <m/>
    <m/>
    <m/>
    <m/>
    <x v="12"/>
  </r>
  <r>
    <d v="2023-04-03T10:21:25"/>
    <x v="8"/>
    <s v="Beyla Centre ville (PRODABEK)"/>
    <s v="Individuel"/>
    <s v="Abdoulaye Sangare"/>
    <n v="620161706"/>
    <m/>
    <s v="Lola Centre"/>
    <n v="180"/>
    <s v="Labour - uniquement"/>
    <n v="50"/>
    <s v="Maïs"/>
    <s v="Maïs"/>
    <s v="3 mois"/>
    <d v="2023-04-10T00:00:00"/>
    <s v="Probleme de pneus"/>
    <s v="Mohamed Billo Sangare"/>
    <s v="Maïs"/>
    <x v="0"/>
    <m/>
    <m/>
    <x v="0"/>
    <m/>
    <m/>
    <m/>
    <m/>
    <m/>
    <m/>
    <m/>
    <x v="12"/>
  </r>
  <r>
    <d v="2023-04-03T17:23:30"/>
    <x v="8"/>
    <s v="Beyla Centre ville (PRODABEK)"/>
    <s v="Individuel"/>
    <s v="Elhadj Kèmè Samouka Soumaoro"/>
    <n v="628659311"/>
    <m/>
    <s v="Beyla Centre"/>
    <n v="20"/>
    <s v="Labour - uniquement"/>
    <n v="4"/>
    <s v="Riz local"/>
    <s v="Riz local"/>
    <s v="6 mois"/>
    <d v="2023-04-07T00:00:00"/>
    <m/>
    <s v="Mohamed Billo Sangare"/>
    <s v="Riz"/>
    <x v="0"/>
    <m/>
    <m/>
    <x v="0"/>
    <m/>
    <m/>
    <m/>
    <m/>
    <m/>
    <m/>
    <m/>
    <x v="12"/>
  </r>
  <r>
    <d v="2023-04-03T17:29:53"/>
    <x v="8"/>
    <s v="Beyla Centre ville (PRODABEK)"/>
    <s v="Individuel"/>
    <s v="Vakaba Kourouma"/>
    <n v="623024358"/>
    <m/>
    <s v="Beyla Centre"/>
    <n v="25"/>
    <s v="Labour - uniquement"/>
    <n v="5"/>
    <s v="maïs hybride f1"/>
    <s v="Kabamano j"/>
    <s v="3 mois"/>
    <d v="2023-04-12T00:00:00"/>
    <m/>
    <s v="Mohamed Billo Sangare"/>
    <s v="Maïs"/>
    <x v="0"/>
    <m/>
    <m/>
    <x v="0"/>
    <m/>
    <m/>
    <m/>
    <m/>
    <m/>
    <m/>
    <m/>
    <x v="12"/>
  </r>
  <r>
    <d v="2023-04-03T17:32:40"/>
    <x v="8"/>
    <s v="Beyla Centre ville (PRODABEK)"/>
    <s v="Individuel"/>
    <s v="Soumailla Camara"/>
    <n v="622644426"/>
    <m/>
    <s v="Beyla Centre"/>
    <n v="15"/>
    <s v="Labour - uniquement"/>
    <n v="4"/>
    <s v="Riz local"/>
    <s v="local"/>
    <s v="4 mois"/>
    <d v="2023-04-13T00:00:00"/>
    <m/>
    <s v="Mohamed Billo Sangare"/>
    <s v="Riz"/>
    <x v="0"/>
    <m/>
    <m/>
    <x v="0"/>
    <m/>
    <m/>
    <m/>
    <m/>
    <m/>
    <m/>
    <m/>
    <x v="12"/>
  </r>
  <r>
    <d v="2023-04-03T17:36:23"/>
    <x v="8"/>
    <s v="Beyla Centre ville (PRODABEK)"/>
    <s v="Individuel"/>
    <s v="Mamady Sidibe"/>
    <n v="628660594"/>
    <m/>
    <s v="Beyla Centre"/>
    <n v="20"/>
    <s v="Labour - uniquement"/>
    <n v="3"/>
    <s v="riz local"/>
    <s v="local"/>
    <s v="4 mois"/>
    <d v="2023-04-11T00:00:00"/>
    <m/>
    <s v="Mohamed Billo Sangare"/>
    <s v="Riz"/>
    <x v="0"/>
    <m/>
    <m/>
    <x v="0"/>
    <m/>
    <m/>
    <m/>
    <m/>
    <m/>
    <m/>
    <m/>
    <x v="12"/>
  </r>
  <r>
    <d v="2023-04-03T17:42:15"/>
    <x v="8"/>
    <s v="Beyla Centre ville (PRODABEK)"/>
    <s v="Individuel"/>
    <s v="Oumar Donzo"/>
    <n v="622139331"/>
    <m/>
    <s v="Mousadou"/>
    <n v="10"/>
    <s v="Labour - uniquement"/>
    <n v="10"/>
    <s v="Riz local"/>
    <s v="local"/>
    <s v="6 mois"/>
    <d v="2023-04-15T00:00:00"/>
    <m/>
    <s v="Mohamed Billo Sangare"/>
    <s v="Riz"/>
    <x v="0"/>
    <m/>
    <m/>
    <x v="0"/>
    <m/>
    <m/>
    <m/>
    <m/>
    <m/>
    <m/>
    <m/>
    <x v="12"/>
  </r>
  <r>
    <d v="2023-04-03T17:46:20"/>
    <x v="8"/>
    <s v="Beyla Centre ville (PRODABEK)"/>
    <s v="Individuel"/>
    <s v="Sidiki Konate"/>
    <n v="611611460"/>
    <m/>
    <s v="Karala"/>
    <n v="140"/>
    <s v="Labour - uniquement"/>
    <n v="60"/>
    <s v="Riz local"/>
    <s v="local"/>
    <s v="6 mois"/>
    <d v="2023-04-10T00:00:00"/>
    <m/>
    <s v="Mohamed Billo Sangare"/>
    <s v="Riz"/>
    <x v="0"/>
    <m/>
    <m/>
    <x v="0"/>
    <m/>
    <m/>
    <m/>
    <m/>
    <m/>
    <m/>
    <m/>
    <x v="12"/>
  </r>
  <r>
    <d v="2023-04-04T10:12:14"/>
    <x v="11"/>
    <s v="Centre"/>
    <s v="Individuel"/>
    <s v="Abou Keita"/>
    <n v="620573331"/>
    <n v="620573331"/>
    <s v="Kérouane Centre"/>
    <n v="1"/>
    <s v="Labour - uniquement"/>
    <n v="2"/>
    <s v="Chinoi"/>
    <s v="Chinoi"/>
    <s v="9 mois"/>
    <d v="2023-04-06T00:00:00"/>
    <s v="Bien"/>
    <s v="Moussa Kadia Camara"/>
    <s v="Riz"/>
    <x v="1"/>
    <n v="2"/>
    <d v="2023-04-05T00:00:00"/>
    <x v="12"/>
    <m/>
    <m/>
    <m/>
    <m/>
    <m/>
    <m/>
    <m/>
    <x v="12"/>
  </r>
  <r>
    <d v="2023-04-04T15:34:06"/>
    <x v="0"/>
    <s v="Direction préfectorale de l'agriculture et de l'élevage de Macenta"/>
    <s v="Individuel"/>
    <s v="Delphine Gaou Beavogui"/>
    <n v="626211903"/>
    <m/>
    <s v="Macenta Centre"/>
    <n v="8"/>
    <s v="Labour - uniquement"/>
    <n v="4"/>
    <s v="Chinoiba"/>
    <s v="Oriza sativa"/>
    <s v="5 mois"/>
    <d v="2023-04-05T00:00:00"/>
    <s v="Pas"/>
    <s v="Alexandre Kpoghomou"/>
    <s v="Riz"/>
    <x v="1"/>
    <n v="4"/>
    <d v="2023-04-04T00:00:00"/>
    <x v="12"/>
    <m/>
    <m/>
    <m/>
    <m/>
    <m/>
    <m/>
    <m/>
    <x v="12"/>
  </r>
  <r>
    <d v="2023-04-04T17:05:19"/>
    <x v="0"/>
    <s v="Direction préfectorale de l'agriculture et de l'élevage de Macenta"/>
    <s v="Collectif"/>
    <s v="Groupement Maman Josianne"/>
    <n v="625865705"/>
    <n v="628650742"/>
    <s v="Macenta Centre"/>
    <n v="8"/>
    <s v="Labour - uniquement"/>
    <n v="4"/>
    <s v="Chinoiba"/>
    <s v="Oriza sativa"/>
    <s v="5 mois"/>
    <d v="2023-04-05T00:00:00"/>
    <s v="Pas"/>
    <s v="Alexandre Kpoghomou"/>
    <s v="Riz"/>
    <x v="1"/>
    <n v="4"/>
    <d v="2023-04-04T00:00:00"/>
    <x v="12"/>
    <m/>
    <m/>
    <m/>
    <m/>
    <m/>
    <m/>
    <m/>
    <x v="12"/>
  </r>
  <r>
    <d v="2023-04-05T09:28:11"/>
    <x v="2"/>
    <s v="Bordeaux"/>
    <s v="Individuel"/>
    <s v="Bangaly condé"/>
    <n v="620227110"/>
    <n v="0"/>
    <s v="Sabadou-Baranama"/>
    <n v="85"/>
    <s v="Déchaumage"/>
    <n v="5"/>
    <s v="Fakan"/>
    <s v="Variété locale"/>
    <s v="4 mois"/>
    <d v="2023-04-04T00:00:00"/>
    <s v="Petit producteur"/>
    <s v="Moussa Alamako Keita"/>
    <s v="Riz"/>
    <x v="1"/>
    <n v="5"/>
    <d v="2023-04-11T00:00:00"/>
    <x v="13"/>
    <m/>
    <m/>
    <m/>
    <m/>
    <m/>
    <m/>
    <m/>
    <x v="12"/>
  </r>
  <r>
    <d v="2023-04-05T09:52:06"/>
    <x v="8"/>
    <s v="Beyla Centre ville (PRODABEK)"/>
    <s v="Individuel"/>
    <s v="Vaman conde"/>
    <n v="622909583"/>
    <m/>
    <s v="Sinko"/>
    <n v="110"/>
    <s v="Labour - uniquement"/>
    <n v="6"/>
    <s v="Waka waka"/>
    <s v="Variete local"/>
    <s v="5 mois"/>
    <d v="2023-04-07T00:00:00"/>
    <m/>
    <s v="Mohamed Billo Sangare"/>
    <s v="Riz"/>
    <x v="1"/>
    <n v="6"/>
    <d v="2023-04-05T00:00:00"/>
    <x v="12"/>
    <m/>
    <m/>
    <m/>
    <m/>
    <m/>
    <m/>
    <m/>
    <x v="12"/>
  </r>
  <r>
    <d v="2023-04-05T09:57:44"/>
    <x v="8"/>
    <s v="Beyla ville (PRODABEK)"/>
    <s v="Individuel"/>
    <s v="Alpha Cisse"/>
    <n v="622602141"/>
    <m/>
    <s v="Guéassou"/>
    <n v="180"/>
    <s v="Labour - uniquement"/>
    <n v="50"/>
    <s v="Hybride F1"/>
    <s v="Hybride f1"/>
    <s v="3 mois"/>
    <d v="2023-04-26T00:00:00"/>
    <s v="Apres le ramadan"/>
    <s v="Mohamed Billo Sangare"/>
    <s v="Maïs"/>
    <x v="0"/>
    <m/>
    <m/>
    <x v="0"/>
    <m/>
    <m/>
    <m/>
    <m/>
    <m/>
    <m/>
    <m/>
    <x v="12"/>
  </r>
  <r>
    <d v="2023-04-05T10:05:23"/>
    <x v="8"/>
    <s v="Beyla centre ( PRODABEK)"/>
    <s v="Individuel"/>
    <s v="Lonceny Conde"/>
    <n v="620081313"/>
    <m/>
    <s v="Bossou"/>
    <n v="190"/>
    <s v="Labour - uniquement"/>
    <n v="30"/>
    <s v="local"/>
    <s v="local"/>
    <s v="3 mois"/>
    <d v="2023-04-28T00:00:00"/>
    <m/>
    <s v="Mohamed Billo Sangare"/>
    <s v="Maïs"/>
    <x v="0"/>
    <m/>
    <m/>
    <x v="0"/>
    <m/>
    <m/>
    <m/>
    <m/>
    <m/>
    <m/>
    <m/>
    <x v="12"/>
  </r>
  <r>
    <d v="2023-04-05T16:59:33"/>
    <x v="11"/>
    <s v="Centre"/>
    <s v="Individuel"/>
    <s v="Abou Keita"/>
    <n v="620268931"/>
    <n v="620268931"/>
    <s v="Kérouane Centre"/>
    <n v="1"/>
    <s v="Déchaumage"/>
    <n v="2"/>
    <s v="Chinois"/>
    <s v="Chinois"/>
    <s v="9 mois"/>
    <d v="2023-04-07T00:00:00"/>
    <s v="Bien"/>
    <s v="Moussa Kadia Camara"/>
    <s v="Riz"/>
    <x v="1"/>
    <n v="2"/>
    <d v="2023-04-05T00:00:00"/>
    <x v="12"/>
    <m/>
    <m/>
    <m/>
    <m/>
    <m/>
    <m/>
    <m/>
    <x v="12"/>
  </r>
  <r>
    <d v="2023-04-05T17:04:16"/>
    <x v="11"/>
    <s v="Centre"/>
    <s v="Individuel"/>
    <s v="Daouda Sylla"/>
    <n v="621268912"/>
    <n v="621268912"/>
    <s v="Kérouane Centre"/>
    <n v="6"/>
    <s v="Labour - uniquement"/>
    <n v="7"/>
    <s v="Djoufini"/>
    <s v="Djoufini"/>
    <s v="6 mois"/>
    <d v="2023-04-07T00:00:00"/>
    <s v="Bien"/>
    <s v="Moussa Kadia Camara"/>
    <s v="Riz"/>
    <x v="1"/>
    <n v="7"/>
    <d v="2023-04-06T00:00:00"/>
    <x v="12"/>
    <m/>
    <m/>
    <m/>
    <m/>
    <m/>
    <m/>
    <m/>
    <x v="12"/>
  </r>
  <r>
    <d v="2023-04-05T17:11:22"/>
    <x v="11"/>
    <s v="Centre"/>
    <s v="Individuel"/>
    <s v="Bassirou kourouma"/>
    <n v="622265990"/>
    <n v="622265990"/>
    <s v="Kérouane Centre"/>
    <n v="30"/>
    <s v="Labour - uniquement"/>
    <n v="13"/>
    <s v="Djoufini"/>
    <s v="Djoufini"/>
    <s v="6 mois"/>
    <d v="2023-04-07T00:00:00"/>
    <s v="Bien"/>
    <s v="Moussa Kadia Camara"/>
    <s v="Riz"/>
    <x v="1"/>
    <n v="13"/>
    <d v="2023-04-06T00:00:00"/>
    <x v="12"/>
    <m/>
    <m/>
    <m/>
    <m/>
    <m/>
    <m/>
    <m/>
    <x v="12"/>
  </r>
  <r>
    <d v="2023-04-05T22:14:45"/>
    <x v="12"/>
    <s v="Ouassou"/>
    <s v="Individuel"/>
    <s v="Moctar Diallo"/>
    <n v="628967115"/>
    <n v="628967115"/>
    <s v="Tanéné"/>
    <n v="30"/>
    <s v="Labour - uniquement"/>
    <n v="1"/>
    <s v="Baron"/>
    <s v="Baron"/>
    <s v="6 mois"/>
    <d v="2023-04-06T00:00:00"/>
    <s v="Disponible"/>
    <s v="Kissi Camara"/>
    <s v="Ananas"/>
    <x v="1"/>
    <n v="1"/>
    <d v="2023-04-11T00:00:00"/>
    <x v="13"/>
    <m/>
    <m/>
    <m/>
    <m/>
    <m/>
    <m/>
    <m/>
    <x v="12"/>
  </r>
  <r>
    <d v="2023-04-06T07:48:20"/>
    <x v="5"/>
    <s v="Centre de Gueckédou"/>
    <s v="Individuel"/>
    <s v="Sàa Souro Moundékeno"/>
    <n v="620652907"/>
    <m/>
    <s v="Terméssadou Djibo"/>
    <n v="4"/>
    <s v="Déchaumage"/>
    <n v="3"/>
    <s v="Ck90"/>
    <s v="Inconnu"/>
    <s v="4 mois"/>
    <d v="2023-04-05T00:00:00"/>
    <s v="NB:le nombre d'ha labouré chez sàa Souro Moundékeno est 3,5ha"/>
    <s v="Lamine Condé"/>
    <s v="Riz"/>
    <x v="1"/>
    <n v="3.5"/>
    <d v="2023-04-06T00:00:00"/>
    <x v="12"/>
    <m/>
    <m/>
    <m/>
    <m/>
    <m/>
    <m/>
    <m/>
    <x v="12"/>
  </r>
  <r>
    <d v="2023-04-06T10:33:16"/>
    <x v="0"/>
    <s v="Direction préfectorale de l'agriculture et de l'élevage de Macenta"/>
    <s v="Individuel"/>
    <s v="Alexandre kolié"/>
    <n v="623833035"/>
    <m/>
    <s v="Ourémai"/>
    <n v="18"/>
    <s v="Labour - uniquement"/>
    <n v="5"/>
    <s v="Djoukeme"/>
    <s v="Oriza sativa"/>
    <s v="5 mois"/>
    <d v="2023-04-16T00:00:00"/>
    <s v="Pas"/>
    <s v="Alexandre Kpoghomou"/>
    <s v="Riz"/>
    <x v="1"/>
    <n v="5"/>
    <d v="2023-04-06T00:00:00"/>
    <x v="12"/>
    <m/>
    <m/>
    <m/>
    <m/>
    <m/>
    <m/>
    <m/>
    <x v="12"/>
  </r>
  <r>
    <d v="2023-04-06T10:53:53"/>
    <x v="0"/>
    <s v="Direction préfectorale de l'agriculture et de l'élevage"/>
    <s v="Individuel"/>
    <s v="Mamadi Bereté"/>
    <n v="622833153"/>
    <m/>
    <s v="Kouankan"/>
    <n v="90"/>
    <s v="Labour - uniquement"/>
    <n v="5"/>
    <s v="Chinoiba"/>
    <s v="Oriza sativa"/>
    <s v="5 mois"/>
    <d v="2023-04-11T00:00:00"/>
    <s v="Pas"/>
    <s v="Alexandre Kpoghomou"/>
    <s v="Riz"/>
    <x v="1"/>
    <n v="12.5"/>
    <d v="2023-04-06T00:00:00"/>
    <x v="12"/>
    <m/>
    <m/>
    <m/>
    <m/>
    <m/>
    <m/>
    <m/>
    <x v="12"/>
  </r>
  <r>
    <d v="2023-04-06T11:03:44"/>
    <x v="5"/>
    <s v="Centre de Gueckédou"/>
    <s v="Individuel"/>
    <s v="Ive Solano"/>
    <n v="628392660"/>
    <m/>
    <s v="Guéckédou Centre"/>
    <n v="2"/>
    <s v="Labour - uniquement"/>
    <n v="1"/>
    <s v="Abou"/>
    <s v="Inconnu"/>
    <s v="4 mois"/>
    <d v="2023-04-06T00:00:00"/>
    <s v="NB: le nombre d'ha total labouré chez le producteur Ive Solano est 1,5ha."/>
    <s v="Lamine Condé"/>
    <s v="Riz"/>
    <x v="1"/>
    <n v="1.5"/>
    <d v="2023-04-06T00:00:00"/>
    <x v="12"/>
    <m/>
    <m/>
    <m/>
    <m/>
    <m/>
    <m/>
    <m/>
    <x v="12"/>
  </r>
  <r>
    <d v="2023-04-06T11:22:51"/>
    <x v="11"/>
    <s v="Centre"/>
    <s v="Individuel"/>
    <s v="N'faly kourouma"/>
    <n v="626918984"/>
    <n v="626918984"/>
    <s v="Kérouane Centre"/>
    <n v="1"/>
    <s v="Labour - uniquement"/>
    <n v="3"/>
    <s v="Chinois"/>
    <s v="Chinois"/>
    <s v="9 mois"/>
    <d v="2023-04-07T00:00:00"/>
    <s v="Bien"/>
    <s v="Moussa Kadia Camara"/>
    <s v="Riz"/>
    <x v="1"/>
    <n v="3"/>
    <d v="2023-04-06T00:00:00"/>
    <x v="12"/>
    <m/>
    <m/>
    <m/>
    <m/>
    <m/>
    <m/>
    <m/>
    <x v="12"/>
  </r>
  <r>
    <d v="2023-04-06T14:15:00"/>
    <x v="5"/>
    <s v="Centre de Gueckédou"/>
    <s v="Individuel"/>
    <s v="Facely Condé"/>
    <n v="621858667"/>
    <m/>
    <s v="Guéckédou Centre"/>
    <n v="2"/>
    <s v="Déchaumage"/>
    <n v="1"/>
    <s v="Sami (Abou)"/>
    <s v="Inconnu"/>
    <s v="4 mois"/>
    <d v="2023-04-06T00:00:00"/>
    <s v="NB:ce producteur Facely Condé a 1,5ha à labouré."/>
    <s v="Lamine Condé"/>
    <s v="Riz"/>
    <x v="1"/>
    <n v="1.5"/>
    <d v="2023-04-06T00:00:00"/>
    <x v="12"/>
    <m/>
    <m/>
    <m/>
    <m/>
    <m/>
    <m/>
    <m/>
    <x v="12"/>
  </r>
  <r>
    <d v="2023-04-09T09:52:52"/>
    <x v="11"/>
    <s v="Centre"/>
    <s v="Individuel"/>
    <s v="Mamadi Camara"/>
    <n v="625535317"/>
    <n v="624540251"/>
    <s v="Kérouane Centre"/>
    <n v="1"/>
    <s v="Labour - uniquement"/>
    <n v="4"/>
    <s v="Chinois"/>
    <s v="Chinois"/>
    <s v="9 mois"/>
    <d v="2023-04-10T00:00:00"/>
    <m/>
    <s v="Moussa Kadia Camara"/>
    <s v="Riz"/>
    <x v="1"/>
    <n v="4"/>
    <d v="2023-04-10T00:00:00"/>
    <x v="13"/>
    <m/>
    <m/>
    <m/>
    <m/>
    <m/>
    <m/>
    <m/>
    <x v="13"/>
  </r>
  <r>
    <d v="2023-04-09T09:55:47"/>
    <x v="11"/>
    <s v="Centre"/>
    <s v="Individuel"/>
    <s v="Moussa Sylla"/>
    <n v="621277035"/>
    <n v="621277035"/>
    <s v="Kérouane Centre"/>
    <n v="3"/>
    <s v="Labour - uniquement"/>
    <n v="3"/>
    <s v="Samory"/>
    <s v="Samory"/>
    <s v="5 mois"/>
    <d v="2023-04-10T00:00:00"/>
    <m/>
    <s v="Moussa Kadia Camara"/>
    <s v="Riz"/>
    <x v="1"/>
    <n v="3"/>
    <d v="2023-04-10T00:00:00"/>
    <x v="13"/>
    <m/>
    <m/>
    <m/>
    <m/>
    <m/>
    <m/>
    <m/>
    <x v="13"/>
  </r>
  <r>
    <d v="2023-04-09T09:58:45"/>
    <x v="11"/>
    <s v="Centre"/>
    <s v="Individuel"/>
    <s v="Sidiky Camara"/>
    <n v="620769912"/>
    <n v="620769912"/>
    <s v="Kérouane Centre"/>
    <n v="3"/>
    <s v="Labour - uniquement"/>
    <n v="1"/>
    <s v="Djoufini"/>
    <s v="Djoufini"/>
    <s v="6 mois"/>
    <d v="2023-04-10T00:00:00"/>
    <m/>
    <s v="Moussa Kadia Camara"/>
    <s v="Riz"/>
    <x v="1"/>
    <n v="1"/>
    <d v="2023-04-10T00:00:00"/>
    <x v="13"/>
    <m/>
    <m/>
    <m/>
    <m/>
    <m/>
    <m/>
    <m/>
    <x v="13"/>
  </r>
  <r>
    <d v="2023-04-09T10:04:15"/>
    <x v="11"/>
    <s v="Centre"/>
    <s v="Individuel"/>
    <s v="Maman Barry"/>
    <n v="624621642"/>
    <n v="624621642"/>
    <s v="Kérouane Centre"/>
    <n v="2"/>
    <s v="Labour - uniquement"/>
    <n v="3"/>
    <s v="Djoufini"/>
    <s v="Djoufini"/>
    <s v="6 mois"/>
    <d v="2023-04-12T00:00:00"/>
    <m/>
    <s v="Moussa Kadia Camara"/>
    <s v="Riz"/>
    <x v="1"/>
    <n v="3"/>
    <d v="2023-04-10T00:00:00"/>
    <x v="13"/>
    <m/>
    <m/>
    <m/>
    <m/>
    <m/>
    <m/>
    <m/>
    <x v="13"/>
  </r>
  <r>
    <d v="2023-04-09T10:07:59"/>
    <x v="11"/>
    <s v="Centre"/>
    <s v="Individuel"/>
    <s v="Yomba Traoré"/>
    <n v="656545489"/>
    <n v="656545489"/>
    <s v="Kérouane Centre"/>
    <n v="3"/>
    <s v="Labour - uniquement"/>
    <n v="3"/>
    <s v="Samory"/>
    <s v="Samory"/>
    <s v="5 mois"/>
    <d v="2023-04-13T00:00:00"/>
    <m/>
    <s v="Moussa Kadia Camara"/>
    <s v="Riz"/>
    <x v="1"/>
    <n v="3"/>
    <d v="2023-04-10T00:00:00"/>
    <x v="13"/>
    <m/>
    <m/>
    <m/>
    <m/>
    <m/>
    <m/>
    <m/>
    <x v="13"/>
  </r>
  <r>
    <d v="2023-04-09T10:57:06"/>
    <x v="2"/>
    <s v="Bordeaux"/>
    <s v="Individuel"/>
    <s v="Lanciné condé"/>
    <n v="628395884"/>
    <n v="0"/>
    <s v="Koumban"/>
    <n v="40"/>
    <s v="Déchaumage"/>
    <n v="5"/>
    <s v="Chinois"/>
    <s v="Variété locale"/>
    <s v="6 mois"/>
    <d v="2023-04-10T00:00:00"/>
    <s v="Petit producteur"/>
    <s v="Moussa Alamako Keita"/>
    <s v="Riz"/>
    <x v="1"/>
    <n v="5"/>
    <d v="2023-04-11T00:00:00"/>
    <x v="13"/>
    <m/>
    <m/>
    <m/>
    <m/>
    <m/>
    <m/>
    <m/>
    <x v="13"/>
  </r>
  <r>
    <d v="2023-04-09T11:12:33"/>
    <x v="2"/>
    <s v="Bordeaux"/>
    <s v="Individuel"/>
    <s v="Idrissa condé"/>
    <n v="624171380"/>
    <n v="0"/>
    <s v="Sabadou-Baranama"/>
    <n v="85"/>
    <s v="Déchaumage"/>
    <n v="2"/>
    <s v="Kaoulaka"/>
    <s v="Variété locale"/>
    <s v="5 mois"/>
    <d v="2023-04-11T00:00:00"/>
    <s v="Petit producteur"/>
    <s v="Moussa Alamako Keita"/>
    <s v="Riz"/>
    <x v="1"/>
    <n v="2"/>
    <d v="2023-04-11T00:00:00"/>
    <x v="13"/>
    <m/>
    <m/>
    <m/>
    <m/>
    <m/>
    <m/>
    <m/>
    <x v="13"/>
  </r>
  <r>
    <d v="2023-04-10T09:00:04"/>
    <x v="5"/>
    <s v="Centre de Gueckédou"/>
    <s v="Individuel"/>
    <s v="Karifa Condé"/>
    <n v="623342705"/>
    <m/>
    <s v="Guendembou"/>
    <n v="25"/>
    <s v="Déchaumage"/>
    <n v="3"/>
    <s v="Yokoyon"/>
    <s v="Inconnu"/>
    <s v="5 mois"/>
    <d v="2023-04-10T00:00:00"/>
    <m/>
    <s v="Lamine Condé"/>
    <s v="Riz"/>
    <x v="1"/>
    <n v="4"/>
    <d v="2023-04-10T00:00:00"/>
    <x v="13"/>
    <m/>
    <m/>
    <m/>
    <m/>
    <m/>
    <m/>
    <m/>
    <x v="13"/>
  </r>
  <r>
    <d v="2023-04-10T12:53:37"/>
    <x v="11"/>
    <s v="Centre"/>
    <s v="Individuel"/>
    <s v="Soriba Doumbouya"/>
    <n v="628761042"/>
    <n v="628761042"/>
    <s v="Kérouane Centre"/>
    <n v="1"/>
    <s v="Labour - uniquement"/>
    <n v="2"/>
    <s v="Djoufini"/>
    <s v="Djoufini"/>
    <s v="6 mois"/>
    <d v="2023-04-12T00:00:00"/>
    <m/>
    <s v="Moussa Kadia Camara"/>
    <s v="Riz"/>
    <x v="1"/>
    <n v="1"/>
    <d v="2023-04-11T00:00:00"/>
    <x v="13"/>
    <m/>
    <m/>
    <m/>
    <m/>
    <m/>
    <m/>
    <m/>
    <x v="13"/>
  </r>
  <r>
    <d v="2023-04-10T13:02:56"/>
    <x v="11"/>
    <s v="Centre"/>
    <s v="Individuel"/>
    <s v="Ibrahima kourouma"/>
    <n v="622705736"/>
    <n v="622705736"/>
    <s v="Kérouane Centre"/>
    <n v="60"/>
    <s v="Labour - uniquement"/>
    <n v="10"/>
    <s v="Chinois"/>
    <s v="Chinois"/>
    <s v="9 mois"/>
    <d v="2023-04-10T00:00:00"/>
    <m/>
    <s v="Moussa Kadia Camara"/>
    <s v="Riz"/>
    <x v="1"/>
    <n v="10"/>
    <d v="2023-04-11T00:00:00"/>
    <x v="13"/>
    <m/>
    <m/>
    <m/>
    <m/>
    <m/>
    <m/>
    <m/>
    <x v="13"/>
  </r>
  <r>
    <d v="2023-04-10T13:06:29"/>
    <x v="11"/>
    <s v="Centre"/>
    <s v="Individuel"/>
    <s v="Abou Sylla"/>
    <n v="623379059"/>
    <n v="623379059"/>
    <s v="Kérouane Centre"/>
    <n v="6"/>
    <s v="Labour - uniquement"/>
    <n v="2"/>
    <s v="Samory"/>
    <s v="Samory"/>
    <s v="5 mois"/>
    <d v="2023-04-11T00:00:00"/>
    <m/>
    <s v="Moussa Kadia Camara"/>
    <s v="Riz"/>
    <x v="1"/>
    <n v="2"/>
    <d v="2023-04-11T00:00:00"/>
    <x v="13"/>
    <m/>
    <m/>
    <m/>
    <m/>
    <m/>
    <m/>
    <m/>
    <x v="13"/>
  </r>
  <r>
    <d v="2023-04-11T09:53:44"/>
    <x v="12"/>
    <s v="Ouassou"/>
    <s v="Individuel"/>
    <s v="Sacko camara"/>
    <n v="622003861"/>
    <n v="622003861"/>
    <s v="Tanéné"/>
    <n v="35"/>
    <s v="Labour - uniquement"/>
    <n v="2"/>
    <s v="Perta"/>
    <s v="Perta"/>
    <s v="4 mois"/>
    <d v="2023-04-11T00:00:00"/>
    <s v="Accord"/>
    <s v="Kissi Camara"/>
    <s v="Maïs"/>
    <x v="1"/>
    <n v="2"/>
    <d v="2023-04-11T00:00:00"/>
    <x v="13"/>
    <m/>
    <m/>
    <m/>
    <m/>
    <m/>
    <m/>
    <m/>
    <x v="13"/>
  </r>
  <r>
    <d v="2023-04-11T10:00:35"/>
    <x v="12"/>
    <s v="Ouassou"/>
    <s v="Individuel"/>
    <s v="Allassane kante"/>
    <n v="623145194"/>
    <n v="623145194"/>
    <s v="Koba-Tatema"/>
    <n v="10"/>
    <s v="Labour - uniquement"/>
    <n v="3"/>
    <s v="Balenta"/>
    <s v="Rock5"/>
    <s v="5 mois"/>
    <d v="2023-04-11T00:00:00"/>
    <s v="Accord"/>
    <s v="Kissi Camara"/>
    <s v="Riz"/>
    <x v="1"/>
    <n v="3"/>
    <d v="2023-04-11T00:00:00"/>
    <x v="13"/>
    <m/>
    <m/>
    <m/>
    <m/>
    <m/>
    <m/>
    <m/>
    <x v="13"/>
  </r>
  <r>
    <d v="2023-04-11T10:20:46"/>
    <x v="2"/>
    <s v="Bordeaux"/>
    <s v="Individuel"/>
    <s v="Nouhan sacko"/>
    <n v="621178661"/>
    <n v="0"/>
    <s v="Kankan Centre"/>
    <n v="5"/>
    <s v="Déchaumage"/>
    <n v="2"/>
    <s v="Chinois"/>
    <s v="Variété locale"/>
    <s v="6 mois"/>
    <d v="2023-04-11T00:00:00"/>
    <s v="Petit producteur"/>
    <s v="Moussa Alamako Keita"/>
    <s v="Riz"/>
    <x v="1"/>
    <n v="2"/>
    <d v="2023-04-11T00:00:00"/>
    <x v="13"/>
    <m/>
    <m/>
    <m/>
    <m/>
    <m/>
    <m/>
    <m/>
    <x v="13"/>
  </r>
  <r>
    <d v="2023-04-11T15:06:12"/>
    <x v="5"/>
    <s v="Centre de Gueckédou"/>
    <s v="Individuel"/>
    <s v="Amara Keita"/>
    <n v="623341409"/>
    <m/>
    <s v="Guendembou"/>
    <n v="25"/>
    <s v="Labour - uniquement"/>
    <n v="2"/>
    <s v="Maître six"/>
    <s v="Inconnu"/>
    <s v="6 mois"/>
    <d v="2023-04-11T00:00:00"/>
    <m/>
    <s v="Lamine Condé"/>
    <s v="Riz"/>
    <x v="1"/>
    <n v="2"/>
    <d v="2023-04-11T00:00:00"/>
    <x v="13"/>
    <m/>
    <m/>
    <m/>
    <m/>
    <m/>
    <m/>
    <m/>
    <x v="13"/>
  </r>
  <r>
    <d v="2023-04-12T17:38:37"/>
    <x v="5"/>
    <s v="Centre de Gueckédou"/>
    <s v="Individuel"/>
    <s v="Moussa Diallo"/>
    <n v="623327381"/>
    <m/>
    <s v="Guendembou"/>
    <n v="13"/>
    <s v="Labour - uniquement"/>
    <n v="4"/>
    <s v="Abou"/>
    <s v="Inconnu"/>
    <s v="4 mois"/>
    <d v="2023-04-12T00:00:00"/>
    <m/>
    <s v="Lamine Condé"/>
    <s v="Riz"/>
    <x v="1"/>
    <n v="4"/>
    <d v="2023-04-13T00:00:00"/>
    <x v="13"/>
    <m/>
    <m/>
    <m/>
    <m/>
    <m/>
    <m/>
    <m/>
    <x v="13"/>
  </r>
  <r>
    <d v="2023-04-13T12:06:26"/>
    <x v="5"/>
    <s v="Centre de Gueckédou"/>
    <s v="Individuel"/>
    <s v="Laye Keita"/>
    <n v="621582069"/>
    <m/>
    <s v="Guendembou"/>
    <n v="15"/>
    <s v="Déchaumage"/>
    <n v="1"/>
    <s v="Abou"/>
    <s v="Inconnu"/>
    <s v="4 mois"/>
    <d v="2023-04-13T00:00:00"/>
    <m/>
    <s v="Lamine Condé"/>
    <s v="Riz"/>
    <x v="1"/>
    <n v="1"/>
    <d v="2023-04-13T00:00:00"/>
    <x v="13"/>
    <m/>
    <m/>
    <m/>
    <m/>
    <m/>
    <m/>
    <m/>
    <x v="13"/>
  </r>
  <r>
    <d v="2023-04-13T15:30:35"/>
    <x v="5"/>
    <s v="Centre de Gueckédou"/>
    <s v="Individuel"/>
    <s v="Abdoulaye Sacko"/>
    <n v="621582069"/>
    <m/>
    <s v="Guendembou"/>
    <n v="15"/>
    <s v="Déchaumage"/>
    <n v="1"/>
    <s v="CK 90"/>
    <s v="Inconnu"/>
    <s v="6 mois"/>
    <d v="2023-04-13T00:00:00"/>
    <m/>
    <s v="Lamine Condé"/>
    <s v="Riz"/>
    <x v="1"/>
    <n v="1"/>
    <d v="2023-04-14T00:00:00"/>
    <x v="13"/>
    <m/>
    <m/>
    <m/>
    <m/>
    <m/>
    <m/>
    <m/>
    <x v="13"/>
  </r>
  <r>
    <d v="2023-04-13T17:27:32"/>
    <x v="2"/>
    <s v="Bordeaux"/>
    <s v="Collectif"/>
    <s v="Mamadi condé"/>
    <n v="620227830"/>
    <n v="0"/>
    <s v="Sabadou-Baranama"/>
    <n v="55"/>
    <s v="Déchaumage"/>
    <n v="15"/>
    <s v="Mamanigbe"/>
    <s v="Variété locale"/>
    <s v="6 mois"/>
    <d v="2023-04-15T00:00:00"/>
    <s v="Superficie collectée des petits producteurs"/>
    <s v="Moussa Alamako Keita"/>
    <s v="Riz"/>
    <x v="1"/>
    <n v="15"/>
    <d v="2023-04-14T00:00:00"/>
    <x v="13"/>
    <m/>
    <m/>
    <m/>
    <m/>
    <m/>
    <m/>
    <m/>
    <x v="13"/>
  </r>
  <r>
    <d v="2023-04-14T11:57:01"/>
    <x v="5"/>
    <s v="Centre de Gueckédou"/>
    <s v="Individuel"/>
    <s v="Daniel Léno"/>
    <n v="622555736"/>
    <m/>
    <s v="Guéckédou Centre"/>
    <n v="3"/>
    <s v="Déchaumage"/>
    <n v="1"/>
    <s v="Yokoyon"/>
    <s v="Inconnu"/>
    <s v="6 mois"/>
    <d v="2023-04-14T00:00:00"/>
    <m/>
    <s v="Lamine Condé"/>
    <s v="Igname"/>
    <x v="1"/>
    <n v="1"/>
    <d v="2023-04-14T00:00:00"/>
    <x v="13"/>
    <m/>
    <m/>
    <m/>
    <m/>
    <m/>
    <m/>
    <m/>
    <x v="13"/>
  </r>
  <r>
    <d v="2023-04-14T16:03:51"/>
    <x v="5"/>
    <s v="Centre de Gueckédou"/>
    <s v="Individuel"/>
    <s v="Elizabeth Tolno"/>
    <n v="620510765"/>
    <m/>
    <s v="Guéckédou Centre"/>
    <n v="2"/>
    <s v="Déchaumage"/>
    <n v="1"/>
    <s v="Samyon"/>
    <s v="Inconnu"/>
    <s v="4 mois"/>
    <d v="2023-04-14T00:00:00"/>
    <m/>
    <s v="Lamine Condé"/>
    <s v="Riz"/>
    <x v="1"/>
    <n v="1"/>
    <d v="2023-04-17T00:00:00"/>
    <x v="14"/>
    <m/>
    <m/>
    <m/>
    <m/>
    <m/>
    <m/>
    <m/>
    <x v="13"/>
  </r>
  <r>
    <d v="2023-04-14T21:09:31"/>
    <x v="0"/>
    <s v="Direction préfectorale de l'agriculture et de l'élevage de Macenta"/>
    <s v="Collectif"/>
    <s v="Association des agronomes retraité pour le développement de Macenta"/>
    <n v="622671405"/>
    <n v="622715005"/>
    <s v="Macenta Centre"/>
    <n v="12"/>
    <s v="Labour + Pulvérisation"/>
    <n v="5"/>
    <s v="Djoukeme"/>
    <s v="Oriza sativa"/>
    <s v="5 mois"/>
    <d v="2023-04-26T00:00:00"/>
    <s v="Pas"/>
    <s v="Alexandre Kpoghomou"/>
    <s v="Riz"/>
    <x v="1"/>
    <n v="5"/>
    <d v="2023-04-17T00:00:00"/>
    <x v="14"/>
    <m/>
    <m/>
    <m/>
    <m/>
    <m/>
    <m/>
    <m/>
    <x v="13"/>
  </r>
  <r>
    <d v="2023-04-16T12:10:58"/>
    <x v="5"/>
    <s v="Centre de Gueckédou"/>
    <s v="Individuel"/>
    <s v="Fara Sidy Kamano"/>
    <n v="622561829"/>
    <m/>
    <s v="Koundou"/>
    <n v="30"/>
    <s v="Déchaumage"/>
    <n v="8"/>
    <s v="Ganayon"/>
    <s v="Inconnu"/>
    <s v="6 mois"/>
    <d v="2023-04-18T00:00:00"/>
    <m/>
    <s v="Lamine Condé"/>
    <s v="Riz"/>
    <x v="1"/>
    <n v="8"/>
    <d v="2023-04-17T00:00:00"/>
    <x v="14"/>
    <m/>
    <m/>
    <m/>
    <m/>
    <m/>
    <m/>
    <m/>
    <x v="14"/>
  </r>
  <r>
    <d v="2023-04-17T09:59:44"/>
    <x v="12"/>
    <s v="Ouassou"/>
    <s v="Individuel"/>
    <s v="Sedouba camara"/>
    <n v="626352453"/>
    <n v="626352453"/>
    <s v="Koba-Tatema"/>
    <n v="7"/>
    <s v="Labour - uniquement"/>
    <n v="2"/>
    <s v="Balenta"/>
    <s v="Nereka"/>
    <s v="6 mois"/>
    <d v="2023-04-17T00:00:00"/>
    <s v="Accord"/>
    <s v="Kissi Camara"/>
    <s v="Riz"/>
    <x v="1"/>
    <n v="2"/>
    <d v="2023-04-17T00:00:00"/>
    <x v="14"/>
    <m/>
    <m/>
    <m/>
    <m/>
    <m/>
    <m/>
    <m/>
    <x v="14"/>
  </r>
  <r>
    <d v="2023-04-17T10:23:04"/>
    <x v="12"/>
    <s v="Ouassou"/>
    <s v="Individuel"/>
    <s v="Sekou kaba"/>
    <n v="629898667"/>
    <n v="629898667"/>
    <s v="Dubréka Centre"/>
    <n v="130"/>
    <s v="Labour - uniquement"/>
    <n v="2"/>
    <s v="Ronde"/>
    <s v="Pomme"/>
    <s v="3 mois"/>
    <d v="2023-04-19T00:00:00"/>
    <s v="Accord"/>
    <s v="Kissi Camara"/>
    <s v="Tomate"/>
    <x v="1"/>
    <n v="2"/>
    <d v="2023-04-17T00:00:00"/>
    <x v="14"/>
    <m/>
    <m/>
    <m/>
    <m/>
    <m/>
    <m/>
    <m/>
    <x v="14"/>
  </r>
  <r>
    <d v="2023-04-23T09:16:48"/>
    <x v="5"/>
    <s v="Centre de Gueckédou"/>
    <s v="Individuel"/>
    <s v="Fara Sidy Kamano"/>
    <n v="622561829"/>
    <m/>
    <s v="Koundou"/>
    <n v="30"/>
    <s v="Déchaumage"/>
    <n v="3"/>
    <s v="Ganayon"/>
    <s v="Inconnu"/>
    <s v="6 mois"/>
    <d v="2023-04-20T00:00:00"/>
    <m/>
    <s v="Lamine Condé"/>
    <s v="Riz"/>
    <x v="1"/>
    <n v="3"/>
    <d v="2023-04-23T00:00:00"/>
    <x v="15"/>
    <m/>
    <m/>
    <m/>
    <m/>
    <m/>
    <m/>
    <m/>
    <x v="15"/>
  </r>
  <r>
    <d v="2023-04-23T11:37:21"/>
    <x v="0"/>
    <s v="Direction préfectorale de l'agriculture et de l'élevage de Macenta"/>
    <s v="Individuel"/>
    <s v="Lanciné Diallo"/>
    <n v="621573030"/>
    <m/>
    <s v="Kouankan"/>
    <n v="80"/>
    <s v="Labour - uniquement"/>
    <n v="20"/>
    <s v="Djoukeme et chinoiba"/>
    <s v="Oriza sativa"/>
    <s v="5 mois"/>
    <d v="2023-04-27T00:00:00"/>
    <s v="Pas"/>
    <s v="Alexandre Kpoghomou"/>
    <s v="Riz"/>
    <x v="1"/>
    <n v="20"/>
    <d v="2023-04-24T00:00:00"/>
    <x v="15"/>
    <m/>
    <m/>
    <m/>
    <m/>
    <m/>
    <m/>
    <m/>
    <x v="15"/>
  </r>
  <r>
    <d v="2023-04-24T00:19:41"/>
    <x v="13"/>
    <s v="Aviation"/>
    <s v="Individuel"/>
    <s v="Lanciné cissé"/>
    <n v="629822877"/>
    <m/>
    <s v="Banfélé"/>
    <n v="150"/>
    <s v="Labour - uniquement"/>
    <n v="15"/>
    <s v="Mettre 6"/>
    <s v="Mettre 6"/>
    <s v="6 mois"/>
    <d v="2023-04-26T00:00:00"/>
    <s v="Balan ne figure pas sur la liste"/>
    <s v="Mohamed Fanta kourouma"/>
    <s v="Riz"/>
    <x v="1"/>
    <n v="15"/>
    <d v="2023-04-24T00:00:00"/>
    <x v="15"/>
    <m/>
    <m/>
    <m/>
    <m/>
    <m/>
    <m/>
    <m/>
    <x v="15"/>
  </r>
  <r>
    <d v="2023-04-24T12:30:32"/>
    <x v="11"/>
    <s v="Centre"/>
    <s v="Individuel"/>
    <s v="Daouda Camara"/>
    <n v="628356815"/>
    <n v="628356815"/>
    <s v="Kérouane Centre"/>
    <n v="7"/>
    <s v="Labour - uniquement"/>
    <n v="4"/>
    <s v="Djoufini"/>
    <s v="Djoufini"/>
    <s v="9 mois"/>
    <d v="2023-04-26T00:00:00"/>
    <s v="Bien"/>
    <s v="Moussa Kadia Camara"/>
    <s v="Riz"/>
    <x v="1"/>
    <n v="4"/>
    <d v="2023-04-25T00:00:00"/>
    <x v="15"/>
    <m/>
    <m/>
    <m/>
    <m/>
    <m/>
    <m/>
    <m/>
    <x v="15"/>
  </r>
  <r>
    <d v="2023-04-24T12:38:35"/>
    <x v="11"/>
    <s v="Centre"/>
    <s v="Individuel"/>
    <s v="Noumam Keita"/>
    <n v="622570581"/>
    <n v="622570581"/>
    <s v="Kérouane Centre"/>
    <n v="3"/>
    <s v="Labour - uniquement"/>
    <n v="4"/>
    <s v="CK 8"/>
    <s v="CK 8"/>
    <s v="6 mois"/>
    <d v="2023-04-27T00:00:00"/>
    <m/>
    <s v="Moussa Kadia Camara"/>
    <s v="Riz"/>
    <x v="1"/>
    <n v="4"/>
    <d v="2023-04-25T00:00:00"/>
    <x v="15"/>
    <m/>
    <m/>
    <m/>
    <m/>
    <m/>
    <m/>
    <m/>
    <x v="15"/>
  </r>
  <r>
    <d v="2023-04-24T12:43:33"/>
    <x v="11"/>
    <s v="Centre"/>
    <s v="Individuel"/>
    <s v="Youssouf Traoré"/>
    <n v="623039062"/>
    <n v="623039062"/>
    <s v="Kérouane Centre"/>
    <n v="8"/>
    <s v="Labour - uniquement"/>
    <n v="3"/>
    <s v="Samory"/>
    <s v="Samory"/>
    <s v="6 mois"/>
    <d v="2023-04-26T00:00:00"/>
    <m/>
    <s v="Moussa Kadia Camara"/>
    <s v="Riz"/>
    <x v="1"/>
    <n v="3"/>
    <d v="2023-04-25T00:00:00"/>
    <x v="15"/>
    <m/>
    <m/>
    <m/>
    <m/>
    <m/>
    <m/>
    <m/>
    <x v="15"/>
  </r>
  <r>
    <d v="2023-04-24T12:51:03"/>
    <x v="11"/>
    <s v="Centre"/>
    <s v="Individuel"/>
    <s v="Adama Konaté"/>
    <n v="620877548"/>
    <n v="620978548"/>
    <s v="Kérouane Centre"/>
    <n v="7"/>
    <s v="Labour - uniquement"/>
    <n v="2"/>
    <s v="Samory"/>
    <s v="Samory"/>
    <s v="6 mois"/>
    <d v="2023-04-26T00:00:00"/>
    <m/>
    <s v="Moussa Kadia Camara"/>
    <s v="Riz"/>
    <x v="1"/>
    <n v="2"/>
    <d v="2023-04-25T00:00:00"/>
    <x v="15"/>
    <m/>
    <m/>
    <m/>
    <m/>
    <m/>
    <m/>
    <m/>
    <x v="15"/>
  </r>
  <r>
    <d v="2023-04-24T12:54:25"/>
    <x v="11"/>
    <s v="Centre"/>
    <s v="Individuel"/>
    <s v="Moussa Camara"/>
    <n v="628569230"/>
    <n v="628569230"/>
    <s v="Kérouane Centre"/>
    <n v="3"/>
    <s v="Labour - uniquement"/>
    <n v="2"/>
    <s v="Samory"/>
    <s v="Samory"/>
    <s v="6 mois"/>
    <d v="2023-04-28T00:00:00"/>
    <m/>
    <s v="Moussa Kadia Camara"/>
    <s v="Riz"/>
    <x v="1"/>
    <n v="2"/>
    <d v="2023-04-25T00:00:00"/>
    <x v="15"/>
    <m/>
    <m/>
    <m/>
    <m/>
    <m/>
    <m/>
    <m/>
    <x v="15"/>
  </r>
  <r>
    <d v="2023-04-24T12:57:53"/>
    <x v="11"/>
    <s v="Centre"/>
    <s v="Individuel"/>
    <s v="Mamaridou Mory Camara"/>
    <n v="621169030"/>
    <n v="621169030"/>
    <s v="Kérouane Centre"/>
    <n v="14"/>
    <s v="Labour - uniquement"/>
    <n v="3"/>
    <s v="Djoufini"/>
    <s v="Djoufini"/>
    <s v="9 mois"/>
    <d v="2023-04-27T00:00:00"/>
    <m/>
    <s v="Moussa Kadia Camara"/>
    <s v="Riz"/>
    <x v="1"/>
    <n v="3"/>
    <d v="2023-04-25T00:00:00"/>
    <x v="15"/>
    <m/>
    <m/>
    <m/>
    <m/>
    <m/>
    <m/>
    <m/>
    <x v="15"/>
  </r>
  <r>
    <d v="2023-04-24T13:01:00"/>
    <x v="11"/>
    <s v="Centre"/>
    <s v="Individuel"/>
    <s v="Lancine Camara"/>
    <n v="620548116"/>
    <n v="620548116"/>
    <s v="Kérouane Centre"/>
    <n v="12"/>
    <s v="Labour - uniquement"/>
    <n v="2"/>
    <s v="Kaoulaka oulen"/>
    <s v="Kaoulaka oulen"/>
    <s v="5 mois"/>
    <d v="2023-04-27T00:00:00"/>
    <s v="Bien"/>
    <s v="Moussa Kadia Camara"/>
    <s v="Riz"/>
    <x v="1"/>
    <n v="2"/>
    <d v="2023-04-25T00:00:00"/>
    <x v="15"/>
    <m/>
    <m/>
    <m/>
    <m/>
    <m/>
    <m/>
    <m/>
    <x v="15"/>
  </r>
  <r>
    <d v="2023-04-24T13:30:28"/>
    <x v="11"/>
    <s v="Centre"/>
    <s v="Individuel"/>
    <s v="Mamadi berete"/>
    <n v="628236558"/>
    <n v="664077245"/>
    <s v="Kérouane Centre"/>
    <n v="7"/>
    <s v="Labour - uniquement"/>
    <n v="3"/>
    <s v="Sanbadji"/>
    <s v="Sanbadji"/>
    <s v="6 mois"/>
    <d v="2023-04-27T00:00:00"/>
    <m/>
    <s v="Moussa Kadia Camara"/>
    <s v="Riz"/>
    <x v="1"/>
    <n v="3"/>
    <d v="2023-04-25T00:00:00"/>
    <x v="15"/>
    <m/>
    <m/>
    <m/>
    <m/>
    <m/>
    <m/>
    <m/>
    <x v="15"/>
  </r>
  <r>
    <d v="2023-04-24T15:29:20"/>
    <x v="1"/>
    <s v="Fode Kaba KEITA"/>
    <s v="Individuel"/>
    <s v="Fodé Kaba KEITA"/>
    <n v="662611532"/>
    <m/>
    <s v="Siguiri Centre"/>
    <n v="3"/>
    <s v="Déchaumage"/>
    <n v="1"/>
    <s v="Nenkin"/>
    <s v="Nenkin"/>
    <s v="3 mois"/>
    <d v="2023-04-24T00:00:00"/>
    <m/>
    <s v="Nanamoudou ll Magassouba"/>
    <s v="Riz"/>
    <x v="1"/>
    <n v="1"/>
    <d v="2023-04-24T00:00:00"/>
    <x v="15"/>
    <m/>
    <m/>
    <m/>
    <m/>
    <m/>
    <m/>
    <m/>
    <x v="15"/>
  </r>
  <r>
    <d v="2023-04-24T16:49:18"/>
    <x v="12"/>
    <s v="Ouassou"/>
    <s v="Individuel"/>
    <s v="Mamadou Diallo"/>
    <n v="622249083"/>
    <n v="622249083"/>
    <s v="Koba"/>
    <n v="8"/>
    <s v="Labour - uniquement"/>
    <n v="26"/>
    <s v="Balenta"/>
    <s v="Rock5"/>
    <s v="6 mois"/>
    <d v="2023-04-24T00:00:00"/>
    <s v="Accord"/>
    <s v="Kissi Camara"/>
    <s v="Riz"/>
    <x v="1"/>
    <n v="2"/>
    <d v="2023-04-24T00:00:00"/>
    <x v="15"/>
    <m/>
    <m/>
    <m/>
    <m/>
    <m/>
    <m/>
    <m/>
    <x v="15"/>
  </r>
  <r>
    <d v="2023-04-24T17:08:19"/>
    <x v="10"/>
    <s v="Commune urbaine"/>
    <s v="Collectif"/>
    <s v="Sékou Kourouma"/>
    <n v="624527199"/>
    <n v="624527199"/>
    <s v="Gbangbadou"/>
    <n v="10"/>
    <s v="Labour - uniquement"/>
    <n v="5"/>
    <s v="CK90"/>
    <s v="CK 90"/>
    <s v="5 mois"/>
    <d v="2023-11-25T00:00:00"/>
    <s v="Ok"/>
    <s v="Mamady 2 Camara"/>
    <s v="Riz"/>
    <x v="1"/>
    <n v="5"/>
    <d v="2023-04-25T00:00:00"/>
    <x v="15"/>
    <m/>
    <m/>
    <m/>
    <m/>
    <m/>
    <m/>
    <m/>
    <x v="15"/>
  </r>
  <r>
    <d v="2023-04-24T18:32:32"/>
    <x v="10"/>
    <s v="Commune urbaine"/>
    <s v="Individuel"/>
    <s v="Fatouma tounkara"/>
    <n v="628359407"/>
    <n v="628359407"/>
    <s v="Kissidougou Centre"/>
    <n v="1"/>
    <s v="Labour - uniquement"/>
    <n v="2"/>
    <s v="CK 90"/>
    <s v="CK 90"/>
    <s v="5 mois"/>
    <d v="2023-04-25T00:00:00"/>
    <s v="m'balia"/>
    <s v="Mamady 2 Camara"/>
    <s v="Riz"/>
    <x v="0"/>
    <m/>
    <m/>
    <x v="0"/>
    <m/>
    <m/>
    <m/>
    <m/>
    <m/>
    <m/>
    <m/>
    <x v="15"/>
  </r>
  <r>
    <d v="2023-04-24T21:23:54"/>
    <x v="0"/>
    <s v="Direction préfectorale de l'agriculture et de l'élevage de Macenta"/>
    <s v="Individuel"/>
    <s v="Maman sovogui"/>
    <n v="622684055"/>
    <m/>
    <s v="Macenta Centre"/>
    <n v="12"/>
    <s v="Labour - uniquement"/>
    <n v="2"/>
    <s v="Djoukeme"/>
    <s v="Oriza sativa"/>
    <s v="5 mois"/>
    <d v="2023-04-27T00:00:00"/>
    <s v="Pas"/>
    <s v="Alexandre Kpoghomou"/>
    <s v="Riz"/>
    <x v="1"/>
    <n v="2"/>
    <d v="2023-04-25T00:00:00"/>
    <x v="15"/>
    <m/>
    <m/>
    <m/>
    <m/>
    <m/>
    <m/>
    <m/>
    <x v="15"/>
  </r>
  <r>
    <d v="2023-04-24T21:48:06"/>
    <x v="4"/>
    <s v="boké centre"/>
    <s v="Individuel"/>
    <s v="El Bah Souleymane"/>
    <n v="620467452"/>
    <n v="0"/>
    <s v="Tanéné"/>
    <n v="40"/>
    <s v="Labour + Pulvérisation"/>
    <n v="20"/>
    <s v="non"/>
    <s v="non"/>
    <s v="4 mois"/>
    <d v="2023-04-25T00:00:00"/>
    <s v="fin Avril 2023"/>
    <s v="Elhadj Souaré Mamadou Dian"/>
    <s v="Riz"/>
    <x v="0"/>
    <m/>
    <m/>
    <x v="0"/>
    <m/>
    <m/>
    <m/>
    <m/>
    <m/>
    <m/>
    <m/>
    <x v="15"/>
  </r>
  <r>
    <d v="2023-04-24T21:55:30"/>
    <x v="4"/>
    <s v="boké centre"/>
    <s v="Collectif"/>
    <s v="Soufiana Mandy"/>
    <n v="620467452"/>
    <n v="0"/>
    <s v="Kolaboui"/>
    <n v="35"/>
    <s v="Labour + Pulvérisation"/>
    <n v="20"/>
    <s v="non"/>
    <s v="non"/>
    <s v="5 mois"/>
    <d v="2023-05-01T00:00:00"/>
    <s v="dans kolaboui(kibola)"/>
    <s v="Elhadj Souaré Mamadou Dian"/>
    <s v="Riz"/>
    <x v="0"/>
    <m/>
    <m/>
    <x v="0"/>
    <m/>
    <m/>
    <m/>
    <m/>
    <m/>
    <m/>
    <m/>
    <x v="15"/>
  </r>
  <r>
    <d v="2023-04-24T22:00:58"/>
    <x v="4"/>
    <s v="boké centre"/>
    <s v="Collectif"/>
    <s v="Sana Keïta"/>
    <n v="620758936"/>
    <n v="0"/>
    <s v="Bintimodiya"/>
    <n v="75"/>
    <s v="Labour + Pulvérisation"/>
    <n v="25"/>
    <s v="non"/>
    <s v="non"/>
    <s v="5 mois"/>
    <d v="2023-05-01T00:00:00"/>
    <s v="A coftondé pour un groupement"/>
    <s v="Elhadj Souaré Mamadou Dian"/>
    <s v="Riz"/>
    <x v="0"/>
    <m/>
    <m/>
    <x v="0"/>
    <m/>
    <m/>
    <m/>
    <m/>
    <m/>
    <m/>
    <m/>
    <x v="15"/>
  </r>
  <r>
    <d v="2023-04-24T22:07:37"/>
    <x v="4"/>
    <s v="boké centre"/>
    <s v="Collectif"/>
    <s v="groupement exploitation terre rizicole"/>
    <n v="0"/>
    <n v="0"/>
    <s v="Kamsar"/>
    <n v="45"/>
    <s v="Labour + Pulvérisation"/>
    <n v="5"/>
    <s v="non"/>
    <s v="non"/>
    <s v="5 mois"/>
    <d v="2023-05-20T00:00:00"/>
    <s v="dans le kawass à momoyiré"/>
    <s v="Elhadj Souaré Mamadou Dian"/>
    <s v="Riz"/>
    <x v="0"/>
    <m/>
    <m/>
    <x v="0"/>
    <m/>
    <m/>
    <m/>
    <m/>
    <m/>
    <m/>
    <m/>
    <x v="15"/>
  </r>
  <r>
    <d v="2023-04-25T07:18:35"/>
    <x v="0"/>
    <s v="Direction préfectorale de l'agriculture et de l'élevage de Macenta"/>
    <s v="Individuel"/>
    <s v="Aly Bereté"/>
    <n v="627638414"/>
    <m/>
    <s v="Kouankan"/>
    <n v="90"/>
    <s v="Labour - uniquement"/>
    <n v="2"/>
    <s v="Chinoiba"/>
    <s v="Oriza sativa"/>
    <s v="5 mois"/>
    <d v="2023-04-27T00:00:00"/>
    <s v="Pas"/>
    <s v="Alexandre Kpoghomou"/>
    <s v="Riz"/>
    <x v="1"/>
    <n v="6"/>
    <d v="2023-04-25T00:00:00"/>
    <x v="15"/>
    <m/>
    <m/>
    <m/>
    <m/>
    <m/>
    <m/>
    <m/>
    <x v="15"/>
  </r>
  <r>
    <d v="2023-04-25T08:25:58"/>
    <x v="11"/>
    <s v="Centre"/>
    <s v="Individuel"/>
    <s v="Sidjano"/>
    <n v="623697128"/>
    <n v="623697128"/>
    <s v="Kérouane Centre"/>
    <n v="5"/>
    <s v="Labour - uniquement"/>
    <n v="2"/>
    <s v="Samory"/>
    <s v="Samory"/>
    <s v="5 mois"/>
    <d v="2023-04-24T00:00:00"/>
    <m/>
    <s v="Moussa Kadia Camara"/>
    <s v="Riz"/>
    <x v="1"/>
    <n v="2"/>
    <d v="2023-04-25T00:00:00"/>
    <x v="15"/>
    <m/>
    <m/>
    <m/>
    <m/>
    <m/>
    <m/>
    <m/>
    <x v="15"/>
  </r>
  <r>
    <d v="2023-04-25T08:30:09"/>
    <x v="11"/>
    <s v="Centre"/>
    <s v="Individuel"/>
    <s v="Fodé Camara"/>
    <n v="629570595"/>
    <n v="629570595"/>
    <s v="Kérouane Centre"/>
    <n v="3"/>
    <s v="Labour - uniquement"/>
    <n v="2"/>
    <s v="Moussagbe"/>
    <s v="Moussagbe"/>
    <s v="9 mois"/>
    <d v="2023-04-23T00:00:00"/>
    <m/>
    <s v="Moussa Kadia Camara"/>
    <s v="Riz"/>
    <x v="1"/>
    <n v="2"/>
    <d v="2023-04-25T00:00:00"/>
    <x v="15"/>
    <m/>
    <m/>
    <m/>
    <m/>
    <m/>
    <m/>
    <m/>
    <x v="15"/>
  </r>
  <r>
    <d v="2023-04-25T09:12:31"/>
    <x v="12"/>
    <s v="Ouassou"/>
    <s v="Individuel"/>
    <s v="Hadja mama fofana"/>
    <n v="622401840"/>
    <n v="622401840"/>
    <s v="Tanéné"/>
    <n v="25"/>
    <s v="Labour - uniquement"/>
    <n v="2"/>
    <s v="Rouge"/>
    <s v="Nigerianne"/>
    <s v="9 mois"/>
    <d v="2023-04-26T00:00:00"/>
    <s v="Accord"/>
    <s v="Kissi Camara"/>
    <s v="Manioc"/>
    <x v="1"/>
    <n v="2"/>
    <d v="2023-04-25T00:00:00"/>
    <x v="15"/>
    <m/>
    <m/>
    <m/>
    <m/>
    <m/>
    <m/>
    <m/>
    <x v="15"/>
  </r>
  <r>
    <d v="2023-04-25T09:30:57"/>
    <x v="14"/>
    <s v="Koba"/>
    <s v="Individuel"/>
    <s v="Moussa Sangaré"/>
    <n v="621044012"/>
    <m/>
    <s v="Mankountan"/>
    <n v="175"/>
    <s v="Labour + Pulvérisation"/>
    <n v="40"/>
    <s v="Baga Malé"/>
    <s v="J'ignore"/>
    <s v="6 mois"/>
    <d v="2023-05-01T00:00:00"/>
    <m/>
    <s v="Alya Foulématou Camara"/>
    <s v="Riz"/>
    <x v="1"/>
    <n v="40"/>
    <d v="2023-05-08T00:00:00"/>
    <x v="16"/>
    <s v="3BFA001T"/>
    <m/>
    <m/>
    <m/>
    <m/>
    <m/>
    <m/>
    <x v="15"/>
  </r>
  <r>
    <d v="2023-04-25T09:38:20"/>
    <x v="14"/>
    <s v="Koba"/>
    <s v="Individuel"/>
    <s v="Mohamed Sylla"/>
    <n v="611586208"/>
    <m/>
    <s v="Tougnifili"/>
    <n v="160"/>
    <s v="Labour + Pulvérisation"/>
    <n v="2"/>
    <s v="Baga Malé"/>
    <s v="J'ignore"/>
    <s v="6 mois"/>
    <d v="2023-05-15T00:00:00"/>
    <s v="Manque criard de tracteur"/>
    <s v="Alya Foulématou Camara"/>
    <s v="Riz"/>
    <x v="0"/>
    <m/>
    <m/>
    <x v="0"/>
    <m/>
    <m/>
    <m/>
    <m/>
    <m/>
    <m/>
    <m/>
    <x v="15"/>
  </r>
  <r>
    <d v="2023-04-25T11:41:06"/>
    <x v="1"/>
    <s v="Siguiri"/>
    <s v="Individuel"/>
    <s v="Nanamoudou MAGASSOUBA"/>
    <n v="628736025"/>
    <m/>
    <s v="Siguiri Centre"/>
    <n v="2"/>
    <s v="Déchaumage"/>
    <n v="1"/>
    <s v="Dissibawoulen"/>
    <s v="Dissibawoulen"/>
    <s v="4 mois"/>
    <d v="2023-04-27T00:00:00"/>
    <m/>
    <s v="Nanamoudou ll Magassouba"/>
    <s v="Riz"/>
    <x v="0"/>
    <m/>
    <m/>
    <x v="0"/>
    <m/>
    <m/>
    <m/>
    <m/>
    <m/>
    <m/>
    <m/>
    <x v="15"/>
  </r>
  <r>
    <d v="2023-04-25T14:37:08"/>
    <x v="7"/>
    <s v="Cours du bloc Administratif"/>
    <s v="Collectif"/>
    <s v="Madou kanté"/>
    <n v="622384741"/>
    <m/>
    <s v="Dialakoro"/>
    <n v="138"/>
    <s v="Labour + Pulvérisation"/>
    <n v="50"/>
    <s v="Kamiaba,nenken, 52"/>
    <s v="Ne connais pas"/>
    <s v="4 mois"/>
    <d v="2023-05-15T00:00:00"/>
    <m/>
    <s v="Nounkè Doumbouya"/>
    <s v="Riz"/>
    <x v="0"/>
    <m/>
    <m/>
    <x v="0"/>
    <m/>
    <m/>
    <m/>
    <m/>
    <m/>
    <m/>
    <m/>
    <x v="15"/>
  </r>
  <r>
    <d v="2023-04-25T14:42:44"/>
    <x v="7"/>
    <s v="Cours du bloc Administratif"/>
    <s v="Collectif"/>
    <s v="Fassiriman KONATÉ"/>
    <n v="622722909"/>
    <m/>
    <s v="Mandiana Centre"/>
    <n v="28"/>
    <s v="Labour + Pulvérisation"/>
    <n v="115"/>
    <s v="Kaolac, sweta"/>
    <s v="Ne connais pas"/>
    <s v="5 mois"/>
    <d v="2023-04-29T00:00:00"/>
    <s v="La localité s'appel Kodiaran elle est érigé en sous préfecture"/>
    <s v="Nounkè Doumbouya"/>
    <s v="Riz"/>
    <x v="1"/>
    <n v="15"/>
    <d v="2023-05-04T00:00:00"/>
    <x v="17"/>
    <s v="7MNA001T"/>
    <m/>
    <m/>
    <m/>
    <m/>
    <m/>
    <m/>
    <x v="15"/>
  </r>
  <r>
    <d v="2023-04-25T16:31:05"/>
    <x v="9"/>
    <s v="Forecariah"/>
    <s v="Individuel"/>
    <s v="Almamy daouda touré"/>
    <n v="628284857"/>
    <m/>
    <s v="Alassoya"/>
    <n v="10"/>
    <s v="Labour - uniquement"/>
    <n v="5"/>
    <s v="CK90"/>
    <s v="CK90"/>
    <s v="4 mois"/>
    <d v="2023-04-26T00:00:00"/>
    <m/>
    <s v="Diamouré keita"/>
    <s v="Riz"/>
    <x v="1"/>
    <n v="5"/>
    <d v="2023-04-25T00:00:00"/>
    <x v="15"/>
    <m/>
    <m/>
    <m/>
    <m/>
    <m/>
    <m/>
    <m/>
    <x v="15"/>
  </r>
  <r>
    <d v="2023-04-26T08:54:58"/>
    <x v="10"/>
    <s v="Commune urbaine"/>
    <s v="Individuel"/>
    <s v="Kalil savane"/>
    <n v="622668258"/>
    <n v="622668258"/>
    <s v="Kissidougou Centre"/>
    <n v="500"/>
    <s v="Labour - uniquement"/>
    <n v="1"/>
    <s v="CK90"/>
    <s v="CK90"/>
    <s v="5 mois"/>
    <d v="2023-04-26T00:00:00"/>
    <s v="Ok"/>
    <s v="Mamady 2 Camara"/>
    <s v="Riz"/>
    <x v="1"/>
    <n v="1"/>
    <d v="2023-04-26T00:00:00"/>
    <x v="15"/>
    <m/>
    <m/>
    <m/>
    <m/>
    <m/>
    <m/>
    <m/>
    <x v="15"/>
  </r>
  <r>
    <d v="2023-04-26T11:22:37"/>
    <x v="10"/>
    <s v="Commune urbaine"/>
    <s v="Individuel"/>
    <s v="Alpha Kamano"/>
    <n v="620151101"/>
    <n v="620151101"/>
    <s v="Beindou"/>
    <n v="7"/>
    <s v="Labour - uniquement"/>
    <n v="1"/>
    <s v="CK 90"/>
    <s v="CK 90"/>
    <s v="5 mois"/>
    <d v="2023-04-27T00:00:00"/>
    <s v="Ok"/>
    <s v="Mamady 2 Camara"/>
    <s v="Riz"/>
    <x v="1"/>
    <n v="1"/>
    <d v="2023-05-02T00:00:00"/>
    <x v="17"/>
    <s v="6KOU007T"/>
    <m/>
    <m/>
    <m/>
    <m/>
    <m/>
    <m/>
    <x v="15"/>
  </r>
  <r>
    <d v="2023-04-26T12:07:57"/>
    <x v="10"/>
    <s v="Commune urbaine"/>
    <s v="Individuel"/>
    <s v="Laye tounkara"/>
    <n v="621066872"/>
    <n v="621066872"/>
    <s v="Fermesadou"/>
    <n v="7"/>
    <s v="Labour - uniquement"/>
    <n v="2"/>
    <s v="CK 90"/>
    <s v="CK 90"/>
    <s v="5 mois"/>
    <d v="2023-04-26T00:00:00"/>
    <s v="Ok"/>
    <s v="Mamady 2 Camara"/>
    <s v="Riz"/>
    <x v="1"/>
    <n v="2"/>
    <d v="2023-04-26T00:00:00"/>
    <x v="15"/>
    <m/>
    <m/>
    <m/>
    <m/>
    <m/>
    <m/>
    <m/>
    <x v="15"/>
  </r>
  <r>
    <d v="2023-04-26T12:09:17"/>
    <x v="15"/>
    <s v="Direction Préfectorale de l'Agriculture et de l'Élévage de Lola"/>
    <s v="Individuel"/>
    <s v="Seriffe Abibe"/>
    <n v="620164029"/>
    <m/>
    <s v="Lainé"/>
    <n v="12"/>
    <s v="Labour - uniquement"/>
    <n v="10"/>
    <s v="Rokeïta"/>
    <s v="Oriza sativa"/>
    <s v="5 mois"/>
    <d v="2023-05-01T00:00:00"/>
    <m/>
    <s v="Pokpa Delamou"/>
    <s v="Riz"/>
    <x v="0"/>
    <m/>
    <m/>
    <x v="0"/>
    <m/>
    <m/>
    <m/>
    <m/>
    <m/>
    <m/>
    <m/>
    <x v="15"/>
  </r>
  <r>
    <d v="2023-04-26T12:09:40"/>
    <x v="9"/>
    <s v="Forecariah"/>
    <s v="Individuel"/>
    <s v="Mouhamed conté"/>
    <n v="610388332"/>
    <m/>
    <s v="Maferenya"/>
    <n v="27"/>
    <s v="Labour - uniquement"/>
    <n v="4"/>
    <s v="perta"/>
    <s v="Perta"/>
    <s v="3 mois"/>
    <d v="2023-04-27T00:00:00"/>
    <m/>
    <s v="Diamouré keita"/>
    <s v="Maïs"/>
    <x v="1"/>
    <n v="4"/>
    <d v="2023-04-26T00:00:00"/>
    <x v="15"/>
    <m/>
    <m/>
    <m/>
    <m/>
    <m/>
    <m/>
    <m/>
    <x v="15"/>
  </r>
  <r>
    <d v="2023-04-26T12:44:47"/>
    <x v="10"/>
    <s v="Commune urbaine"/>
    <s v="Individuel"/>
    <s v="Agrisamo SARL"/>
    <n v="625411748"/>
    <n v="625411748"/>
    <s v="Fermesadou"/>
    <n v="5"/>
    <s v="Labour - uniquement"/>
    <n v="8"/>
    <s v="Local"/>
    <s v="Local"/>
    <s v="3 mois"/>
    <d v="2023-04-26T00:00:00"/>
    <s v="Ok"/>
    <s v="Mamady 2 Camara"/>
    <s v="Maïs"/>
    <x v="1"/>
    <n v="10"/>
    <d v="2023-05-11T00:00:00"/>
    <x v="16"/>
    <s v="6KOU001T"/>
    <m/>
    <m/>
    <m/>
    <m/>
    <m/>
    <m/>
    <x v="15"/>
  </r>
  <r>
    <d v="2023-04-26T13:34:04"/>
    <x v="2"/>
    <s v="Bordeaux"/>
    <s v="Individuel"/>
    <s v="Ibrahima condé"/>
    <n v="620115269"/>
    <n v="0"/>
    <s v="Sabadou-Baranama"/>
    <n v="85"/>
    <s v="Déchaumage"/>
    <n v="5"/>
    <s v="Tchotcho"/>
    <s v="Variété locale"/>
    <s v="6 mois"/>
    <d v="2023-04-28T00:00:00"/>
    <s v="Petit producteur"/>
    <s v="Moussa Alamako Keita"/>
    <s v="Riz"/>
    <x v="1"/>
    <n v="5"/>
    <d v="2023-04-26T00:00:00"/>
    <x v="15"/>
    <m/>
    <m/>
    <m/>
    <m/>
    <m/>
    <m/>
    <m/>
    <x v="15"/>
  </r>
  <r>
    <d v="2023-04-26T16:20:28"/>
    <x v="8"/>
    <s v="Beyla centre"/>
    <s v="Individuel"/>
    <s v="Moussa Bamba"/>
    <n v="623239422"/>
    <m/>
    <s v="Gbéssoba"/>
    <n v="130"/>
    <s v="Labour - uniquement"/>
    <n v="20"/>
    <s v="Djoufini"/>
    <s v="Djoufini"/>
    <s v="5 mois"/>
    <d v="2023-04-27T00:00:00"/>
    <m/>
    <s v="Moussa Conde"/>
    <s v="Riz"/>
    <x v="1"/>
    <n v="20"/>
    <d v="2023-04-27T00:00:00"/>
    <x v="15"/>
    <m/>
    <m/>
    <m/>
    <m/>
    <m/>
    <m/>
    <m/>
    <x v="15"/>
  </r>
  <r>
    <d v="2023-04-26T16:26:03"/>
    <x v="8"/>
    <s v="Beyla centre"/>
    <s v="Individuel"/>
    <s v="Sekou Conde"/>
    <n v="629086697"/>
    <m/>
    <s v="Diarraguerela"/>
    <n v="80"/>
    <s v="Labour - uniquement"/>
    <n v="12"/>
    <s v="Malogbèny"/>
    <s v="Riz blanc"/>
    <s v="4 mois"/>
    <d v="2023-04-27T00:00:00"/>
    <m/>
    <s v="Moussa Conde"/>
    <s v="Riz"/>
    <x v="1"/>
    <n v="12"/>
    <d v="2023-04-27T00:00:00"/>
    <x v="15"/>
    <m/>
    <m/>
    <m/>
    <m/>
    <m/>
    <m/>
    <m/>
    <x v="15"/>
  </r>
  <r>
    <d v="2023-04-26T16:32:11"/>
    <x v="8"/>
    <s v="Beyla"/>
    <s v="Individuel"/>
    <s v="Moussa Traoré"/>
    <n v="620453004"/>
    <m/>
    <s v="Boola"/>
    <n v="10"/>
    <s v="Labour - uniquement"/>
    <n v="7"/>
    <s v="Riz blanc"/>
    <s v="Riz blanc"/>
    <s v="5 mois"/>
    <d v="2023-04-27T00:00:00"/>
    <m/>
    <s v="Moussa Conde"/>
    <s v="Riz"/>
    <x v="1"/>
    <n v="7"/>
    <d v="2023-04-27T00:00:00"/>
    <x v="15"/>
    <m/>
    <m/>
    <m/>
    <m/>
    <m/>
    <m/>
    <m/>
    <x v="15"/>
  </r>
  <r>
    <d v="2023-04-26T16:39:31"/>
    <x v="8"/>
    <s v="Beyla centre"/>
    <s v="Individuel"/>
    <s v="Vamougnè Chérif"/>
    <n v="620269228"/>
    <m/>
    <s v="Nionsomoridou"/>
    <n v="10"/>
    <s v="Labour - uniquement"/>
    <n v="5"/>
    <s v="Djoukèmè"/>
    <s v="Riz"/>
    <s v="6 mois"/>
    <d v="2023-04-27T00:00:00"/>
    <m/>
    <s v="Moussa Conde"/>
    <s v="Riz"/>
    <x v="1"/>
    <n v="5"/>
    <d v="2023-04-27T00:00:00"/>
    <x v="15"/>
    <m/>
    <m/>
    <m/>
    <m/>
    <m/>
    <m/>
    <m/>
    <x v="15"/>
  </r>
  <r>
    <d v="2023-04-26T20:50:12"/>
    <x v="2"/>
    <s v="Bordeaux"/>
    <s v="Individuel"/>
    <s v="Kadia Keita"/>
    <n v="628597541"/>
    <n v="0"/>
    <s v="Koumban"/>
    <n v="40"/>
    <s v="Déchaumage"/>
    <n v="9"/>
    <s v="Chinois"/>
    <s v="Variété locale"/>
    <s v="6 mois"/>
    <d v="2023-04-26T00:00:00"/>
    <s v="Grande productrice"/>
    <s v="Moussa Alamako Keita"/>
    <s v="Riz"/>
    <x v="1"/>
    <n v="9"/>
    <d v="2023-04-27T00:00:00"/>
    <x v="15"/>
    <m/>
    <m/>
    <m/>
    <m/>
    <m/>
    <m/>
    <m/>
    <x v="15"/>
  </r>
  <r>
    <d v="2023-04-26T21:59:51"/>
    <x v="15"/>
    <s v="Direction préfectorale de l' agriculture et de l'élevage"/>
    <s v="Individuel"/>
    <s v="Pierre Ninamou"/>
    <n v="624411913"/>
    <m/>
    <s v="Lainé"/>
    <n v="10"/>
    <s v="Labour - uniquement"/>
    <n v="5"/>
    <s v="Opatempa jaune"/>
    <s v="Zea Maïs"/>
    <s v="3 mois"/>
    <d v="2023-05-01T00:00:00"/>
    <m/>
    <s v="Pokpa Delamou"/>
    <s v="Maïs"/>
    <x v="1"/>
    <n v="26.5"/>
    <d v="2023-05-06T00:00:00"/>
    <x v="17"/>
    <s v="8LLA002T"/>
    <m/>
    <m/>
    <m/>
    <m/>
    <m/>
    <m/>
    <x v="15"/>
  </r>
  <r>
    <d v="2023-04-27T06:52:50"/>
    <x v="0"/>
    <s v="Direction préfectorale de l'agriculture et de l'élevage de Macenta"/>
    <s v="Individuel"/>
    <s v="Mory Sangaré"/>
    <n v="624420356"/>
    <m/>
    <s v="Kouankan"/>
    <n v="90"/>
    <s v="Labour - uniquement"/>
    <n v="2"/>
    <s v="Chinoiba"/>
    <s v="Oriza sativa"/>
    <s v="5 mois"/>
    <d v="2023-04-29T00:00:00"/>
    <s v="Pas"/>
    <s v="Alexandre Kpoghomou"/>
    <s v="Riz"/>
    <x v="1"/>
    <n v="6"/>
    <d v="2023-04-27T00:00:00"/>
    <x v="15"/>
    <m/>
    <m/>
    <m/>
    <m/>
    <m/>
    <m/>
    <m/>
    <x v="15"/>
  </r>
  <r>
    <d v="2023-04-27T06:57:23"/>
    <x v="0"/>
    <s v="Direction préfectorale de l'agriculture et de l'élevage de Macenta"/>
    <s v="Individuel"/>
    <s v="Moussa kourouma"/>
    <n v="624327385"/>
    <m/>
    <s v="Kouankan"/>
    <n v="90"/>
    <s v="Labour - uniquement"/>
    <n v="3"/>
    <s v="Chinoiba"/>
    <s v="Oriza sativa"/>
    <s v="5 mois"/>
    <d v="2023-04-30T00:00:00"/>
    <s v="Pas"/>
    <s v="Alexandre Kpoghomou"/>
    <s v="Riz"/>
    <x v="1"/>
    <n v="2"/>
    <d v="2023-04-27T00:00:00"/>
    <x v="15"/>
    <m/>
    <m/>
    <m/>
    <m/>
    <m/>
    <m/>
    <m/>
    <x v="15"/>
  </r>
  <r>
    <d v="2023-04-27T07:00:37"/>
    <x v="15"/>
    <s v="Direction préfectorale de l'agriculture et de l' élevage"/>
    <s v="Individuel"/>
    <s v="Mamadou kamara"/>
    <n v="621078717"/>
    <m/>
    <s v="Lainé"/>
    <n v="10"/>
    <s v="Labour - uniquement"/>
    <n v="10"/>
    <s v="Opatempa jaune"/>
    <s v="Zea Maïs"/>
    <s v="3 mois"/>
    <d v="2023-05-01T00:00:00"/>
    <m/>
    <s v="Pokpa Delamou"/>
    <s v="Maïs"/>
    <x v="0"/>
    <m/>
    <m/>
    <x v="0"/>
    <m/>
    <m/>
    <m/>
    <m/>
    <m/>
    <m/>
    <m/>
    <x v="15"/>
  </r>
  <r>
    <d v="2023-04-27T07:09:48"/>
    <x v="15"/>
    <s v="Direction préfectorale de l' agriculture et de l' élevage de lola"/>
    <s v="Individuel"/>
    <s v="Mamadou kamara"/>
    <n v="621078717"/>
    <m/>
    <s v="Lainé"/>
    <n v="10"/>
    <s v="Labour - uniquement"/>
    <n v="10"/>
    <s v="Manioc douce"/>
    <s v="Manihot utillisuma"/>
    <s v="4 mois"/>
    <d v="2023-05-07T00:00:00"/>
    <m/>
    <s v="Pokpa Delamou"/>
    <s v="Manioc"/>
    <x v="0"/>
    <m/>
    <m/>
    <x v="0"/>
    <m/>
    <m/>
    <m/>
    <m/>
    <m/>
    <m/>
    <m/>
    <x v="15"/>
  </r>
  <r>
    <d v="2023-04-27T10:36:09"/>
    <x v="10"/>
    <s v="Commune urbaine"/>
    <s v="Individuel"/>
    <s v="Fakaba Kaba"/>
    <n v="623968729"/>
    <n v="623968729"/>
    <s v="Kissidougou Centre"/>
    <n v="2"/>
    <s v="Labour - uniquement"/>
    <n v="3"/>
    <s v="CK 90"/>
    <s v="CK 90"/>
    <s v="5 mois"/>
    <d v="2023-04-27T00:00:00"/>
    <s v="OK"/>
    <s v="Mamady 2 Camara"/>
    <s v="Riz"/>
    <x v="1"/>
    <n v="3"/>
    <d v="2023-05-02T00:00:00"/>
    <x v="17"/>
    <s v="6KOU002T"/>
    <m/>
    <m/>
    <m/>
    <m/>
    <m/>
    <m/>
    <x v="15"/>
  </r>
  <r>
    <d v="2023-04-27T10:52:28"/>
    <x v="9"/>
    <s v="Forecariah"/>
    <s v="Individuel"/>
    <s v="Mouhamed Diané"/>
    <n v="627643822"/>
    <m/>
    <s v="Benty"/>
    <n v="73"/>
    <s v="Labour - uniquement"/>
    <n v="2"/>
    <s v="Clé mon ne de gombo"/>
    <s v="clé mon ne de gombo"/>
    <s v="5 mois"/>
    <d v="2023-04-30T00:00:00"/>
    <m/>
    <s v="Diamouré keita"/>
    <s v="Culture maraichère"/>
    <x v="1"/>
    <n v="2"/>
    <d v="2023-04-28T00:00:00"/>
    <x v="15"/>
    <s v="2FAH001T"/>
    <m/>
    <m/>
    <m/>
    <m/>
    <m/>
    <m/>
    <x v="15"/>
  </r>
  <r>
    <d v="2023-04-27T10:55:52"/>
    <x v="13"/>
    <s v="Aviation"/>
    <s v="Individuel"/>
    <s v="Baba traoré"/>
    <n v="620171202"/>
    <m/>
    <s v="Beindou"/>
    <n v="10"/>
    <s v="Labour - uniquement"/>
    <n v="2"/>
    <s v="Ck90"/>
    <s v="Ck90"/>
    <s v="4 mois"/>
    <d v="2023-04-30T00:00:00"/>
    <m/>
    <s v="Mohamed Fanta kourouma"/>
    <s v="Riz"/>
    <x v="1"/>
    <n v="2"/>
    <d v="2023-05-02T00:00:00"/>
    <x v="17"/>
    <s v="6FAH002T"/>
    <m/>
    <m/>
    <m/>
    <m/>
    <m/>
    <m/>
    <x v="15"/>
  </r>
  <r>
    <d v="2023-04-27T12:05:41"/>
    <x v="8"/>
    <s v="Beyla centre"/>
    <s v="Individuel"/>
    <s v="Ousmane Diabate"/>
    <n v="621039958"/>
    <m/>
    <s v="Samana"/>
    <n v="64"/>
    <s v="Labour - uniquement"/>
    <n v="10"/>
    <s v="Samoé"/>
    <s v="Riz"/>
    <s v="6 mois"/>
    <d v="2023-04-28T00:00:00"/>
    <m/>
    <s v="Moussa Conde"/>
    <s v="Riz"/>
    <x v="1"/>
    <n v="10"/>
    <d v="2023-04-27T00:00:00"/>
    <x v="15"/>
    <s v="8BLA010T"/>
    <m/>
    <m/>
    <m/>
    <m/>
    <m/>
    <m/>
    <x v="15"/>
  </r>
  <r>
    <d v="2023-04-27T12:48:39"/>
    <x v="2"/>
    <s v="Bordeaux"/>
    <s v="Collectif"/>
    <s v="Konkokele"/>
    <n v="628451165"/>
    <n v="0"/>
    <s v="Boula"/>
    <n v="185"/>
    <s v="Labour - uniquement"/>
    <n v="22"/>
    <s v="Samorikelet"/>
    <s v="Variété locale"/>
    <s v="4 mois"/>
    <d v="2023-05-05T00:00:00"/>
    <s v="Champ de groupement"/>
    <s v="Moussa Alamako Keita"/>
    <s v="Riz"/>
    <x v="0"/>
    <m/>
    <m/>
    <x v="0"/>
    <m/>
    <m/>
    <m/>
    <m/>
    <m/>
    <m/>
    <m/>
    <x v="15"/>
  </r>
  <r>
    <d v="2023-04-27T12:58:44"/>
    <x v="2"/>
    <s v="Bordeaux"/>
    <s v="Individuel"/>
    <s v="Bakary Sangare"/>
    <n v="624875107"/>
    <n v="0"/>
    <s v="Tinti-Oulen"/>
    <n v="20"/>
    <s v="Labour - uniquement"/>
    <n v="10"/>
    <s v="Kaoulaka"/>
    <s v="Variété locale"/>
    <s v="5 mois"/>
    <d v="2023-04-28T00:00:00"/>
    <s v="Producteur moins"/>
    <s v="Moussa Alamako Keita"/>
    <s v="Riz"/>
    <x v="1"/>
    <n v="10"/>
    <d v="2023-04-27T00:00:00"/>
    <x v="15"/>
    <m/>
    <m/>
    <m/>
    <m/>
    <m/>
    <m/>
    <m/>
    <x v="15"/>
  </r>
  <r>
    <d v="2023-04-27T20:10:15"/>
    <x v="16"/>
    <s v="Foundeng 1"/>
    <s v="Individuel"/>
    <s v="Mohamed Kourouma"/>
    <n v="622149331"/>
    <m/>
    <s v="Konindou"/>
    <n v="45"/>
    <s v="Labour - uniquement"/>
    <n v="5"/>
    <s v="Mais"/>
    <s v="Mais"/>
    <s v="3 mois"/>
    <d v="2023-05-15T00:00:00"/>
    <m/>
    <s v="Souleymane Kanté"/>
    <s v="Maïs"/>
    <x v="0"/>
    <m/>
    <m/>
    <x v="0"/>
    <m/>
    <m/>
    <m/>
    <m/>
    <m/>
    <m/>
    <m/>
    <x v="15"/>
  </r>
  <r>
    <d v="2023-04-28T08:11:06"/>
    <x v="11"/>
    <s v="Centre"/>
    <s v="Individuel"/>
    <s v="Lonceny Traoré"/>
    <n v="623400834"/>
    <n v="623400834"/>
    <s v="Kérouane Centre"/>
    <n v="7"/>
    <s v="Labour - uniquement"/>
    <n v="3"/>
    <s v="Samory"/>
    <s v="Samory"/>
    <s v="5 mois"/>
    <d v="2023-04-28T00:00:00"/>
    <m/>
    <s v="Moussa Kadia Camara"/>
    <s v="Riz"/>
    <x v="1"/>
    <n v="3"/>
    <d v="2023-04-28T00:00:00"/>
    <x v="15"/>
    <s v="7KNE007T"/>
    <m/>
    <m/>
    <m/>
    <m/>
    <m/>
    <m/>
    <x v="15"/>
  </r>
  <r>
    <d v="2023-04-28T08:15:19"/>
    <x v="11"/>
    <s v="Centre"/>
    <s v="Individuel"/>
    <s v="Mamadi Sidibé"/>
    <n v="623764754"/>
    <n v="623764754"/>
    <s v="Kérouane Centre"/>
    <n v="7"/>
    <s v="Labour - uniquement"/>
    <n v="3"/>
    <s v="Djoufini"/>
    <s v="Djoufini"/>
    <s v="6 mois"/>
    <d v="2023-04-28T00:00:00"/>
    <m/>
    <s v="Moussa Kadia Camara"/>
    <s v="Riz"/>
    <x v="1"/>
    <n v="3"/>
    <d v="2023-04-28T00:00:00"/>
    <x v="15"/>
    <s v="7KNE002T"/>
    <m/>
    <m/>
    <m/>
    <m/>
    <m/>
    <m/>
    <x v="15"/>
  </r>
  <r>
    <d v="2023-04-28T08:20:53"/>
    <x v="11"/>
    <s v="Centre"/>
    <s v="Individuel"/>
    <s v="Amara Camara"/>
    <n v="625331971"/>
    <n v="625331971"/>
    <s v="Kérouane Centre"/>
    <n v="7"/>
    <s v="Labour - uniquement"/>
    <n v="10"/>
    <s v="Samory Djoufini"/>
    <s v="Samory, Djoufini"/>
    <s v="5 mois"/>
    <d v="2023-04-28T00:00:00"/>
    <m/>
    <s v="Moussa Kadia Camara"/>
    <s v="Riz"/>
    <x v="1"/>
    <n v="10"/>
    <d v="2023-04-28T00:00:00"/>
    <x v="15"/>
    <s v="7KNE006T"/>
    <m/>
    <m/>
    <m/>
    <m/>
    <m/>
    <m/>
    <x v="15"/>
  </r>
  <r>
    <d v="2023-04-28T08:26:42"/>
    <x v="11"/>
    <s v="Centre"/>
    <s v="Individuel"/>
    <s v="Abou Touré"/>
    <n v="621630087"/>
    <n v="621630087"/>
    <s v="Kérouane Centre"/>
    <n v="7"/>
    <s v="Labour - uniquement"/>
    <n v="4"/>
    <s v="Samory"/>
    <s v="Samory"/>
    <s v="5 mois"/>
    <d v="2023-04-28T00:00:00"/>
    <m/>
    <s v="Moussa Kadia Camara"/>
    <s v="Riz"/>
    <x v="1"/>
    <n v="4"/>
    <d v="2023-04-28T00:00:00"/>
    <x v="15"/>
    <s v="7KNE002T"/>
    <m/>
    <m/>
    <m/>
    <m/>
    <m/>
    <m/>
    <x v="15"/>
  </r>
  <r>
    <d v="2023-04-28T08:30:21"/>
    <x v="11"/>
    <s v="Centre"/>
    <s v="Individuel"/>
    <s v="Fodé Keita"/>
    <n v="623039868"/>
    <n v="623039868"/>
    <s v="Kérouane Centre"/>
    <n v="7"/>
    <s v="Labour - uniquement"/>
    <n v="1"/>
    <s v="Samory"/>
    <s v="Samory"/>
    <s v="5 mois"/>
    <d v="2023-04-28T00:00:00"/>
    <m/>
    <s v="Moussa Kadia Camara"/>
    <s v="Riz"/>
    <x v="1"/>
    <n v="1"/>
    <d v="2023-04-28T00:00:00"/>
    <x v="15"/>
    <s v="7KNE002T"/>
    <m/>
    <m/>
    <m/>
    <m/>
    <m/>
    <m/>
    <x v="15"/>
  </r>
  <r>
    <d v="2023-04-28T08:32:35"/>
    <x v="11"/>
    <s v="Centre"/>
    <s v="Individuel"/>
    <s v="Mamadi Keita"/>
    <n v="628941416"/>
    <n v="628941416"/>
    <s v="Kérouane Centre"/>
    <n v="7"/>
    <s v="Labour - uniquement"/>
    <n v="1"/>
    <s v="Kaoulaka"/>
    <s v="Kaoulaka"/>
    <s v="5 mois"/>
    <d v="2023-04-28T00:00:00"/>
    <m/>
    <s v="Moussa Kadia Camara"/>
    <s v="Riz"/>
    <x v="1"/>
    <n v="1"/>
    <d v="2023-04-28T00:00:00"/>
    <x v="15"/>
    <s v="7KNE002T"/>
    <m/>
    <m/>
    <m/>
    <m/>
    <m/>
    <m/>
    <x v="15"/>
  </r>
  <r>
    <d v="2023-04-28T19:22:26"/>
    <x v="6"/>
    <s v="Dinguiraye centre"/>
    <s v="Individuel"/>
    <s v="Samba Diakité"/>
    <n v="623540264"/>
    <m/>
    <s v="Banora"/>
    <n v="80"/>
    <s v="Labour - uniquement"/>
    <n v="2"/>
    <s v="Morice"/>
    <s v="Morice"/>
    <s v="4 mois"/>
    <d v="2023-04-30T00:00:00"/>
    <m/>
    <s v="Mamadou 1 Diallo"/>
    <s v="Riz"/>
    <x v="1"/>
    <n v="2"/>
    <d v="2023-05-02T00:00:00"/>
    <x v="17"/>
    <s v="6DYE004T"/>
    <m/>
    <m/>
    <m/>
    <m/>
    <m/>
    <m/>
    <x v="15"/>
  </r>
  <r>
    <d v="2023-04-29T09:27:34"/>
    <x v="8"/>
    <s v="Beyla centre"/>
    <s v="Individuel"/>
    <s v="Mohamed kenneh"/>
    <n v="610622732"/>
    <m/>
    <s v="Guéassou"/>
    <n v="180"/>
    <s v="Labour - uniquement"/>
    <n v="25"/>
    <s v="Maïs"/>
    <s v="Maïs"/>
    <s v="3 mois"/>
    <d v="2023-05-01T00:00:00"/>
    <m/>
    <s v="Moussa Conde"/>
    <s v="Maïs"/>
    <x v="1"/>
    <n v="25"/>
    <d v="2023-05-02T00:00:00"/>
    <x v="17"/>
    <s v="8BLA011T"/>
    <m/>
    <m/>
    <m/>
    <m/>
    <m/>
    <m/>
    <x v="15"/>
  </r>
  <r>
    <d v="2023-04-29T10:11:51"/>
    <x v="13"/>
    <s v="Aviation"/>
    <s v="Individuel"/>
    <s v="Salim cissé"/>
    <n v="628144562"/>
    <m/>
    <s v="Banfélé"/>
    <n v="150"/>
    <s v="Labour - uniquement"/>
    <n v="20"/>
    <s v="Mettre 6"/>
    <s v="Mettre 6"/>
    <s v="6 mois"/>
    <d v="2023-04-29T00:00:00"/>
    <m/>
    <s v="Mohamed Fanta kourouma"/>
    <s v="Riz"/>
    <x v="1"/>
    <n v="20"/>
    <d v="2023-05-02T00:00:00"/>
    <x v="17"/>
    <s v="6FAH008T"/>
    <m/>
    <m/>
    <m/>
    <m/>
    <m/>
    <m/>
    <x v="15"/>
  </r>
  <r>
    <d v="2023-04-29T10:57:12"/>
    <x v="10"/>
    <s v="Commune urbaine"/>
    <s v="Individuel"/>
    <s v="Théophile teliano"/>
    <n v="621003132"/>
    <n v="621003132"/>
    <s v="Gbangbadou"/>
    <n v="18"/>
    <s v="Labour - uniquement"/>
    <n v="15"/>
    <s v="CK 91"/>
    <s v="CK 91"/>
    <s v="4 mois"/>
    <d v="2023-04-29T00:00:00"/>
    <s v="Korabo"/>
    <s v="Mamady 2 Camara"/>
    <s v="Riz"/>
    <x v="1"/>
    <n v="15"/>
    <d v="2023-05-02T00:00:00"/>
    <x v="17"/>
    <s v="6KOU008T"/>
    <m/>
    <m/>
    <m/>
    <m/>
    <m/>
    <m/>
    <x v="15"/>
  </r>
  <r>
    <d v="2023-04-29T11:46:54"/>
    <x v="7"/>
    <s v="Cours du bloc Administratif"/>
    <s v="Individuel"/>
    <s v="Kalou Diallo"/>
    <n v="620948612"/>
    <m/>
    <s v="Kantoumanina"/>
    <n v="18"/>
    <s v="Labour - uniquement"/>
    <n v="10"/>
    <s v="Dissiba"/>
    <s v="CK"/>
    <s v="5 mois"/>
    <d v="2023-05-05T00:00:00"/>
    <s v="Aptes pour la mécanisation"/>
    <s v="Nounkè Doumbouya"/>
    <s v="Riz"/>
    <x v="0"/>
    <m/>
    <m/>
    <x v="0"/>
    <m/>
    <m/>
    <m/>
    <m/>
    <m/>
    <m/>
    <m/>
    <x v="15"/>
  </r>
  <r>
    <d v="2023-04-29T11:53:04"/>
    <x v="7"/>
    <s v="Cours du bloc Administratif"/>
    <s v="Collectif"/>
    <s v="Moussa CAMARA"/>
    <n v="628065705"/>
    <m/>
    <s v="Dialakoro"/>
    <n v="142"/>
    <s v="Labour - uniquement"/>
    <n v="130"/>
    <s v="Roland, bébaga lawouly"/>
    <s v="Ignorer"/>
    <s v="4 mois"/>
    <d v="2023-05-10T00:00:00"/>
    <s v="Aptes pour la mécanisation"/>
    <s v="Nounkè Doumbouya"/>
    <s v="Riz"/>
    <x v="0"/>
    <m/>
    <m/>
    <x v="0"/>
    <m/>
    <m/>
    <m/>
    <m/>
    <m/>
    <m/>
    <m/>
    <x v="15"/>
  </r>
  <r>
    <d v="2023-04-29T12:02:18"/>
    <x v="7"/>
    <s v="Cours du bloc Administratif"/>
    <s v="Individuel"/>
    <s v="Ibrahima DIALLO"/>
    <n v="628820936"/>
    <m/>
    <s v="Kantoumanina"/>
    <n v="15"/>
    <s v="Labour + Pulvérisation"/>
    <n v="15"/>
    <s v="Tambakelè"/>
    <s v="Ignorer"/>
    <s v="4 mois"/>
    <d v="2023-06-02T00:00:00"/>
    <s v="Aptes pour la mécanisation"/>
    <s v="Nounkè Doumbouya"/>
    <s v="Riz"/>
    <x v="0"/>
    <m/>
    <m/>
    <x v="0"/>
    <m/>
    <m/>
    <m/>
    <m/>
    <m/>
    <m/>
    <m/>
    <x v="15"/>
  </r>
  <r>
    <d v="2023-04-29T12:08:41"/>
    <x v="7"/>
    <s v="Cours du bloc Administratif"/>
    <s v="Individuel"/>
    <s v="Lonceny DIALLO"/>
    <n v="620908794"/>
    <m/>
    <s v="Kantoumanina"/>
    <n v="15"/>
    <s v="Labour - uniquement"/>
    <n v="6"/>
    <s v="Tambakelè"/>
    <s v="Ignorer"/>
    <s v="4 mois"/>
    <d v="2023-06-06T00:00:00"/>
    <s v="Aptes à la mécanisation"/>
    <s v="Nounkè Doumbouya"/>
    <s v="Riz"/>
    <x v="0"/>
    <m/>
    <m/>
    <x v="0"/>
    <m/>
    <m/>
    <m/>
    <m/>
    <m/>
    <m/>
    <m/>
    <x v="15"/>
  </r>
  <r>
    <d v="2023-04-29T12:16:42"/>
    <x v="7"/>
    <s v="Cours du bloc Administratif"/>
    <s v="Individuel"/>
    <s v="Ary Nounkè Diallo"/>
    <n v="623634500"/>
    <m/>
    <s v="Kantoumanina"/>
    <n v="15"/>
    <s v="Labour + Pulvérisation"/>
    <n v="13"/>
    <s v="Tambakelè"/>
    <s v="Ignorer"/>
    <s v="4 mois"/>
    <d v="2023-06-01T00:00:00"/>
    <s v="Aptes"/>
    <s v="Nounkè Doumbouya"/>
    <s v="Riz"/>
    <x v="0"/>
    <m/>
    <m/>
    <x v="0"/>
    <m/>
    <m/>
    <m/>
    <m/>
    <m/>
    <m/>
    <m/>
    <x v="15"/>
  </r>
  <r>
    <d v="2023-04-29T12:23:18"/>
    <x v="7"/>
    <s v="Cours du bloc Administratif"/>
    <s v="Individuel"/>
    <s v="Morikè DIALLO"/>
    <n v="628040569"/>
    <m/>
    <s v="Kantoumanina"/>
    <n v="17"/>
    <s v="Labour - uniquement"/>
    <n v="7"/>
    <s v="Nenken"/>
    <s v="Ignore"/>
    <s v="3 mois"/>
    <d v="2023-07-10T00:00:00"/>
    <s v="Aptes à la mécanisation"/>
    <s v="Nounkè Doumbouya"/>
    <s v="Riz"/>
    <x v="0"/>
    <m/>
    <m/>
    <x v="0"/>
    <m/>
    <m/>
    <m/>
    <m/>
    <m/>
    <m/>
    <m/>
    <x v="15"/>
  </r>
  <r>
    <d v="2023-04-29T12:25:55"/>
    <x v="7"/>
    <s v="Cours du bloc Administratif"/>
    <s v="Individuel"/>
    <s v="Ibrahima Sira Diakite"/>
    <n v="622230676"/>
    <m/>
    <s v="Faralako"/>
    <n v="12"/>
    <s v="Labour + Pulvérisation"/>
    <n v="42"/>
    <s v="Ck 90"/>
    <s v="Ck90"/>
    <s v="5 mois"/>
    <d v="2023-05-25T00:00:00"/>
    <s v="Aptes pour la mécanisation"/>
    <s v="Nounkè Doumbouya"/>
    <s v="Riz"/>
    <x v="0"/>
    <m/>
    <m/>
    <x v="0"/>
    <m/>
    <m/>
    <m/>
    <m/>
    <m/>
    <m/>
    <m/>
    <x v="15"/>
  </r>
  <r>
    <d v="2023-04-29T12:49:15"/>
    <x v="7"/>
    <s v="Cours du bloc Administratif"/>
    <s v="Individuel"/>
    <s v="Filakaly DIALLO"/>
    <n v="622112007"/>
    <m/>
    <s v="Mandiana Centre"/>
    <n v="9"/>
    <s v="Labour + Pulvérisation"/>
    <n v="12"/>
    <s v="Chinois"/>
    <s v="Oriza sativa"/>
    <s v="6 mois"/>
    <d v="2023-05-05T00:00:00"/>
    <s v="Aptes à la mécanisation"/>
    <s v="Nounkè Doumbouya"/>
    <s v="Riz"/>
    <x v="0"/>
    <m/>
    <m/>
    <x v="0"/>
    <m/>
    <m/>
    <m/>
    <m/>
    <m/>
    <m/>
    <m/>
    <x v="15"/>
  </r>
  <r>
    <d v="2023-04-29T12:51:56"/>
    <x v="7"/>
    <s v="Cours du bloc Administratif"/>
    <s v="Individuel"/>
    <s v="Sekouba DIAKITÉ"/>
    <n v="628144273"/>
    <m/>
    <s v="Mandiana Centre"/>
    <n v="9"/>
    <s v="Labour + Pulvérisation"/>
    <n v="15"/>
    <s v="Nerica 19,"/>
    <s v="Nerica 19"/>
    <s v="4 mois"/>
    <d v="2023-06-03T00:00:00"/>
    <s v="Aptes pour la mécanisation"/>
    <s v="Nounkè Doumbouya"/>
    <s v="Riz"/>
    <x v="0"/>
    <m/>
    <m/>
    <x v="0"/>
    <m/>
    <m/>
    <m/>
    <m/>
    <m/>
    <m/>
    <m/>
    <x v="15"/>
  </r>
  <r>
    <d v="2023-04-29T12:54:52"/>
    <x v="7"/>
    <s v="Cours du bloc Administratif"/>
    <s v="Collectif"/>
    <s v="Ousmane DIAKITÉ"/>
    <n v="622339114"/>
    <m/>
    <s v="Mandiana Centre"/>
    <n v="13"/>
    <s v="Labour - uniquement"/>
    <n v="70"/>
    <s v="Nerica 4 et 19"/>
    <s v="Nerica"/>
    <s v="4 mois"/>
    <d v="2023-06-01T00:00:00"/>
    <s v="Aptes pour la mécanisation"/>
    <s v="Nounkè Doumbouya"/>
    <s v="Riz"/>
    <x v="0"/>
    <m/>
    <m/>
    <x v="0"/>
    <m/>
    <m/>
    <m/>
    <m/>
    <m/>
    <m/>
    <m/>
    <x v="15"/>
  </r>
  <r>
    <d v="2023-04-29T12:59:05"/>
    <x v="7"/>
    <s v="Cours du bloc Administratif"/>
    <s v="Collectif"/>
    <s v="Elhadj Madifing Diakité"/>
    <n v="628293857"/>
    <m/>
    <s v="Koundian"/>
    <n v="42"/>
    <s v="Labour + Pulvérisation"/>
    <n v="67"/>
    <s v="Nerica 19"/>
    <s v="Nerica"/>
    <s v="4 mois"/>
    <d v="2023-06-01T00:00:00"/>
    <s v="Aptes pour la mécanisation"/>
    <s v="Nounkè Doumbouya"/>
    <s v="Riz"/>
    <x v="0"/>
    <m/>
    <m/>
    <x v="0"/>
    <m/>
    <m/>
    <m/>
    <m/>
    <m/>
    <m/>
    <m/>
    <x v="15"/>
  </r>
  <r>
    <d v="2023-04-29T13:02:07"/>
    <x v="7"/>
    <s v="Cours du bloc Administratif"/>
    <s v="Collectif"/>
    <s v="Lamine Bayo"/>
    <n v="624049846"/>
    <m/>
    <s v="Mandiana Centre"/>
    <n v="11"/>
    <s v="Labour + Pulvérisation"/>
    <n v="30"/>
    <s v="Kaolac"/>
    <s v="Kaolac"/>
    <s v="5 mois"/>
    <d v="2023-05-27T00:00:00"/>
    <s v="Aptes pour la mécanisation"/>
    <s v="Nounkè Doumbouya"/>
    <s v="Riz"/>
    <x v="0"/>
    <m/>
    <m/>
    <x v="0"/>
    <m/>
    <m/>
    <m/>
    <m/>
    <m/>
    <m/>
    <m/>
    <x v="15"/>
  </r>
  <r>
    <d v="2023-04-29T13:05:03"/>
    <x v="7"/>
    <s v="Cours du bloc Administratif"/>
    <s v="Collectif"/>
    <s v="Aly Diallo"/>
    <n v="622340279"/>
    <m/>
    <s v="Mandiana Centre"/>
    <n v="11"/>
    <s v="Labour + Pulvérisation"/>
    <n v="68"/>
    <s v="Chinois, kaolac"/>
    <s v="Kaolac"/>
    <s v="5 mois"/>
    <d v="2023-05-15T00:00:00"/>
    <s v="Aptes pour la mécanisation"/>
    <s v="Nounkè Doumbouya"/>
    <s v="Riz"/>
    <x v="0"/>
    <m/>
    <m/>
    <x v="0"/>
    <m/>
    <m/>
    <m/>
    <m/>
    <m/>
    <m/>
    <m/>
    <x v="15"/>
  </r>
  <r>
    <d v="2023-04-30T09:22:15"/>
    <x v="0"/>
    <s v="Direction préfectorale de l'agriculture et de l'élevage"/>
    <s v="Collectif"/>
    <s v="Dorcas onivogui"/>
    <n v="620279911"/>
    <m/>
    <s v="Daro"/>
    <n v="12"/>
    <s v="Labour - uniquement"/>
    <n v="5"/>
    <s v="Chinoiba"/>
    <s v="Oriza sativa"/>
    <s v="5 mois"/>
    <d v="2023-04-30T00:00:00"/>
    <s v="Pas"/>
    <s v="Alexandre Kpoghomou"/>
    <s v="Riz"/>
    <x v="1"/>
    <n v="5"/>
    <d v="2023-04-30T00:00:00"/>
    <x v="17"/>
    <s v="8MTA004T"/>
    <m/>
    <m/>
    <m/>
    <m/>
    <m/>
    <m/>
    <x v="16"/>
  </r>
  <r>
    <d v="2023-04-30T09:26:10"/>
    <x v="0"/>
    <s v="Direction préfectorale de l'agriculture et de l'élevage de Macenta"/>
    <s v="Individuel"/>
    <s v="Abdoulaye Diakité"/>
    <n v="626841494"/>
    <m/>
    <s v="Kouankan"/>
    <n v="90"/>
    <s v="Labour - uniquement"/>
    <n v="5"/>
    <s v="Djoukeme"/>
    <s v="Oriza sativa"/>
    <s v="5 mois"/>
    <d v="2023-05-03T00:00:00"/>
    <s v="Pas"/>
    <s v="Alexandre Kpoghomou"/>
    <s v="Riz"/>
    <x v="1"/>
    <n v="5"/>
    <d v="2023-04-30T00:00:00"/>
    <x v="17"/>
    <s v="8MTA001T"/>
    <m/>
    <m/>
    <m/>
    <m/>
    <m/>
    <m/>
    <x v="16"/>
  </r>
  <r>
    <d v="2023-04-30T09:36:03"/>
    <x v="0"/>
    <s v="Direction préfectorale de l'agriculture et de l'élevage de Macenta"/>
    <s v="Collectif"/>
    <s v="Vakaba camara"/>
    <n v="622653693"/>
    <n v="622044210"/>
    <s v="Kouankan"/>
    <n v="90"/>
    <s v="Labour - uniquement"/>
    <n v="18"/>
    <s v="Chinoiba et djoukeme"/>
    <s v="Oriza sativa"/>
    <s v="5 mois"/>
    <d v="2023-05-04T00:00:00"/>
    <s v="Pas"/>
    <s v="Alexandre Kpoghomou"/>
    <s v="Riz"/>
    <x v="1"/>
    <n v="18"/>
    <d v="2023-04-30T00:00:00"/>
    <x v="17"/>
    <s v="8MTA003T"/>
    <m/>
    <m/>
    <m/>
    <m/>
    <m/>
    <m/>
    <x v="16"/>
  </r>
  <r>
    <d v="2023-04-30T10:54:01"/>
    <x v="1"/>
    <s v="Siguiri"/>
    <s v="Individuel"/>
    <s v="Yaya MAGASSOUBA"/>
    <n v="622180905"/>
    <m/>
    <s v="Siguiri Centre"/>
    <n v="3"/>
    <s v="Déchaumage"/>
    <n v="3"/>
    <s v="Dissibawoulen Dissibawoulen"/>
    <s v="Dissibawoulen"/>
    <s v="4 mois"/>
    <d v="2023-05-01T00:00:00"/>
    <m/>
    <s v="Nanamoudou ll Magassouba"/>
    <s v="Riz"/>
    <x v="1"/>
    <n v="3"/>
    <d v="2023-05-02T00:00:00"/>
    <x v="17"/>
    <s v="7SRI007T"/>
    <m/>
    <m/>
    <m/>
    <m/>
    <m/>
    <m/>
    <x v="16"/>
  </r>
  <r>
    <d v="2023-04-30T10:58:35"/>
    <x v="1"/>
    <s v="Siguiri"/>
    <s v="Individuel"/>
    <s v="Elhdj Fode Barry"/>
    <n v="628305638"/>
    <m/>
    <s v="Siguiri Centre"/>
    <n v="3"/>
    <s v="Déchaumage"/>
    <n v="1.5"/>
    <s v="Nerica19"/>
    <s v="Nerica19"/>
    <s v="4 mois"/>
    <d v="2023-05-03T00:00:00"/>
    <m/>
    <s v="Nanamoudou ll Magassouba"/>
    <s v="Riz"/>
    <x v="1"/>
    <n v="1.5"/>
    <d v="2023-05-02T00:00:00"/>
    <x v="17"/>
    <s v="7SRI007T"/>
    <m/>
    <m/>
    <m/>
    <m/>
    <m/>
    <m/>
    <x v="16"/>
  </r>
  <r>
    <d v="2023-04-30T16:49:47"/>
    <x v="2"/>
    <s v="Bordeaux"/>
    <s v="Individuel"/>
    <s v="Mamadi Traoré"/>
    <n v="629935836"/>
    <n v="0"/>
    <s v="Sabadou-Baranama"/>
    <n v="53"/>
    <s v="Déchaumage"/>
    <n v="10"/>
    <s v="Kologbe"/>
    <s v="Variété locale"/>
    <s v="4 mois"/>
    <d v="2023-05-01T00:00:00"/>
    <s v="Producteur moins"/>
    <s v="Moussa Alamako Keita"/>
    <s v="Riz"/>
    <x v="1"/>
    <n v="10"/>
    <d v="2023-05-02T00:00:00"/>
    <x v="17"/>
    <s v="7KAN006T"/>
    <m/>
    <m/>
    <m/>
    <m/>
    <m/>
    <m/>
    <x v="16"/>
  </r>
  <r>
    <d v="2023-04-30T17:20:14"/>
    <x v="11"/>
    <s v="Centre"/>
    <s v="Individuel"/>
    <s v="Sidiky Doumbouya"/>
    <n v="621059544"/>
    <n v="621059544"/>
    <s v="Kérouane Centre"/>
    <n v="8"/>
    <s v="Labour - uniquement"/>
    <n v="3"/>
    <s v="Djoufini"/>
    <s v="Djoufini"/>
    <s v="6 mois"/>
    <d v="2023-04-30T00:00:00"/>
    <m/>
    <s v="Moussa Kadia Camara"/>
    <s v="Riz"/>
    <x v="1"/>
    <n v="3"/>
    <d v="2023-05-02T00:00:00"/>
    <x v="17"/>
    <s v="7KNE001T"/>
    <m/>
    <m/>
    <m/>
    <m/>
    <m/>
    <m/>
    <x v="16"/>
  </r>
  <r>
    <d v="2023-04-30T17:23:58"/>
    <x v="11"/>
    <s v="Centre"/>
    <s v="Individuel"/>
    <s v="Abou Sidibé"/>
    <n v="622082951"/>
    <n v="622082951"/>
    <s v="Kérouane Centre"/>
    <n v="3"/>
    <s v="Labour - uniquement"/>
    <n v="1"/>
    <s v="Kaoulaka"/>
    <s v="Kaoulaka"/>
    <s v="5 mois"/>
    <d v="2023-04-30T00:00:00"/>
    <m/>
    <s v="Moussa Kadia Camara"/>
    <s v="Riz"/>
    <x v="1"/>
    <n v="1"/>
    <d v="2023-05-02T00:00:00"/>
    <x v="17"/>
    <s v="7MNA006T"/>
    <m/>
    <m/>
    <m/>
    <m/>
    <m/>
    <m/>
    <x v="16"/>
  </r>
  <r>
    <d v="2023-04-30T17:26:27"/>
    <x v="11"/>
    <s v="Centre"/>
    <s v="Individuel"/>
    <s v="Adama Konaté"/>
    <n v="610245921"/>
    <n v="610245921"/>
    <s v="Kérouane Centre"/>
    <n v="7"/>
    <s v="Labour - uniquement"/>
    <n v="3"/>
    <s v="Sanbadji"/>
    <s v="Sanbadji"/>
    <s v="6 mois"/>
    <d v="2023-04-30T00:00:00"/>
    <m/>
    <s v="Moussa Kadia Camara"/>
    <s v="Riz"/>
    <x v="1"/>
    <n v="3"/>
    <d v="2023-05-02T00:00:00"/>
    <x v="17"/>
    <s v="7MNA007T"/>
    <m/>
    <m/>
    <m/>
    <m/>
    <m/>
    <m/>
    <x v="16"/>
  </r>
  <r>
    <d v="2023-04-30T17:29:36"/>
    <x v="11"/>
    <s v="Centre"/>
    <s v="Individuel"/>
    <s v="Ibrahima Camara"/>
    <n v="624069772"/>
    <n v="624069772"/>
    <s v="Kérouane Centre"/>
    <n v="12"/>
    <s v="Labour - uniquement"/>
    <n v="3"/>
    <s v="Samory"/>
    <s v="Samory"/>
    <s v="5 mois"/>
    <d v="2023-05-02T00:00:00"/>
    <m/>
    <s v="Moussa Kadia Camara"/>
    <s v="Riz"/>
    <x v="1"/>
    <n v="3"/>
    <d v="2023-05-02T00:00:00"/>
    <x v="17"/>
    <s v="7MNA006T"/>
    <m/>
    <m/>
    <m/>
    <m/>
    <m/>
    <m/>
    <x v="16"/>
  </r>
  <r>
    <d v="2023-04-30T17:34:52"/>
    <x v="11"/>
    <s v="Centre"/>
    <s v="Individuel"/>
    <s v="Laye kemon Kante"/>
    <n v="628648645"/>
    <n v="628648645"/>
    <s v="Kérouane Centre"/>
    <n v="22"/>
    <s v="Labour - uniquement"/>
    <n v="10"/>
    <s v="Seka"/>
    <s v="Seka"/>
    <s v="6 mois"/>
    <d v="2023-05-01T00:00:00"/>
    <m/>
    <s v="Moussa Kadia Camara"/>
    <s v="Riz"/>
    <x v="1"/>
    <n v="10"/>
    <d v="2023-05-02T00:00:00"/>
    <x v="17"/>
    <s v="7KNE002T"/>
    <m/>
    <m/>
    <m/>
    <m/>
    <m/>
    <m/>
    <x v="16"/>
  </r>
  <r>
    <d v="2023-04-30T17:37:40"/>
    <x v="11"/>
    <s v="Centre"/>
    <s v="Individuel"/>
    <s v="Almany Kouyaté"/>
    <n v="622946451"/>
    <n v="622946451"/>
    <s v="Kérouane Centre"/>
    <n v="13"/>
    <s v="Labour - uniquement"/>
    <n v="5"/>
    <s v="Samory"/>
    <s v="Samory"/>
    <s v="5 mois"/>
    <d v="2023-05-02T00:00:00"/>
    <m/>
    <s v="Moussa Kadia Camara"/>
    <s v="Riz"/>
    <x v="1"/>
    <n v="5"/>
    <d v="2023-05-02T00:00:00"/>
    <x v="17"/>
    <s v="7KNE001T"/>
    <m/>
    <m/>
    <m/>
    <m/>
    <m/>
    <m/>
    <x v="16"/>
  </r>
  <r>
    <d v="2023-04-30T17:52:14"/>
    <x v="11"/>
    <s v="Centre"/>
    <s v="Collectif"/>
    <s v="Bangaly Conde"/>
    <n v="622525703"/>
    <n v="622525703"/>
    <s v="Banankoro"/>
    <n v="35"/>
    <s v="Labour - uniquement"/>
    <n v="20"/>
    <s v="Samory, Djoufini karosabany,seka"/>
    <s v="Samory Djoufini karosabany seka"/>
    <s v="6 mois"/>
    <d v="2023-05-03T00:00:00"/>
    <m/>
    <s v="Moussa Kadia Camara"/>
    <s v="Riz"/>
    <x v="1"/>
    <n v="20"/>
    <d v="2023-05-02T00:00:00"/>
    <x v="17"/>
    <s v="7KNE002T"/>
    <m/>
    <m/>
    <m/>
    <m/>
    <m/>
    <m/>
    <x v="16"/>
  </r>
  <r>
    <d v="2023-05-01T00:44:40"/>
    <x v="6"/>
    <s v="Dinguiraye centre"/>
    <s v="Individuel"/>
    <s v="Demba Fofana"/>
    <n v="624508843"/>
    <m/>
    <s v="Dialakoro"/>
    <n v="60"/>
    <s v="Labour + Pulvérisation"/>
    <n v="5"/>
    <s v="Djoukeme"/>
    <s v="Djoukeme"/>
    <s v="4 mois"/>
    <d v="2023-05-20T00:00:00"/>
    <m/>
    <s v="Mamadou 1 Diallo"/>
    <s v="Riz"/>
    <x v="0"/>
    <m/>
    <m/>
    <x v="0"/>
    <m/>
    <m/>
    <m/>
    <m/>
    <m/>
    <m/>
    <m/>
    <x v="16"/>
  </r>
  <r>
    <d v="2023-05-01T00:48:57"/>
    <x v="6"/>
    <s v="Dinguiraye centre"/>
    <s v="Individuel"/>
    <s v="Fatou Diallo"/>
    <n v="611456449"/>
    <m/>
    <s v="Dialakoro"/>
    <n v="63"/>
    <s v="Labour + Pulvérisation"/>
    <n v="2"/>
    <s v="Maloningbè"/>
    <s v="Nerica blanc"/>
    <s v="3 mois"/>
    <d v="2023-06-05T00:00:00"/>
    <m/>
    <s v="Mamadou 1 Diallo"/>
    <s v="Riz"/>
    <x v="0"/>
    <m/>
    <m/>
    <x v="0"/>
    <m/>
    <m/>
    <m/>
    <m/>
    <m/>
    <m/>
    <m/>
    <x v="16"/>
  </r>
  <r>
    <d v="2023-05-01T00:51:45"/>
    <x v="6"/>
    <s v="Dinguiraye centre"/>
    <s v="Individuel"/>
    <s v="Mamady camara"/>
    <n v="625093457"/>
    <m/>
    <s v="Dialakoro"/>
    <n v="56"/>
    <s v="Labour + Pulvérisation"/>
    <n v="6"/>
    <s v="Djoukeme"/>
    <s v="Djoukeme"/>
    <s v="4 mois"/>
    <d v="2023-05-15T00:00:00"/>
    <m/>
    <s v="Mamadou 1 Diallo"/>
    <s v="Riz"/>
    <x v="0"/>
    <m/>
    <m/>
    <x v="0"/>
    <m/>
    <m/>
    <m/>
    <m/>
    <m/>
    <m/>
    <m/>
    <x v="16"/>
  </r>
  <r>
    <d v="2023-05-01T00:55:31"/>
    <x v="6"/>
    <s v="Dinguiraye centre"/>
    <s v="Individuel"/>
    <s v="Yama condé"/>
    <n v="621419314"/>
    <m/>
    <s v="Dialakoro"/>
    <n v="62"/>
    <s v="Labour + Pulvérisation"/>
    <n v="2"/>
    <s v="Banankoro"/>
    <s v="Banankoro"/>
    <s v="4 mois"/>
    <d v="2023-05-25T00:00:00"/>
    <s v="Une variété provenant de banankoro préfecture de kerouané"/>
    <s v="Mamadou 1 Diallo"/>
    <s v="Riz"/>
    <x v="0"/>
    <m/>
    <m/>
    <x v="0"/>
    <m/>
    <m/>
    <m/>
    <m/>
    <m/>
    <m/>
    <m/>
    <x v="16"/>
  </r>
  <r>
    <d v="2023-05-01T00:59:40"/>
    <x v="6"/>
    <s v="Dinguiraye centre"/>
    <s v="Individuel"/>
    <s v="Fanta mansaré"/>
    <n v="621419314"/>
    <m/>
    <s v="Dialakoro"/>
    <n v="2"/>
    <s v="Labour + Pulvérisation"/>
    <n v="2"/>
    <s v="Daffing"/>
    <s v="Daffing"/>
    <s v="4 mois"/>
    <d v="2023-05-25T00:00:00"/>
    <s v="Le contact de yama condé 622045720"/>
    <s v="Mamadou 1 Diallo"/>
    <s v="Riz"/>
    <x v="0"/>
    <m/>
    <m/>
    <x v="0"/>
    <m/>
    <m/>
    <m/>
    <m/>
    <m/>
    <m/>
    <m/>
    <x v="16"/>
  </r>
  <r>
    <d v="2023-05-01T01:01:51"/>
    <x v="6"/>
    <s v="Dinguiraye centre"/>
    <s v="Individuel"/>
    <s v="Kabinet sylla"/>
    <n v="628053351"/>
    <m/>
    <s v="Dialakoro"/>
    <n v="60"/>
    <s v="Labour + Pulvérisation"/>
    <n v="7"/>
    <s v="Tontifo"/>
    <s v="Tontifo"/>
    <s v="4 mois"/>
    <d v="2023-05-30T00:00:00"/>
    <m/>
    <s v="Mamadou 1 Diallo"/>
    <s v="Riz"/>
    <x v="0"/>
    <m/>
    <m/>
    <x v="0"/>
    <m/>
    <m/>
    <m/>
    <m/>
    <m/>
    <m/>
    <m/>
    <x v="16"/>
  </r>
  <r>
    <d v="2023-05-01T01:04:33"/>
    <x v="6"/>
    <s v="Dinguiraye centre"/>
    <s v="Individuel"/>
    <s v="Mamadou sylla"/>
    <n v="626935645"/>
    <m/>
    <s v="Dialakoro"/>
    <n v="60"/>
    <s v="Labour + Pulvérisation"/>
    <n v="4"/>
    <s v="Chinoise"/>
    <s v="Nankin"/>
    <s v="3 mois"/>
    <d v="2023-06-25T00:00:00"/>
    <m/>
    <s v="Mamadou 1 Diallo"/>
    <s v="Riz"/>
    <x v="0"/>
    <m/>
    <m/>
    <x v="0"/>
    <m/>
    <m/>
    <m/>
    <m/>
    <m/>
    <m/>
    <m/>
    <x v="16"/>
  </r>
  <r>
    <d v="2023-05-01T01:07:47"/>
    <x v="6"/>
    <s v="Dinguiraye centre"/>
    <s v="Individuel"/>
    <s v="Hammady Diakité"/>
    <n v="620737815"/>
    <m/>
    <s v="Dinguiraye Centre"/>
    <n v="8"/>
    <s v="Labour + Pulvérisation"/>
    <n v="6"/>
    <s v="Sonsonpolon"/>
    <s v="Sonsopolon"/>
    <s v="4 mois"/>
    <d v="2023-05-25T00:00:00"/>
    <m/>
    <s v="Mamadou 1 Diallo"/>
    <s v="Riz"/>
    <x v="0"/>
    <m/>
    <m/>
    <x v="0"/>
    <m/>
    <m/>
    <m/>
    <m/>
    <m/>
    <m/>
    <m/>
    <x v="16"/>
  </r>
  <r>
    <d v="2023-05-01T01:10:36"/>
    <x v="6"/>
    <s v="Dinguiraye centre"/>
    <s v="Individuel"/>
    <s v="Adama Diakité"/>
    <n v="629220165"/>
    <m/>
    <s v="Dinguiraye Centre"/>
    <n v="8"/>
    <s v="Labour + Pulvérisation"/>
    <n v="2"/>
    <s v="Sonsopolon"/>
    <s v="Sonsopolon"/>
    <s v="4 mois"/>
    <d v="2023-05-28T00:00:00"/>
    <m/>
    <s v="Mamadou 1 Diallo"/>
    <s v="Riz"/>
    <x v="0"/>
    <m/>
    <m/>
    <x v="0"/>
    <m/>
    <m/>
    <m/>
    <m/>
    <m/>
    <m/>
    <m/>
    <x v="16"/>
  </r>
  <r>
    <d v="2023-05-01T01:20:10"/>
    <x v="6"/>
    <s v="Dinguiraye centre"/>
    <s v="Individuel"/>
    <s v="Mamadou sansy Diallo"/>
    <n v="620094545"/>
    <m/>
    <s v="Sélouma"/>
    <n v="40"/>
    <s v="Labour + Pulvérisation"/>
    <n v="8"/>
    <s v="Gnina"/>
    <s v="C'est une variété locale"/>
    <s v="4 mois"/>
    <d v="2023-05-25T00:00:00"/>
    <m/>
    <s v="Mamadou 1 Diallo"/>
    <s v="Riz"/>
    <x v="0"/>
    <m/>
    <m/>
    <x v="0"/>
    <m/>
    <m/>
    <m/>
    <m/>
    <m/>
    <m/>
    <m/>
    <x v="16"/>
  </r>
  <r>
    <d v="2023-05-01T01:23:26"/>
    <x v="6"/>
    <s v="Dinguiraye centre"/>
    <s v="Individuel"/>
    <s v="Bagallé Diah"/>
    <n v="624519284"/>
    <m/>
    <s v="Sélouma"/>
    <n v="40"/>
    <s v="Labour + Pulvérisation"/>
    <n v="8"/>
    <s v="Kaoulaka"/>
    <s v="Kaoulaka"/>
    <s v="4 mois"/>
    <d v="2023-05-30T00:00:00"/>
    <m/>
    <s v="Mamadou 1 Diallo"/>
    <s v="Riz"/>
    <x v="0"/>
    <m/>
    <m/>
    <x v="0"/>
    <m/>
    <m/>
    <m/>
    <m/>
    <m/>
    <m/>
    <m/>
    <x v="16"/>
  </r>
  <r>
    <d v="2023-05-01T01:27:19"/>
    <x v="6"/>
    <s v="Dinguiraye centre"/>
    <s v="Individuel"/>
    <s v="Gnama condé"/>
    <n v="666628786"/>
    <m/>
    <s v="Dialakoro"/>
    <n v="60"/>
    <s v="Labour + Pulvérisation"/>
    <n v="2"/>
    <s v="Morice"/>
    <s v="Morice"/>
    <s v="4 mois"/>
    <d v="2023-05-30T00:00:00"/>
    <m/>
    <s v="Mamadou 1 Diallo"/>
    <s v="Riz"/>
    <x v="0"/>
    <m/>
    <m/>
    <x v="0"/>
    <m/>
    <m/>
    <m/>
    <m/>
    <m/>
    <m/>
    <m/>
    <x v="16"/>
  </r>
  <r>
    <d v="2023-05-01T01:30:44"/>
    <x v="6"/>
    <s v="Dinguiraye centre"/>
    <s v="Individuel"/>
    <s v="Mamady cherif"/>
    <n v="622452111"/>
    <m/>
    <s v="Dialakoro"/>
    <n v="67"/>
    <s v="Labour + Pulvérisation"/>
    <n v="6"/>
    <s v="CK90"/>
    <s v="CK90"/>
    <s v="5 mois"/>
    <d v="2023-05-15T00:00:00"/>
    <m/>
    <s v="Mamadou 1 Diallo"/>
    <s v="Riz"/>
    <x v="0"/>
    <m/>
    <m/>
    <x v="0"/>
    <m/>
    <m/>
    <m/>
    <m/>
    <m/>
    <m/>
    <m/>
    <x v="16"/>
  </r>
  <r>
    <d v="2023-05-01T01:34:57"/>
    <x v="6"/>
    <s v="Dinguiraye centre"/>
    <s v="Individuel"/>
    <s v="Sansy Diallo"/>
    <n v="628009057"/>
    <m/>
    <s v="Sélouma"/>
    <n v="27"/>
    <s v="Labour + Pulvérisation"/>
    <n v="5"/>
    <s v="Dissibaoulén"/>
    <s v="C'est une variété locale"/>
    <s v="4 mois"/>
    <d v="2023-05-30T00:00:00"/>
    <m/>
    <s v="Mamadou 1 Diallo"/>
    <s v="Riz"/>
    <x v="0"/>
    <m/>
    <m/>
    <x v="0"/>
    <m/>
    <m/>
    <m/>
    <m/>
    <m/>
    <m/>
    <m/>
    <x v="16"/>
  </r>
  <r>
    <d v="2023-05-01T01:43:18"/>
    <x v="6"/>
    <s v="Dinguiraye centre"/>
    <s v="Individuel"/>
    <s v="Ibrahima Barry"/>
    <n v="623458432"/>
    <m/>
    <s v="Sélouma"/>
    <n v="35"/>
    <s v="Labour - uniquement"/>
    <n v="4"/>
    <s v="Kabalén"/>
    <s v="BR 430"/>
    <s v="3 mois"/>
    <d v="2023-06-10T00:00:00"/>
    <m/>
    <s v="Mamadou 1 Diallo"/>
    <s v="Maïs"/>
    <x v="0"/>
    <m/>
    <m/>
    <x v="0"/>
    <m/>
    <m/>
    <m/>
    <m/>
    <m/>
    <m/>
    <m/>
    <x v="16"/>
  </r>
  <r>
    <d v="2023-05-01T01:51:06"/>
    <x v="6"/>
    <s v="Dinguiraye centre"/>
    <s v="Individuel"/>
    <s v="Oumar Barry"/>
    <n v="620446949"/>
    <m/>
    <s v="Sélouma"/>
    <n v="40"/>
    <s v="Labour - uniquement"/>
    <n v="8"/>
    <s v="BR 430"/>
    <s v="Boert resisting"/>
    <s v="3 mois"/>
    <d v="2023-06-05T00:00:00"/>
    <s v="C'est une variété provenant de Ghana"/>
    <s v="Mamadou 1 Diallo"/>
    <s v="Maïs"/>
    <x v="0"/>
    <m/>
    <m/>
    <x v="0"/>
    <m/>
    <m/>
    <m/>
    <m/>
    <m/>
    <m/>
    <m/>
    <x v="16"/>
  </r>
  <r>
    <d v="2023-05-01T01:53:42"/>
    <x v="6"/>
    <s v="Dinguiraye centre"/>
    <s v="Individuel"/>
    <s v="Hamidou Bah"/>
    <n v="622571732"/>
    <m/>
    <s v="Sélouma"/>
    <n v="25"/>
    <s v="Labour - uniquement"/>
    <n v="4"/>
    <s v="Sataba"/>
    <s v="c'est une variété locale"/>
    <s v="5 mois"/>
    <d v="2023-05-20T00:00:00"/>
    <m/>
    <s v="Mamadou 1 Diallo"/>
    <s v="Maïs"/>
    <x v="0"/>
    <m/>
    <m/>
    <x v="0"/>
    <m/>
    <m/>
    <m/>
    <m/>
    <m/>
    <m/>
    <m/>
    <x v="16"/>
  </r>
  <r>
    <d v="2023-05-01T01:57:27"/>
    <x v="6"/>
    <s v="Dinguiraye centre"/>
    <s v="Individuel"/>
    <s v="Saliou Diallo"/>
    <n v="623054766"/>
    <m/>
    <s v="Sélouma"/>
    <n v="27"/>
    <s v="Labour - uniquement"/>
    <n v="5"/>
    <s v="Kaabasountou"/>
    <s v="C'est une variété locale"/>
    <s v="3 mois"/>
    <d v="2023-06-10T00:00:00"/>
    <m/>
    <s v="Mamadou 1 Diallo"/>
    <s v="Maïs"/>
    <x v="0"/>
    <m/>
    <m/>
    <x v="0"/>
    <m/>
    <m/>
    <m/>
    <m/>
    <m/>
    <m/>
    <m/>
    <x v="16"/>
  </r>
  <r>
    <d v="2023-05-01T02:03:07"/>
    <x v="6"/>
    <s v="Dinguiraye centre"/>
    <s v="Individuel"/>
    <s v="Boubacar bah"/>
    <n v="623286760"/>
    <m/>
    <s v="Sélouma"/>
    <n v="45"/>
    <s v="Labour - uniquement"/>
    <n v="4"/>
    <s v="Maïs hybride"/>
    <s v="Kabamanoj"/>
    <s v="3 mois"/>
    <d v="2023-06-15T00:00:00"/>
    <m/>
    <s v="Mamadou 1 Diallo"/>
    <s v="Maïs"/>
    <x v="0"/>
    <m/>
    <m/>
    <x v="0"/>
    <m/>
    <m/>
    <m/>
    <m/>
    <m/>
    <m/>
    <m/>
    <x v="16"/>
  </r>
  <r>
    <d v="2023-05-01T02:08:20"/>
    <x v="6"/>
    <s v="Dinguiraye centre"/>
    <s v="Individuel"/>
    <s v="Amadou Denah Barry"/>
    <n v="622024538"/>
    <m/>
    <s v="Sélouma"/>
    <n v="28"/>
    <s v="Labour + Pulvérisation"/>
    <n v="10"/>
    <s v="Nankin rouge"/>
    <s v="Nankin rouge"/>
    <s v="3 mois"/>
    <d v="2023-06-15T00:00:00"/>
    <m/>
    <s v="Mamadou 1 Diallo"/>
    <s v="Riz"/>
    <x v="0"/>
    <m/>
    <m/>
    <x v="0"/>
    <m/>
    <m/>
    <m/>
    <m/>
    <m/>
    <m/>
    <m/>
    <x v="16"/>
  </r>
  <r>
    <d v="2023-05-01T02:10:57"/>
    <x v="6"/>
    <s v="Dinguiraye centre"/>
    <s v="Individuel"/>
    <s v="Amadou Denah Barry"/>
    <n v="622024538"/>
    <m/>
    <s v="Sélouma"/>
    <n v="28"/>
    <s v="Labour - uniquement"/>
    <n v="5"/>
    <s v="Perta"/>
    <s v="Perta"/>
    <s v="3 mois"/>
    <d v="2023-06-05T00:00:00"/>
    <m/>
    <s v="Mamadou 1 Diallo"/>
    <s v="Maïs"/>
    <x v="0"/>
    <m/>
    <m/>
    <x v="0"/>
    <m/>
    <m/>
    <m/>
    <m/>
    <m/>
    <m/>
    <m/>
    <x v="16"/>
  </r>
  <r>
    <d v="2023-05-01T02:18:53"/>
    <x v="6"/>
    <s v="Dinguiraye centre"/>
    <s v="Individuel"/>
    <s v="Idrissa sacko"/>
    <n v="622090310"/>
    <m/>
    <s v="Dialakoro"/>
    <n v="55"/>
    <s v="Labour + Pulvérisation"/>
    <n v="15"/>
    <s v="Morice"/>
    <s v="C'est une variété locale"/>
    <s v="4 mois"/>
    <d v="2023-06-05T00:00:00"/>
    <m/>
    <s v="Mamadou 1 Diallo"/>
    <s v="Riz"/>
    <x v="0"/>
    <m/>
    <m/>
    <x v="0"/>
    <m/>
    <m/>
    <m/>
    <m/>
    <m/>
    <m/>
    <m/>
    <x v="16"/>
  </r>
  <r>
    <d v="2023-05-01T02:23:10"/>
    <x v="6"/>
    <s v="Dinguiraye centre"/>
    <s v="Individuel"/>
    <s v="Noumoukè kaba"/>
    <n v="622121313"/>
    <m/>
    <s v="Dialakoro"/>
    <n v="60"/>
    <s v="Labour + Pulvérisation"/>
    <n v="5"/>
    <s v="Dissiba-oulén"/>
    <s v="Dissiba-oulén"/>
    <s v="4 mois"/>
    <d v="2023-06-05T00:00:00"/>
    <m/>
    <s v="Mamadou 1 Diallo"/>
    <s v="Riz"/>
    <x v="0"/>
    <m/>
    <m/>
    <x v="0"/>
    <m/>
    <m/>
    <m/>
    <m/>
    <m/>
    <m/>
    <m/>
    <x v="16"/>
  </r>
  <r>
    <d v="2023-05-01T02:26:52"/>
    <x v="6"/>
    <s v="Dinguiraye centre"/>
    <s v="Individuel"/>
    <s v="Amadouba kaba"/>
    <n v="621628802"/>
    <m/>
    <s v="Dialakoro"/>
    <n v="60"/>
    <s v="Labour + Pulvérisation"/>
    <n v="10"/>
    <s v="CK90"/>
    <s v="CK90"/>
    <s v="5 mois"/>
    <d v="2023-05-20T00:00:00"/>
    <m/>
    <s v="Mamadou 1 Diallo"/>
    <s v="Riz"/>
    <x v="0"/>
    <m/>
    <m/>
    <x v="0"/>
    <m/>
    <m/>
    <m/>
    <m/>
    <m/>
    <m/>
    <m/>
    <x v="16"/>
  </r>
  <r>
    <d v="2023-05-01T02:32:03"/>
    <x v="6"/>
    <s v="Dinguiraye centre"/>
    <s v="Collectif"/>
    <s v="Groupement BENKADI"/>
    <n v="628963527"/>
    <m/>
    <s v="Banora"/>
    <n v="85"/>
    <s v="Labour + Pulvérisation"/>
    <n v="10"/>
    <s v="Gninandénko"/>
    <s v="Gninandénko"/>
    <s v="4 mois"/>
    <d v="2023-05-20T00:00:00"/>
    <m/>
    <s v="Mamadou 1 Diallo"/>
    <s v="Riz"/>
    <x v="0"/>
    <m/>
    <m/>
    <x v="0"/>
    <m/>
    <m/>
    <m/>
    <m/>
    <m/>
    <m/>
    <m/>
    <x v="16"/>
  </r>
  <r>
    <d v="2023-05-01T02:38:59"/>
    <x v="6"/>
    <s v="Dinguiraye centre"/>
    <s v="Individuel"/>
    <s v="Mamadou Dian bah"/>
    <n v="623735598"/>
    <m/>
    <s v="Sélouma"/>
    <n v="40"/>
    <s v="Labour + Pulvérisation"/>
    <n v="8"/>
    <s v="Morice"/>
    <s v="Morice"/>
    <s v="4 mois"/>
    <d v="2023-05-20T00:00:00"/>
    <m/>
    <s v="Mamadou 1 Diallo"/>
    <s v="Riz"/>
    <x v="0"/>
    <m/>
    <m/>
    <x v="0"/>
    <m/>
    <m/>
    <m/>
    <m/>
    <m/>
    <m/>
    <m/>
    <x v="16"/>
  </r>
  <r>
    <d v="2023-05-01T06:41:27"/>
    <x v="8"/>
    <s v="Beyla centre"/>
    <s v="Individuel"/>
    <s v="Abdourahmane Kaba"/>
    <n v="628312183"/>
    <m/>
    <s v="Sinko"/>
    <n v="40"/>
    <s v="Labour - uniquement"/>
    <n v="10"/>
    <s v="Chinoiba"/>
    <s v="Riz"/>
    <s v="4 mois"/>
    <d v="2023-05-01T00:00:00"/>
    <m/>
    <s v="Moussa Conde"/>
    <s v="Riz"/>
    <x v="1"/>
    <n v="10"/>
    <d v="2023-05-02T00:00:00"/>
    <x v="17"/>
    <s v="8BLA013T"/>
    <m/>
    <m/>
    <m/>
    <m/>
    <m/>
    <m/>
    <x v="16"/>
  </r>
  <r>
    <d v="2023-05-01T06:59:56"/>
    <x v="8"/>
    <s v="Beyla centre"/>
    <s v="Individuel"/>
    <s v="Bangaly Conde"/>
    <n v="628387931"/>
    <m/>
    <s v="Sinko"/>
    <n v="10"/>
    <s v="Labour - uniquement"/>
    <n v="2"/>
    <s v="Samolimalo"/>
    <s v="Riz"/>
    <s v="3 mois"/>
    <d v="2023-05-01T00:00:00"/>
    <m/>
    <s v="Moussa Conde"/>
    <s v="Riz"/>
    <x v="1"/>
    <n v="2"/>
    <d v="2023-05-02T00:00:00"/>
    <x v="17"/>
    <s v="8BLA012T"/>
    <m/>
    <m/>
    <m/>
    <m/>
    <m/>
    <m/>
    <x v="16"/>
  </r>
  <r>
    <d v="2023-05-01T12:37:37"/>
    <x v="7"/>
    <s v="Cours du bloc Administratif"/>
    <s v="Collectif"/>
    <s v="Laye Moussa Diakite"/>
    <n v="622236829"/>
    <m/>
    <s v="Mandiana Centre"/>
    <n v="10"/>
    <s v="Labour - uniquement"/>
    <n v="75"/>
    <s v="Chinois, kaolac"/>
    <s v="Ignore"/>
    <s v="5 mois"/>
    <d v="2023-05-06T00:00:00"/>
    <s v="Aptes pour la mécanisation"/>
    <s v="Nounkè Doumbouya"/>
    <s v="Riz"/>
    <x v="0"/>
    <m/>
    <m/>
    <x v="0"/>
    <m/>
    <m/>
    <m/>
    <m/>
    <m/>
    <m/>
    <m/>
    <x v="16"/>
  </r>
  <r>
    <d v="2023-05-01T12:41:47"/>
    <x v="7"/>
    <s v="Cours du bloc Administratif"/>
    <s v="Collectif"/>
    <s v="Oumar Soumaoro"/>
    <n v="621763507"/>
    <m/>
    <s v="Mandiana Centre"/>
    <n v="9"/>
    <s v="Labour + Pulvérisation"/>
    <n v="25"/>
    <s v="Chinois, N19"/>
    <s v="Nerica 19"/>
    <s v="4 mois"/>
    <d v="2023-05-29T00:00:00"/>
    <s v="Aptes pour la mécanisation"/>
    <s v="Nounkè Doumbouya"/>
    <s v="Riz"/>
    <x v="0"/>
    <m/>
    <m/>
    <x v="0"/>
    <m/>
    <m/>
    <m/>
    <m/>
    <m/>
    <m/>
    <m/>
    <x v="16"/>
  </r>
  <r>
    <d v="2023-05-01T13:58:23"/>
    <x v="7"/>
    <s v="Cours du bloc Administratif"/>
    <s v="Individuel"/>
    <s v="Ladya Diallo"/>
    <n v="620840423"/>
    <m/>
    <s v="Mandiana Centre"/>
    <n v="12"/>
    <s v="Labour - uniquement"/>
    <n v="7"/>
    <s v="Kaolac"/>
    <s v="Kaolac"/>
    <s v="5 mois"/>
    <d v="2023-06-15T00:00:00"/>
    <s v="Aptes pour la mécanisation"/>
    <s v="Nounkè Doumbouya"/>
    <s v="Riz"/>
    <x v="0"/>
    <m/>
    <m/>
    <x v="0"/>
    <m/>
    <m/>
    <m/>
    <m/>
    <m/>
    <m/>
    <m/>
    <x v="16"/>
  </r>
  <r>
    <d v="2023-05-01T14:19:20"/>
    <x v="7"/>
    <s v="Cours du bloc Administratif"/>
    <s v="Collectif"/>
    <s v="Boh Lanceï DIALLO"/>
    <n v="620092773"/>
    <m/>
    <s v="Faralako"/>
    <n v="13"/>
    <s v="Labour + Pulvérisation"/>
    <n v="136"/>
    <s v="Dissiba"/>
    <s v="Ignore"/>
    <s v="5 mois"/>
    <d v="2023-06-05T00:00:00"/>
    <s v="Aptes à la mécanisation"/>
    <s v="Nounkè Doumbouya"/>
    <s v="Riz"/>
    <x v="0"/>
    <m/>
    <m/>
    <x v="0"/>
    <m/>
    <m/>
    <m/>
    <m/>
    <m/>
    <m/>
    <m/>
    <x v="16"/>
  </r>
  <r>
    <d v="2023-05-01T14:23:08"/>
    <x v="7"/>
    <s v="Cours du bloc Administratif"/>
    <s v="Collectif"/>
    <s v="Ousmane Djetoumani DIALLO"/>
    <n v="620142864"/>
    <m/>
    <s v="Faralako"/>
    <n v="13"/>
    <s v="Labour + Pulvérisation"/>
    <n v="25"/>
    <s v="Nerica 4, Nenken"/>
    <s v="Nerica 4"/>
    <s v="3 mois"/>
    <d v="2023-07-15T00:00:00"/>
    <s v="Aptes à la mécanisation"/>
    <s v="Nounkè Doumbouya"/>
    <s v="Riz"/>
    <x v="0"/>
    <m/>
    <m/>
    <x v="0"/>
    <m/>
    <m/>
    <m/>
    <m/>
    <m/>
    <m/>
    <m/>
    <x v="16"/>
  </r>
  <r>
    <d v="2023-05-01T14:26:13"/>
    <x v="7"/>
    <s v="Cours du bloc Administratif"/>
    <s v="Collectif"/>
    <s v="Mamadou DIAKITÉ"/>
    <n v="628455659"/>
    <m/>
    <s v="Faralako"/>
    <n v="14"/>
    <s v="Labour + Pulvérisation"/>
    <n v="38"/>
    <s v="Ck 90"/>
    <s v="Ck90"/>
    <s v="5 mois"/>
    <d v="2023-06-01T00:00:00"/>
    <s v="Aptes à la mécanisation"/>
    <s v="Nounkè Doumbouya"/>
    <s v="Riz"/>
    <x v="0"/>
    <m/>
    <m/>
    <x v="0"/>
    <m/>
    <m/>
    <m/>
    <m/>
    <m/>
    <m/>
    <m/>
    <x v="16"/>
  </r>
  <r>
    <d v="2023-05-01T14:30:13"/>
    <x v="7"/>
    <s v="Cours du bloc Administratif"/>
    <s v="Collectif"/>
    <s v="Sékou DIALLO"/>
    <n v="628121348"/>
    <m/>
    <s v="Mandiana Centre"/>
    <n v="15"/>
    <s v="Labour - uniquement"/>
    <n v="75"/>
    <s v="Chinois, Dissiba"/>
    <s v="Oriza glaberina"/>
    <s v="6 mois"/>
    <d v="2023-05-10T00:00:00"/>
    <s v="Aptes pour la mécanisation"/>
    <s v="Nounkè Doumbouya"/>
    <s v="Riz"/>
    <x v="0"/>
    <m/>
    <m/>
    <x v="0"/>
    <m/>
    <m/>
    <m/>
    <m/>
    <m/>
    <m/>
    <m/>
    <x v="16"/>
  </r>
  <r>
    <d v="2023-05-01T14:38:27"/>
    <x v="7"/>
    <s v="Cours du bloc Administratif"/>
    <s v="Collectif"/>
    <s v="Sory Diakité"/>
    <n v="623163986"/>
    <m/>
    <s v="Mandiana Centre"/>
    <n v="12"/>
    <s v="Labour - uniquement"/>
    <n v="225"/>
    <s v="Kaolac, fakan"/>
    <s v="Kaolac"/>
    <s v="5 mois"/>
    <d v="2023-06-05T00:00:00"/>
    <s v="Aptes pour la mécanisation"/>
    <s v="Nounkè Doumbouya"/>
    <s v="Riz"/>
    <x v="0"/>
    <m/>
    <m/>
    <x v="0"/>
    <m/>
    <m/>
    <m/>
    <m/>
    <m/>
    <m/>
    <m/>
    <x v="16"/>
  </r>
  <r>
    <d v="2023-05-01T14:58:16"/>
    <x v="7"/>
    <s v="Cours du bloc Administratif"/>
    <s v="Collectif"/>
    <s v="Soriba DIAKITÉ"/>
    <n v="628940254"/>
    <m/>
    <s v="Kiniéran"/>
    <n v="78"/>
    <s v="Labour + Pulvérisation"/>
    <n v="65"/>
    <s v="ADRAO, NERICA 4 ET 19"/>
    <s v="Nerica"/>
    <s v="4 mois"/>
    <d v="2023-06-15T00:00:00"/>
    <s v="Aptes pour la mécanisation"/>
    <s v="Nounkè Doumbouya"/>
    <s v="Riz"/>
    <x v="0"/>
    <m/>
    <m/>
    <x v="0"/>
    <m/>
    <m/>
    <m/>
    <m/>
    <m/>
    <m/>
    <m/>
    <x v="16"/>
  </r>
  <r>
    <d v="2023-05-01T15:01:21"/>
    <x v="7"/>
    <s v="Cours du bloc Administratif"/>
    <s v="Individuel"/>
    <s v="Samba Diakité"/>
    <n v="628981800"/>
    <m/>
    <s v="Kiniéran"/>
    <n v="82"/>
    <s v="Labour + Pulvérisation"/>
    <n v="30"/>
    <s v="Nerica 19"/>
    <s v="Nerica 19"/>
    <s v="4 mois"/>
    <d v="2023-06-10T00:00:00"/>
    <s v="Aptes à la mécanisation"/>
    <s v="Nounkè Doumbouya"/>
    <s v="Riz"/>
    <x v="0"/>
    <m/>
    <m/>
    <x v="0"/>
    <m/>
    <m/>
    <m/>
    <m/>
    <m/>
    <m/>
    <m/>
    <x v="16"/>
  </r>
  <r>
    <d v="2023-05-01T15:07:05"/>
    <x v="7"/>
    <s v="Cours du bloc Administratif"/>
    <s v="Individuel"/>
    <s v="Sékou KEÏTA"/>
    <n v="628935045"/>
    <m/>
    <s v="Kiniéran"/>
    <n v="85"/>
    <s v="Labour + Pulvérisation"/>
    <n v="25"/>
    <s v="Nerica 19 , bebalawouli"/>
    <s v="Nerica"/>
    <s v="4 mois"/>
    <d v="2023-06-03T00:00:00"/>
    <s v="Aptes pour la mécanisation"/>
    <s v="Nounkè Doumbouya"/>
    <s v="Riz"/>
    <x v="0"/>
    <m/>
    <m/>
    <x v="0"/>
    <m/>
    <m/>
    <m/>
    <m/>
    <m/>
    <m/>
    <m/>
    <x v="16"/>
  </r>
  <r>
    <d v="2023-05-01T22:21:46"/>
    <x v="7"/>
    <s v="Cours du bloc Administratif"/>
    <s v="Individuel"/>
    <s v="Djekè Mamadi Koulibaly"/>
    <n v="622960951"/>
    <m/>
    <s v="Kiniéran"/>
    <n v="80"/>
    <s v="Labour + Pulvérisation"/>
    <n v="20"/>
    <s v="Nerica 19 , sweta"/>
    <s v="Nerica"/>
    <s v="4 mois"/>
    <d v="2023-05-31T00:00:00"/>
    <s v="Aptes pour la mécanisation"/>
    <s v="Nounkè Doumbouya"/>
    <s v="Riz"/>
    <x v="0"/>
    <m/>
    <m/>
    <x v="0"/>
    <m/>
    <m/>
    <m/>
    <m/>
    <m/>
    <m/>
    <m/>
    <x v="16"/>
  </r>
  <r>
    <d v="2023-05-01T22:24:21"/>
    <x v="7"/>
    <s v="Cours du bloc Administratif"/>
    <s v="Collectif"/>
    <s v="Bakary HAÏDARA"/>
    <n v="621041557"/>
    <m/>
    <s v="Kiniéran"/>
    <n v="77"/>
    <s v="Labour - uniquement"/>
    <n v="30"/>
    <s v="Sweta"/>
    <s v="Ne connais pas"/>
    <s v="5 mois"/>
    <d v="2023-05-26T00:00:00"/>
    <s v="Aptes à la mécanisation"/>
    <s v="Nounkè Doumbouya"/>
    <s v="Riz"/>
    <x v="0"/>
    <m/>
    <m/>
    <x v="0"/>
    <m/>
    <m/>
    <m/>
    <m/>
    <m/>
    <m/>
    <m/>
    <x v="16"/>
  </r>
  <r>
    <d v="2023-05-01T22:30:32"/>
    <x v="7"/>
    <s v="Cours du bloc Administratif"/>
    <s v="Individuel"/>
    <s v="Alpha DIAKITÉ"/>
    <n v="621116056"/>
    <m/>
    <s v="Kiniéran"/>
    <n v="79"/>
    <s v="Labour + Pulvérisation"/>
    <n v="15"/>
    <s v="Nerica 19"/>
    <s v="Nerica"/>
    <s v="4 mois"/>
    <d v="2023-06-16T00:00:00"/>
    <s v="Aptes pour la mécanisation"/>
    <s v="Nounkè Doumbouya"/>
    <s v="Riz"/>
    <x v="0"/>
    <m/>
    <m/>
    <x v="0"/>
    <m/>
    <m/>
    <m/>
    <m/>
    <m/>
    <m/>
    <m/>
    <x v="16"/>
  </r>
  <r>
    <d v="2023-05-01T22:34:23"/>
    <x v="7"/>
    <s v="Cours du bloc Administratif"/>
    <s v="Individuel"/>
    <s v="Sidiki Diakité"/>
    <n v="628262334"/>
    <m/>
    <s v="Kiniéran"/>
    <n v="81"/>
    <s v="Labour + Pulvérisation"/>
    <n v="17"/>
    <s v="Nerica 19"/>
    <s v="Nerica"/>
    <s v="4 mois"/>
    <d v="2023-06-02T00:00:00"/>
    <s v="Aptes à la mécanisation"/>
    <s v="Nounkè Doumbouya"/>
    <s v="Riz"/>
    <x v="0"/>
    <m/>
    <m/>
    <x v="0"/>
    <m/>
    <m/>
    <m/>
    <m/>
    <m/>
    <m/>
    <m/>
    <x v="16"/>
  </r>
  <r>
    <d v="2023-05-01T22:39:18"/>
    <x v="7"/>
    <s v="Cours du bloc Administratif"/>
    <s v="Collectif"/>
    <s v="Balla Koulibaly"/>
    <n v="622015376"/>
    <m/>
    <s v="Kiniéran"/>
    <n v="79"/>
    <s v="Labour - uniquement"/>
    <n v="25"/>
    <s v="ADRAO"/>
    <s v="Ne connais pas"/>
    <s v="5 mois"/>
    <d v="2023-05-30T00:00:00"/>
    <s v="Aptes à la mécanisation"/>
    <s v="Nounkè Doumbouya"/>
    <s v="Riz"/>
    <x v="0"/>
    <m/>
    <m/>
    <x v="0"/>
    <m/>
    <m/>
    <m/>
    <m/>
    <m/>
    <m/>
    <m/>
    <x v="16"/>
  </r>
  <r>
    <d v="2023-05-01T22:46:03"/>
    <x v="7"/>
    <s v="Cours du bloc Administratif"/>
    <s v="Collectif"/>
    <s v="Moussa Sacko"/>
    <n v="628652521"/>
    <m/>
    <s v="Kiniéran"/>
    <n v="68"/>
    <s v="Labour + Pulvérisation"/>
    <n v="30"/>
    <s v="Bebalawouli"/>
    <s v="Ne connais pas"/>
    <s v="4 mois"/>
    <d v="2023-06-06T00:00:00"/>
    <s v="Aptes à la mécanisation"/>
    <s v="Nounkè Doumbouya"/>
    <s v="Riz"/>
    <x v="0"/>
    <m/>
    <m/>
    <x v="0"/>
    <m/>
    <m/>
    <m/>
    <m/>
    <m/>
    <m/>
    <m/>
    <x v="16"/>
  </r>
  <r>
    <d v="2023-05-01T22:48:54"/>
    <x v="7"/>
    <s v="Cours du bloc Administratif"/>
    <s v="Collectif"/>
    <s v="Sékou Touraby Koulibaly"/>
    <n v="622239720"/>
    <m/>
    <s v="Kiniéran"/>
    <n v="77"/>
    <s v="Labour + Pulvérisation"/>
    <n v="195"/>
    <s v="Nerica 4 et 19, sweta"/>
    <s v="Nerica"/>
    <s v="4 mois"/>
    <d v="2023-06-05T00:00:00"/>
    <s v="Aptes pour la mécanisation"/>
    <s v="Nounkè Doumbouya"/>
    <s v="Riz"/>
    <x v="1"/>
    <n v="30"/>
    <d v="2023-05-04T00:00:00"/>
    <x v="17"/>
    <s v="7MNA002"/>
    <m/>
    <m/>
    <m/>
    <m/>
    <m/>
    <m/>
    <x v="16"/>
  </r>
  <r>
    <d v="2023-05-01T22:51:20"/>
    <x v="7"/>
    <s v="Cours du bloc Administratif"/>
    <s v="Individuel"/>
    <s v="Moussa kanté"/>
    <n v="628103773"/>
    <m/>
    <s v="Kiniéran"/>
    <n v="79"/>
    <s v="Labour + Pulvérisation"/>
    <n v="25"/>
    <s v="Nerica 19"/>
    <s v="Nerica"/>
    <s v="4 mois"/>
    <d v="2023-06-06T00:00:00"/>
    <s v="Aptes pour la mécanisation"/>
    <s v="Nounkè Doumbouya"/>
    <s v="Riz"/>
    <x v="0"/>
    <m/>
    <m/>
    <x v="0"/>
    <m/>
    <m/>
    <m/>
    <m/>
    <m/>
    <m/>
    <m/>
    <x v="16"/>
  </r>
  <r>
    <d v="2023-05-01T22:54:16"/>
    <x v="7"/>
    <s v="Cours du bloc Administratif"/>
    <s v="Collectif"/>
    <s v="Mohamed Doumbouya"/>
    <n v="628879665"/>
    <m/>
    <s v="Kiniéran"/>
    <n v="78"/>
    <s v="Labour - uniquement"/>
    <n v="30"/>
    <s v="ADRAO"/>
    <s v="Ne connais pas"/>
    <s v="4 mois"/>
    <d v="2023-06-15T00:00:00"/>
    <s v="Aptes pour la mécanisation"/>
    <s v="Nounkè Doumbouya"/>
    <s v="Riz"/>
    <x v="0"/>
    <m/>
    <m/>
    <x v="0"/>
    <m/>
    <m/>
    <m/>
    <m/>
    <m/>
    <m/>
    <m/>
    <x v="16"/>
  </r>
  <r>
    <d v="2023-05-02T01:04:49"/>
    <x v="6"/>
    <s v="Dinguiraye centre"/>
    <s v="Individuel"/>
    <s v="M.bemba kaba"/>
    <n v="622917579"/>
    <m/>
    <s v="Dialakoro"/>
    <n v="60"/>
    <s v="Labour + Pulvérisation"/>
    <n v="8"/>
    <s v="Dissi"/>
    <s v="Dissi"/>
    <s v="4 mois"/>
    <d v="2023-05-25T00:00:00"/>
    <m/>
    <s v="Mamadou 1 Diallo"/>
    <s v="Riz"/>
    <x v="0"/>
    <m/>
    <m/>
    <x v="0"/>
    <m/>
    <m/>
    <m/>
    <m/>
    <m/>
    <m/>
    <m/>
    <x v="16"/>
  </r>
  <r>
    <d v="2023-05-02T01:08:07"/>
    <x v="6"/>
    <s v="Dinguiraye centre"/>
    <s v="Individuel"/>
    <s v="Sidy Dramé"/>
    <n v="622209871"/>
    <m/>
    <s v="Dialakoro"/>
    <n v="65"/>
    <s v="Labour + Pulvérisation"/>
    <n v="5"/>
    <s v="Maloningbè"/>
    <s v="Nankin blanc"/>
    <s v="3 mois"/>
    <d v="2023-06-20T00:00:00"/>
    <m/>
    <s v="Mamadou 1 Diallo"/>
    <s v="Riz"/>
    <x v="0"/>
    <m/>
    <m/>
    <x v="0"/>
    <m/>
    <m/>
    <m/>
    <m/>
    <m/>
    <m/>
    <m/>
    <x v="16"/>
  </r>
  <r>
    <d v="2023-05-02T01:11:03"/>
    <x v="6"/>
    <s v="Dinguiraye centre"/>
    <s v="Individuel"/>
    <s v="Alpha Dramé"/>
    <n v="622090210"/>
    <m/>
    <s v="Dialakoro"/>
    <n v="56"/>
    <s v="Labour + Pulvérisation"/>
    <n v="6"/>
    <s v="Kaoulaka"/>
    <s v="Kaoulaka"/>
    <s v="4 mois"/>
    <d v="2023-05-25T00:00:00"/>
    <m/>
    <s v="Mamadou 1 Diallo"/>
    <s v="Riz"/>
    <x v="0"/>
    <m/>
    <m/>
    <x v="0"/>
    <m/>
    <m/>
    <m/>
    <m/>
    <m/>
    <m/>
    <m/>
    <x v="16"/>
  </r>
  <r>
    <d v="2023-05-02T01:13:32"/>
    <x v="6"/>
    <s v="Dinguiraye centre"/>
    <s v="Individuel"/>
    <s v="Mamadou sylla"/>
    <n v="628007041"/>
    <m/>
    <s v="Dialakoro"/>
    <n v="67"/>
    <s v="Labour + Pulvérisation"/>
    <n v="3"/>
    <s v="Morice"/>
    <s v="Morice"/>
    <s v="4 mois"/>
    <d v="2023-06-05T00:00:00"/>
    <m/>
    <s v="Mamadou 1 Diallo"/>
    <s v="Riz"/>
    <x v="0"/>
    <m/>
    <m/>
    <x v="0"/>
    <m/>
    <m/>
    <m/>
    <m/>
    <m/>
    <m/>
    <m/>
    <x v="16"/>
  </r>
  <r>
    <d v="2023-05-02T01:16:15"/>
    <x v="6"/>
    <s v="Dinguiraye centre"/>
    <s v="Individuel"/>
    <s v="Karamo Dramé"/>
    <n v="622670421"/>
    <m/>
    <s v="Dialakoro"/>
    <n v="62"/>
    <s v="Labour + Pulvérisation"/>
    <n v="4"/>
    <s v="Djoukeme"/>
    <s v="Djoukeme"/>
    <s v="4 mois"/>
    <d v="2023-05-30T00:00:00"/>
    <m/>
    <s v="Mamadou 1 Diallo"/>
    <s v="Riz"/>
    <x v="0"/>
    <m/>
    <m/>
    <x v="0"/>
    <m/>
    <m/>
    <m/>
    <m/>
    <m/>
    <m/>
    <m/>
    <x v="16"/>
  </r>
  <r>
    <d v="2023-05-02T01:19:17"/>
    <x v="6"/>
    <s v="Dinguiraye centre"/>
    <s v="Individuel"/>
    <s v="Noumoukè 1 kaba"/>
    <n v="662670421"/>
    <m/>
    <s v="Dialakoro"/>
    <n v="54"/>
    <s v="Labour + Pulvérisation"/>
    <n v="5"/>
    <s v="Banankoro"/>
    <s v="Banankoro"/>
    <s v="4 mois"/>
    <d v="2023-06-01T00:00:00"/>
    <m/>
    <s v="Mamadou 1 Diallo"/>
    <s v="Riz"/>
    <x v="0"/>
    <m/>
    <m/>
    <x v="0"/>
    <m/>
    <m/>
    <m/>
    <m/>
    <m/>
    <m/>
    <m/>
    <x v="16"/>
  </r>
  <r>
    <d v="2023-05-02T01:22:34"/>
    <x v="6"/>
    <s v="Dinguiraye centre"/>
    <s v="Individuel"/>
    <s v="Laye karamo Dramé"/>
    <n v="622670421"/>
    <m/>
    <s v="Dialakoro"/>
    <n v="62"/>
    <s v="Labour + Pulvérisation"/>
    <n v="10"/>
    <s v="Dissiba-oulén"/>
    <s v="Dissiba-oulén"/>
    <s v="4 mois"/>
    <d v="2023-06-05T00:00:00"/>
    <m/>
    <s v="Mamadou 1 Diallo"/>
    <s v="Riz"/>
    <x v="0"/>
    <m/>
    <m/>
    <x v="0"/>
    <m/>
    <m/>
    <m/>
    <m/>
    <m/>
    <m/>
    <m/>
    <x v="16"/>
  </r>
  <r>
    <d v="2023-05-02T01:25:56"/>
    <x v="6"/>
    <s v="Dinguiraye centre"/>
    <s v="Individuel"/>
    <s v="Keoulén kaba"/>
    <n v="622242159"/>
    <m/>
    <s v="Dialakoro"/>
    <n v="60"/>
    <s v="Labour + Pulvérisation"/>
    <n v="8"/>
    <s v="Sonsopolon"/>
    <s v="Sonsopolon"/>
    <s v="4 mois"/>
    <d v="2023-06-10T00:00:00"/>
    <m/>
    <s v="Mamadou 1 Diallo"/>
    <s v="Riz"/>
    <x v="0"/>
    <m/>
    <m/>
    <x v="0"/>
    <m/>
    <m/>
    <m/>
    <m/>
    <m/>
    <m/>
    <m/>
    <x v="16"/>
  </r>
  <r>
    <d v="2023-05-02T01:28:30"/>
    <x v="6"/>
    <s v="Dinguiraye centre"/>
    <s v="Individuel"/>
    <s v="Noumoukè sylla"/>
    <n v="622242192"/>
    <m/>
    <s v="Dialakoro"/>
    <n v="65"/>
    <s v="Labour + Pulvérisation"/>
    <n v="5"/>
    <s v="Daffing"/>
    <s v="Daffing"/>
    <s v="4 mois"/>
    <d v="2023-06-12T00:00:00"/>
    <m/>
    <s v="Mamadou 1 Diallo"/>
    <s v="Riz"/>
    <x v="0"/>
    <m/>
    <m/>
    <x v="0"/>
    <m/>
    <m/>
    <m/>
    <m/>
    <m/>
    <m/>
    <m/>
    <x v="16"/>
  </r>
  <r>
    <d v="2023-05-02T01:30:37"/>
    <x v="6"/>
    <s v="Dinguiraye centre"/>
    <s v="Individuel"/>
    <s v="Almamy kaba"/>
    <n v="628526231"/>
    <m/>
    <s v="Dialakoro"/>
    <n v="60"/>
    <s v="Labour + Pulvérisation"/>
    <n v="9"/>
    <s v="Dissiba-oulén"/>
    <s v="Dissiba-oulén"/>
    <s v="4 mois"/>
    <d v="2023-05-30T00:00:00"/>
    <m/>
    <s v="Mamadou 1 Diallo"/>
    <s v="Riz"/>
    <x v="0"/>
    <m/>
    <m/>
    <x v="0"/>
    <m/>
    <m/>
    <m/>
    <m/>
    <m/>
    <m/>
    <m/>
    <x v="16"/>
  </r>
  <r>
    <d v="2023-05-02T01:34:47"/>
    <x v="6"/>
    <s v="Dinguiraye centre"/>
    <s v="Individuel"/>
    <s v="Hadja kade kaba"/>
    <n v="611202598"/>
    <m/>
    <s v="Dialakoro"/>
    <n v="57"/>
    <s v="Labour + Pulvérisation"/>
    <n v="5"/>
    <s v="Chinoise"/>
    <s v="Chinoise"/>
    <s v="3 mois"/>
    <d v="2023-06-30T00:00:00"/>
    <m/>
    <s v="Mamadou 1 Diallo"/>
    <s v="Riz"/>
    <x v="0"/>
    <m/>
    <m/>
    <x v="0"/>
    <m/>
    <m/>
    <m/>
    <m/>
    <m/>
    <m/>
    <m/>
    <x v="16"/>
  </r>
  <r>
    <d v="2023-05-02T01:37:10"/>
    <x v="6"/>
    <s v="Dinguiraye centre"/>
    <s v="Individuel"/>
    <s v="Okass touré"/>
    <n v="622242192"/>
    <m/>
    <s v="Dialakoro"/>
    <n v="60"/>
    <s v="Labour + Pulvérisation"/>
    <n v="3"/>
    <s v="Dissiba-oulén"/>
    <s v="Dissiba-oulén"/>
    <s v="4 mois"/>
    <d v="2023-05-31T00:00:00"/>
    <m/>
    <s v="Mamadou 1 Diallo"/>
    <s v="Riz"/>
    <x v="0"/>
    <m/>
    <m/>
    <x v="0"/>
    <m/>
    <m/>
    <m/>
    <m/>
    <m/>
    <m/>
    <m/>
    <x v="16"/>
  </r>
  <r>
    <d v="2023-05-02T01:40:32"/>
    <x v="6"/>
    <s v="Dinguiraye centre"/>
    <s v="Individuel"/>
    <s v="Kenny Kourouma"/>
    <n v="622318688"/>
    <m/>
    <s v="Dialakoro"/>
    <n v="62"/>
    <s v="Labour + Pulvérisation"/>
    <n v="3"/>
    <s v="Dissiba-oulén"/>
    <s v="Dissiba-oulén"/>
    <s v="4 mois"/>
    <d v="2023-05-25T00:00:00"/>
    <m/>
    <s v="Mamadou 1 Diallo"/>
    <s v="Riz"/>
    <x v="0"/>
    <m/>
    <m/>
    <x v="0"/>
    <m/>
    <m/>
    <m/>
    <m/>
    <m/>
    <m/>
    <m/>
    <x v="16"/>
  </r>
  <r>
    <d v="2023-05-02T01:43:12"/>
    <x v="6"/>
    <s v="Dinguiraye centre"/>
    <s v="Individuel"/>
    <s v="Mamadou Dian"/>
    <n v="622090188"/>
    <m/>
    <s v="Dialakoro"/>
    <n v="60"/>
    <s v="Labour + Pulvérisation"/>
    <n v="2"/>
    <s v="CK90"/>
    <s v="CK90"/>
    <s v="5 mois"/>
    <d v="2023-05-10T00:00:00"/>
    <m/>
    <s v="Mamadou 1 Diallo"/>
    <s v="Riz"/>
    <x v="0"/>
    <m/>
    <m/>
    <x v="0"/>
    <m/>
    <m/>
    <m/>
    <m/>
    <m/>
    <m/>
    <m/>
    <x v="16"/>
  </r>
  <r>
    <d v="2023-05-02T01:50:22"/>
    <x v="6"/>
    <s v="Dinguiraye"/>
    <s v="Individuel"/>
    <s v="Fatou Dramé"/>
    <n v="628872062"/>
    <m/>
    <s v="Dialakoro"/>
    <n v="60"/>
    <s v="Labour + Pulvérisation"/>
    <n v="4"/>
    <s v="CK90"/>
    <s v="CK90"/>
    <s v="5 mois"/>
    <d v="2023-05-25T00:00:00"/>
    <s v="CK90 c'est la semence envoyé par la DNA et donner aux producteurs nécessiteux à crédit remboursable à la fin de la récolte sans intérêt, un sac/1"/>
    <s v="Mamadou 1 Diallo"/>
    <s v="Riz"/>
    <x v="0"/>
    <m/>
    <m/>
    <x v="0"/>
    <m/>
    <m/>
    <m/>
    <m/>
    <m/>
    <m/>
    <m/>
    <x v="16"/>
  </r>
  <r>
    <d v="2023-05-02T01:52:29"/>
    <x v="6"/>
    <s v="Dinguiraye centre"/>
    <s v="Individuel"/>
    <s v="Kaou konsondou"/>
    <n v="628980059"/>
    <m/>
    <s v="Dialakoro"/>
    <n v="66"/>
    <s v="Labour + Pulvérisation"/>
    <n v="4"/>
    <s v="Dissiba-oulén"/>
    <s v="Dissiba-oulén"/>
    <s v="4 mois"/>
    <d v="2023-05-30T00:00:00"/>
    <m/>
    <s v="Mamadou 1 Diallo"/>
    <s v="Riz"/>
    <x v="0"/>
    <m/>
    <m/>
    <x v="0"/>
    <m/>
    <m/>
    <m/>
    <m/>
    <m/>
    <m/>
    <m/>
    <x v="16"/>
  </r>
  <r>
    <d v="2023-05-02T01:55:20"/>
    <x v="6"/>
    <s v="Dinguiraye centre"/>
    <s v="Individuel"/>
    <s v="Souleymane bah"/>
    <n v="611326470"/>
    <m/>
    <s v="Dialakoro"/>
    <n v="67"/>
    <s v="Labour + Pulvérisation"/>
    <n v="3"/>
    <s v="CK91"/>
    <s v="Ck91"/>
    <s v="4 mois"/>
    <d v="2023-05-25T00:00:00"/>
    <m/>
    <s v="Mamadou 1 Diallo"/>
    <s v="Riz"/>
    <x v="0"/>
    <m/>
    <m/>
    <x v="0"/>
    <m/>
    <m/>
    <m/>
    <m/>
    <m/>
    <m/>
    <m/>
    <x v="16"/>
  </r>
  <r>
    <d v="2023-05-02T01:57:14"/>
    <x v="6"/>
    <s v="Dinguiraye centre"/>
    <s v="Individuel"/>
    <s v="Douty kaba"/>
    <n v="620976124"/>
    <m/>
    <s v="Dialakoro"/>
    <n v="58"/>
    <s v="Labour + Pulvérisation"/>
    <n v="4"/>
    <s v="Dissiba-oulén"/>
    <s v="Dissiba-oulén"/>
    <s v="4 mois"/>
    <d v="2023-05-28T00:00:00"/>
    <m/>
    <s v="Mamadou 1 Diallo"/>
    <s v="Riz"/>
    <x v="0"/>
    <m/>
    <m/>
    <x v="0"/>
    <m/>
    <m/>
    <m/>
    <m/>
    <m/>
    <m/>
    <m/>
    <x v="16"/>
  </r>
  <r>
    <d v="2023-05-02T01:59:06"/>
    <x v="6"/>
    <s v="Dinguiraye centre"/>
    <s v="Individuel"/>
    <s v="Sory Dramé"/>
    <n v="622434222"/>
    <m/>
    <s v="Dialakoro"/>
    <n v="8"/>
    <s v="Labour + Pulvérisation"/>
    <n v="65"/>
    <s v="Dissiba-oulén"/>
    <s v="Dissiba-oulén"/>
    <s v="4 mois"/>
    <d v="2023-05-20T00:00:00"/>
    <m/>
    <s v="Mamadou 1 Diallo"/>
    <s v="Riz"/>
    <x v="0"/>
    <m/>
    <m/>
    <x v="0"/>
    <m/>
    <m/>
    <m/>
    <m/>
    <m/>
    <m/>
    <m/>
    <x v="16"/>
  </r>
  <r>
    <d v="2023-05-02T02:01:09"/>
    <x v="6"/>
    <s v="Dinguiraye centre"/>
    <s v="Individuel"/>
    <s v="Bakary Dramé"/>
    <n v="622229013"/>
    <m/>
    <s v="Dialakoro"/>
    <n v="60"/>
    <s v="Labour + Pulvérisation"/>
    <n v="5"/>
    <s v="Dissiba-oulén"/>
    <s v="Dissiba-oulén"/>
    <s v="4 mois"/>
    <d v="2023-05-30T00:00:00"/>
    <m/>
    <s v="Mamadou 1 Diallo"/>
    <s v="Riz"/>
    <x v="0"/>
    <m/>
    <m/>
    <x v="0"/>
    <m/>
    <m/>
    <m/>
    <m/>
    <m/>
    <m/>
    <m/>
    <x v="16"/>
  </r>
  <r>
    <d v="2023-05-02T02:03:28"/>
    <x v="6"/>
    <s v="Dinguiraye centre"/>
    <s v="Individuel"/>
    <s v="Mamadou sidibe"/>
    <n v="622080544"/>
    <m/>
    <s v="Banora"/>
    <n v="85"/>
    <s v="Labour + Pulvérisation"/>
    <n v="10"/>
    <s v="Djoukeme"/>
    <s v="Djoukeme"/>
    <s v="4 mois"/>
    <d v="2023-05-25T00:00:00"/>
    <m/>
    <s v="Mamadou 1 Diallo"/>
    <s v="Riz"/>
    <x v="0"/>
    <m/>
    <m/>
    <x v="0"/>
    <m/>
    <m/>
    <m/>
    <m/>
    <m/>
    <m/>
    <m/>
    <x v="16"/>
  </r>
  <r>
    <d v="2023-05-02T02:05:40"/>
    <x v="6"/>
    <s v="Dinguiraye centre"/>
    <s v="Individuel"/>
    <s v="Amadou kouyaté"/>
    <n v="622224023"/>
    <m/>
    <s v="Banora"/>
    <n v="83"/>
    <s v="Labour + Pulvérisation"/>
    <n v="5"/>
    <s v="Djoukeme"/>
    <s v="Djoukeme"/>
    <s v="4 mois"/>
    <d v="2023-05-28T00:00:00"/>
    <m/>
    <s v="Mamadou 1 Diallo"/>
    <s v="Riz"/>
    <x v="0"/>
    <m/>
    <m/>
    <x v="0"/>
    <m/>
    <m/>
    <m/>
    <m/>
    <m/>
    <m/>
    <m/>
    <x v="16"/>
  </r>
  <r>
    <d v="2023-05-02T02:08:20"/>
    <x v="6"/>
    <s v="Dinguiraye centre"/>
    <s v="Individuel"/>
    <s v="Gnaama Diallo"/>
    <n v="623245121"/>
    <m/>
    <s v="Kalinko"/>
    <n v="76"/>
    <s v="Labour + Pulvérisation"/>
    <n v="8"/>
    <s v="Gnina"/>
    <s v="Gnina"/>
    <s v="4 mois"/>
    <d v="2023-05-25T00:00:00"/>
    <m/>
    <s v="Mamadou 1 Diallo"/>
    <s v="Riz"/>
    <x v="0"/>
    <m/>
    <m/>
    <x v="0"/>
    <m/>
    <m/>
    <m/>
    <m/>
    <m/>
    <m/>
    <m/>
    <x v="16"/>
  </r>
  <r>
    <d v="2023-05-02T09:42:12"/>
    <x v="0"/>
    <s v="Direction préfectorale de l'agriculture et de l'élevage"/>
    <s v="Individuel"/>
    <s v="Groupement Alamalaya représenté par Edouard Oleano"/>
    <n v="622780290"/>
    <m/>
    <s v="Macenta Centre"/>
    <n v="12"/>
    <s v="Labour - uniquement"/>
    <n v="2"/>
    <s v="Chinoiba"/>
    <s v="Oriza sativa"/>
    <s v="5 mois"/>
    <d v="2023-05-05T00:00:00"/>
    <s v="Pas"/>
    <s v="Alexandre Kpoghomou"/>
    <s v="Riz"/>
    <x v="1"/>
    <n v="2"/>
    <d v="2023-05-02T00:00:00"/>
    <x v="17"/>
    <s v="8MTA004T"/>
    <m/>
    <m/>
    <m/>
    <m/>
    <m/>
    <m/>
    <x v="16"/>
  </r>
  <r>
    <d v="2023-05-02T10:20:40"/>
    <x v="15"/>
    <s v="Direction Préfectoral de l'Agriculture et de l'Élevage de Lola"/>
    <s v="Individuel"/>
    <s v="Angeline kpoulomou"/>
    <n v="626557374"/>
    <m/>
    <s v="Lainé"/>
    <n v="20"/>
    <s v="Labour - uniquement"/>
    <n v="4"/>
    <s v="Jaune_jaune"/>
    <s v="Zea Mays"/>
    <s v="3 mois"/>
    <d v="2023-05-06T00:00:00"/>
    <m/>
    <s v="Pokpa Delamou"/>
    <s v="Maïs"/>
    <x v="0"/>
    <m/>
    <m/>
    <x v="0"/>
    <m/>
    <m/>
    <m/>
    <m/>
    <m/>
    <m/>
    <m/>
    <x v="16"/>
  </r>
  <r>
    <d v="2023-05-02T10:38:06"/>
    <x v="6"/>
    <s v="Dinguiraye centre"/>
    <s v="Individuel"/>
    <s v="Sidafa kouyaté"/>
    <n v="622120084"/>
    <m/>
    <s v="Banora"/>
    <n v="85"/>
    <s v="Labour + Pulvérisation"/>
    <n v="5"/>
    <s v="Dissiba-oulén"/>
    <s v="Dissiba-oulén"/>
    <s v="4 mois"/>
    <d v="2023-05-06T00:00:00"/>
    <m/>
    <s v="Mamadou 1 Diallo"/>
    <s v="Riz"/>
    <x v="0"/>
    <m/>
    <m/>
    <x v="0"/>
    <m/>
    <m/>
    <m/>
    <m/>
    <m/>
    <m/>
    <m/>
    <x v="16"/>
  </r>
  <r>
    <d v="2023-05-02T10:56:19"/>
    <x v="17"/>
    <s v="COMMUNE urbaine de GAOUAL"/>
    <s v="Individuel"/>
    <s v="Elhadj Bagui Diakité"/>
    <n v="623425434"/>
    <m/>
    <s v="Koumbia"/>
    <n v="32"/>
    <s v="Labour - uniquement"/>
    <n v="2"/>
    <s v="Djoulkemè"/>
    <s v="DIOULKÉMÈ"/>
    <s v="4 mois"/>
    <d v="2023-06-05T00:00:00"/>
    <m/>
    <s v="Soriba Moustapha Camara"/>
    <s v="Riz"/>
    <x v="0"/>
    <m/>
    <m/>
    <x v="0"/>
    <m/>
    <m/>
    <m/>
    <m/>
    <m/>
    <m/>
    <m/>
    <x v="16"/>
  </r>
  <r>
    <d v="2023-05-02T11:26:15"/>
    <x v="17"/>
    <s v="COMMUNE URBAINE"/>
    <s v="Individuel"/>
    <s v="DIOULDÉ MALI"/>
    <n v="628169348"/>
    <m/>
    <s v="Koumbia"/>
    <n v="32"/>
    <s v="Labour + Pulvérisation"/>
    <n v="2"/>
    <s v="DIOULKÉMÈ"/>
    <s v="DIOULKÉMÈ"/>
    <s v="3 mois"/>
    <d v="2023-06-06T00:00:00"/>
    <m/>
    <s v="Soriba Moustapha Camara"/>
    <s v="Riz"/>
    <x v="0"/>
    <m/>
    <m/>
    <x v="0"/>
    <m/>
    <m/>
    <m/>
    <m/>
    <m/>
    <m/>
    <m/>
    <x v="16"/>
  </r>
  <r>
    <d v="2023-05-02T11:30:16"/>
    <x v="17"/>
    <s v="COMMUNE URBAINE"/>
    <s v="Individuel"/>
    <s v="MAMADOU DIAN BALDÉ"/>
    <n v="622466088"/>
    <m/>
    <s v="Koumbia"/>
    <n v="32"/>
    <s v="Labour + Pulvérisation"/>
    <n v="2"/>
    <s v="DIOULKÉMÈ"/>
    <s v="DIOULKÉMÈ"/>
    <s v="4 mois"/>
    <d v="2023-05-16T00:00:00"/>
    <m/>
    <s v="Soriba Moustapha Camara"/>
    <s v="Riz"/>
    <x v="0"/>
    <m/>
    <m/>
    <x v="0"/>
    <m/>
    <m/>
    <m/>
    <m/>
    <m/>
    <m/>
    <m/>
    <x v="16"/>
  </r>
  <r>
    <d v="2023-05-02T11:35:32"/>
    <x v="17"/>
    <s v="COMMUNE URBAINE"/>
    <s v="Individuel"/>
    <s v="MAMADOU BAILLO DIALLO"/>
    <n v="628169348"/>
    <m/>
    <s v="Koumbia"/>
    <n v="32"/>
    <s v="Labour + Pulvérisation"/>
    <n v="2"/>
    <s v="DIOULKÉMÈ"/>
    <s v="DIOULKÉMÈ"/>
    <s v="3 mois"/>
    <d v="2023-05-17T00:00:00"/>
    <s v="NUMÉRO TÉLÉPHONE D'UNE PERSONNE RESSOURCES"/>
    <s v="Soriba Moustapha Camara"/>
    <s v="Riz"/>
    <x v="0"/>
    <m/>
    <m/>
    <x v="0"/>
    <m/>
    <m/>
    <m/>
    <m/>
    <m/>
    <m/>
    <m/>
    <x v="16"/>
  </r>
  <r>
    <d v="2023-05-02T11:39:06"/>
    <x v="17"/>
    <s v="COMMUNE URBAINE"/>
    <s v="Individuel"/>
    <s v="ALLAH OUROU KOULIBALY"/>
    <n v="628169348"/>
    <m/>
    <s v="Koumbia"/>
    <n v="32"/>
    <s v="Labour + Pulvérisation"/>
    <n v="2"/>
    <s v="DIOULKÉMÈ"/>
    <s v="DIOULKÉMÈ"/>
    <s v="3 mois"/>
    <d v="2023-05-18T00:00:00"/>
    <s v="Numéro, personne ressource..."/>
    <s v="Soriba Moustapha Camara"/>
    <s v="Riz"/>
    <x v="0"/>
    <m/>
    <m/>
    <x v="0"/>
    <m/>
    <m/>
    <m/>
    <m/>
    <m/>
    <m/>
    <m/>
    <x v="16"/>
  </r>
  <r>
    <d v="2023-05-02T11:46:37"/>
    <x v="17"/>
    <s v="C U"/>
    <s v="Collectif"/>
    <s v="MAMADOU GANDHO BAH"/>
    <n v="622986853"/>
    <m/>
    <s v="Koumbia"/>
    <n v="45"/>
    <s v="Labour + Pulvérisation"/>
    <n v="10"/>
    <s v="DIOULKÉMÈ"/>
    <s v="DIOULKÉMÈ"/>
    <s v="3 mois"/>
    <d v="2023-05-25T00:00:00"/>
    <m/>
    <s v="Soriba Moustapha Camara"/>
    <s v="Riz"/>
    <x v="0"/>
    <m/>
    <m/>
    <x v="0"/>
    <m/>
    <m/>
    <m/>
    <m/>
    <m/>
    <m/>
    <m/>
    <x v="16"/>
  </r>
  <r>
    <d v="2023-05-02T11:50:25"/>
    <x v="17"/>
    <s v="C U"/>
    <s v="Individuel"/>
    <s v="BOUBACAR GNAMPIA"/>
    <n v="628169348"/>
    <m/>
    <s v="Koumbia"/>
    <n v="40"/>
    <s v="Labour + Pulvérisation"/>
    <n v="2"/>
    <s v="DIOULKÉMÈ"/>
    <s v="DIOULKÉMÈ"/>
    <s v="3 mois"/>
    <d v="2023-05-20T00:00:00"/>
    <m/>
    <s v="Soriba Moustapha Camara"/>
    <s v="Riz"/>
    <x v="0"/>
    <m/>
    <m/>
    <x v="0"/>
    <m/>
    <m/>
    <m/>
    <m/>
    <m/>
    <m/>
    <m/>
    <x v="16"/>
  </r>
  <r>
    <d v="2023-05-02T11:51:36"/>
    <x v="2"/>
    <s v="Bordeaux"/>
    <s v="Collectif"/>
    <s v="Konkokele 1"/>
    <n v="628451165"/>
    <n v="0"/>
    <s v="Boula"/>
    <n v="185"/>
    <s v="Labour - uniquement"/>
    <n v="15"/>
    <s v="Samorikelet"/>
    <s v="Variété locale"/>
    <s v="4 mois"/>
    <d v="2023-05-05T00:00:00"/>
    <s v="Groupement agricole suite de 1er enregistrement"/>
    <s v="Moussa Alamako Keita"/>
    <s v="Riz"/>
    <x v="1"/>
    <n v="15"/>
    <d v="2023-05-02T00:00:00"/>
    <x v="17"/>
    <s v="7KAN002T"/>
    <m/>
    <m/>
    <m/>
    <m/>
    <m/>
    <m/>
    <x v="16"/>
  </r>
  <r>
    <d v="2023-05-02T12:04:01"/>
    <x v="2"/>
    <s v="Bordeaux"/>
    <s v="Individuel"/>
    <s v="Kaba Traoré"/>
    <n v="620210933"/>
    <n v="0"/>
    <s v="Sabadou-Baranama"/>
    <n v="90"/>
    <s v="Labour - uniquement"/>
    <n v="10"/>
    <s v="Soketa"/>
    <s v="Variété locale"/>
    <s v="5 mois"/>
    <d v="2023-05-06T00:00:00"/>
    <s v="Producteur moins"/>
    <s v="Moussa Alamako Keita"/>
    <s v="Riz"/>
    <x v="1"/>
    <n v="10"/>
    <d v="2023-05-02T00:00:00"/>
    <x v="17"/>
    <s v="7KAN004T"/>
    <m/>
    <m/>
    <m/>
    <m/>
    <m/>
    <m/>
    <x v="16"/>
  </r>
  <r>
    <d v="2023-05-02T12:40:46"/>
    <x v="8"/>
    <s v="Beyla centre"/>
    <s v="Individuel"/>
    <s v="Ousmane Camara"/>
    <n v="621636457"/>
    <m/>
    <s v="Samana"/>
    <n v="20"/>
    <s v="Labour - uniquement"/>
    <n v="10"/>
    <s v="Tchocho"/>
    <s v="Riz"/>
    <s v="6 mois"/>
    <d v="2023-05-03T00:00:00"/>
    <m/>
    <s v="Moussa Conde"/>
    <s v="Riz"/>
    <x v="1"/>
    <n v="20"/>
    <d v="2023-05-02T00:00:00"/>
    <x v="17"/>
    <s v="8BLA008T"/>
    <m/>
    <m/>
    <m/>
    <m/>
    <m/>
    <m/>
    <x v="16"/>
  </r>
  <r>
    <d v="2023-05-02T17:08:18"/>
    <x v="1"/>
    <s v="Siguiri"/>
    <s v="Collectif"/>
    <s v="Amara CAMARA"/>
    <n v="621196192"/>
    <m/>
    <s v="Maléa"/>
    <n v="75"/>
    <s v="Déchaumage"/>
    <n v="40"/>
    <s v="Chinois, Dissibawoulen..."/>
    <s v="Chinois, Dissibawoulen..."/>
    <s v="5 mois"/>
    <d v="2023-05-07T00:00:00"/>
    <m/>
    <s v="Nanamoudou ll Magassouba"/>
    <s v="Riz"/>
    <x v="1"/>
    <n v="40"/>
    <d v="2023-05-03T00:00:00"/>
    <x v="17"/>
    <s v="7SRI007T"/>
    <m/>
    <m/>
    <m/>
    <m/>
    <m/>
    <m/>
    <x v="16"/>
  </r>
  <r>
    <d v="2023-05-02T22:50:35"/>
    <x v="15"/>
    <s v="Direction Préfectoral de l'Agriculture et de l'Élevage de Lola"/>
    <s v="Collectif"/>
    <s v="Nouté Bamba"/>
    <n v="620778612"/>
    <m/>
    <s v="Gama Berema"/>
    <n v="15"/>
    <s v="Labour - uniquement"/>
    <n v="20"/>
    <s v="Chinois bas"/>
    <s v="Oryza Sativa"/>
    <s v="5 mois"/>
    <d v="2023-05-08T00:00:00"/>
    <m/>
    <s v="Pokpa Delamou"/>
    <s v="Riz"/>
    <x v="0"/>
    <m/>
    <m/>
    <x v="0"/>
    <m/>
    <m/>
    <m/>
    <m/>
    <m/>
    <m/>
    <m/>
    <x v="16"/>
  </r>
  <r>
    <d v="2023-05-02T22:56:01"/>
    <x v="15"/>
    <s v="Direction Préfectoral de l'Agriculture et de l'Élevage de Lola"/>
    <s v="Collectif"/>
    <s v="Nouté Bamba"/>
    <n v="620778612"/>
    <m/>
    <s v="Gama Berema"/>
    <n v="20"/>
    <s v="Labour - uniquement"/>
    <n v="20"/>
    <s v="Jaune_jaune"/>
    <s v="Zea Mays"/>
    <s v="3 mois"/>
    <d v="2023-05-14T00:00:00"/>
    <m/>
    <s v="Pokpa Delamou"/>
    <s v="Maïs"/>
    <x v="0"/>
    <m/>
    <m/>
    <x v="0"/>
    <m/>
    <m/>
    <m/>
    <m/>
    <m/>
    <m/>
    <m/>
    <x v="16"/>
  </r>
  <r>
    <d v="2023-05-03T01:05:57"/>
    <x v="6"/>
    <s v="Dinguiraye centre"/>
    <s v="Individuel"/>
    <s v="Abdoulaye Diallo"/>
    <n v="628138875"/>
    <m/>
    <s v="Sélouma"/>
    <n v="40"/>
    <s v="Labour + Pulvérisation"/>
    <n v="8"/>
    <s v="Gniina"/>
    <s v="Gniina"/>
    <s v="4 mois"/>
    <d v="2023-05-30T00:00:00"/>
    <m/>
    <s v="Mamadou 1 Diallo"/>
    <s v="Riz"/>
    <x v="0"/>
    <m/>
    <m/>
    <x v="0"/>
    <m/>
    <m/>
    <m/>
    <m/>
    <m/>
    <m/>
    <m/>
    <x v="16"/>
  </r>
  <r>
    <d v="2023-05-03T01:10:13"/>
    <x v="6"/>
    <s v="Dinguiraye centre"/>
    <s v="Individuel"/>
    <s v="Bakary N,diaye"/>
    <n v="622298683"/>
    <m/>
    <s v="Kalinko"/>
    <n v="75"/>
    <s v="Labour + Pulvérisation"/>
    <n v="10"/>
    <s v="Dissiba-oulén"/>
    <s v="Dissiba-oulén"/>
    <s v="4 mois"/>
    <d v="2023-06-05T00:00:00"/>
    <m/>
    <s v="Mamadou 1 Diallo"/>
    <s v="Riz"/>
    <x v="0"/>
    <m/>
    <m/>
    <x v="0"/>
    <m/>
    <m/>
    <m/>
    <m/>
    <m/>
    <m/>
    <m/>
    <x v="16"/>
  </r>
  <r>
    <d v="2023-05-03T01:14:13"/>
    <x v="6"/>
    <s v="Dinguiraye centre"/>
    <s v="Individuel"/>
    <s v="Ousmane sow"/>
    <n v="622838855"/>
    <m/>
    <s v="Sélouma"/>
    <n v="40"/>
    <s v="Labour + Pulvérisation"/>
    <n v="5"/>
    <s v="Morice"/>
    <s v="Morice"/>
    <s v="4 mois"/>
    <d v="2023-05-30T00:00:00"/>
    <m/>
    <s v="Mamadou 1 Diallo"/>
    <s v="Riz"/>
    <x v="0"/>
    <m/>
    <m/>
    <x v="0"/>
    <m/>
    <m/>
    <m/>
    <m/>
    <m/>
    <m/>
    <m/>
    <x v="16"/>
  </r>
  <r>
    <d v="2023-05-03T06:51:05"/>
    <x v="7"/>
    <s v="Cours du bloc Administratif"/>
    <s v="Individuel"/>
    <s v="Sékou BAYO"/>
    <n v="622879668"/>
    <m/>
    <s v="Kiniéran"/>
    <n v="78"/>
    <s v="Labour + Pulvérisation"/>
    <n v="25"/>
    <s v="Nerica 19"/>
    <s v="Nerica"/>
    <s v="4 mois"/>
    <d v="2023-06-05T00:00:00"/>
    <s v="Aptes pour la mécanisation"/>
    <s v="Nounkè Doumbouya"/>
    <s v="Riz"/>
    <x v="0"/>
    <m/>
    <m/>
    <x v="0"/>
    <m/>
    <m/>
    <m/>
    <m/>
    <m/>
    <m/>
    <m/>
    <x v="16"/>
  </r>
  <r>
    <d v="2023-05-03T06:53:48"/>
    <x v="7"/>
    <s v="Cours du bloc Administratif"/>
    <s v="Individuel"/>
    <s v="Samè TRAORÉ"/>
    <n v="621318735"/>
    <m/>
    <s v="Kiniéran"/>
    <n v="82"/>
    <s v="Labour + Pulvérisation"/>
    <n v="14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6"/>
  </r>
  <r>
    <d v="2023-05-03T06:56:32"/>
    <x v="7"/>
    <s v="Cours du bloc Administratif"/>
    <s v="Individuel"/>
    <s v="Fodé TRAORÉ"/>
    <n v="622489062"/>
    <m/>
    <s v="Kiniéran"/>
    <n v="82"/>
    <s v="Labour + Pulvérisation"/>
    <n v="15"/>
    <s v="Nerica 19, tchokotchoko"/>
    <s v="Nerica"/>
    <s v="5 mois"/>
    <d v="2023-06-03T00:00:00"/>
    <s v="Aptes pour la mécanisation"/>
    <s v="Nounkè Doumbouya"/>
    <s v="Riz"/>
    <x v="0"/>
    <m/>
    <m/>
    <x v="0"/>
    <m/>
    <m/>
    <m/>
    <m/>
    <m/>
    <m/>
    <m/>
    <x v="16"/>
  </r>
  <r>
    <d v="2023-05-03T06:59:32"/>
    <x v="7"/>
    <s v="Cours du bloc Administratif"/>
    <s v="Collectif"/>
    <s v="Diadaba CONDÉ"/>
    <n v="622086633"/>
    <m/>
    <s v="Kiniéran"/>
    <n v="83"/>
    <s v="Labour + Pulvérisation"/>
    <n v="22"/>
    <s v="Nerica 19"/>
    <s v="Nerica"/>
    <s v="4 mois"/>
    <d v="2023-06-10T00:00:00"/>
    <s v="Aptes pour la mécanisation"/>
    <s v="Nounkè Doumbouya"/>
    <s v="Riz"/>
    <x v="0"/>
    <m/>
    <m/>
    <x v="0"/>
    <m/>
    <m/>
    <m/>
    <m/>
    <m/>
    <m/>
    <m/>
    <x v="16"/>
  </r>
  <r>
    <d v="2023-05-03T07:02:31"/>
    <x v="7"/>
    <s v="Cours du bloc Administratif"/>
    <s v="Individuel"/>
    <s v="Soulé SIDIBÉ"/>
    <n v="628954803"/>
    <m/>
    <s v="Kiniéran"/>
    <n v="82"/>
    <s v="Labour + Pulvérisation"/>
    <n v="18"/>
    <s v="ADRAO"/>
    <s v="ADRAO"/>
    <s v="5 mois"/>
    <d v="2023-05-25T00:00:00"/>
    <s v="Aptes pour la mécanisation"/>
    <s v="Nounkè Doumbouya"/>
    <s v="Riz"/>
    <x v="0"/>
    <m/>
    <m/>
    <x v="0"/>
    <m/>
    <m/>
    <m/>
    <m/>
    <m/>
    <m/>
    <m/>
    <x v="16"/>
  </r>
  <r>
    <d v="2023-05-03T07:05:37"/>
    <x v="7"/>
    <s v="Cours du bloc Administratif"/>
    <s v="Individuel"/>
    <s v="Sakaba Koulibaly"/>
    <n v="621054136"/>
    <m/>
    <s v="Kiniéran"/>
    <n v="83"/>
    <s v="Labour - uniquement"/>
    <n v="12"/>
    <s v="Bebalawouli"/>
    <s v="Ne connais pas"/>
    <s v="5 mois"/>
    <d v="2023-06-01T00:00:00"/>
    <s v="Aptes pour la mécanisation"/>
    <s v="Nounkè Doumbouya"/>
    <s v="Riz"/>
    <x v="0"/>
    <m/>
    <m/>
    <x v="0"/>
    <m/>
    <m/>
    <m/>
    <m/>
    <m/>
    <m/>
    <m/>
    <x v="16"/>
  </r>
  <r>
    <d v="2023-05-03T07:08:18"/>
    <x v="7"/>
    <s v="Cours du bloc Administratif"/>
    <s v="Collectif"/>
    <s v="Bouary DOUMBOUYA"/>
    <n v="622659462"/>
    <m/>
    <s v="Kiniéran"/>
    <n v="82"/>
    <s v="Labour + Pulvérisation"/>
    <n v="65"/>
    <s v="Nerica 19 et 4, ADRAO"/>
    <s v="Nerica"/>
    <s v="4 mois"/>
    <d v="2023-06-02T00:00:00"/>
    <s v="Aptes pour la mécanisation"/>
    <s v="Nounkè Doumbouya"/>
    <s v="Riz"/>
    <x v="0"/>
    <m/>
    <m/>
    <x v="0"/>
    <m/>
    <m/>
    <m/>
    <m/>
    <m/>
    <m/>
    <m/>
    <x v="16"/>
  </r>
  <r>
    <d v="2023-05-03T09:42:52"/>
    <x v="12"/>
    <s v="Ouassou"/>
    <s v="Individuel"/>
    <s v="Fode camara"/>
    <n v="621575211"/>
    <n v="621575211"/>
    <s v="Koba-Tatema"/>
    <n v="7"/>
    <s v="Labour - uniquement"/>
    <n v="1"/>
    <s v="Balenta"/>
    <s v="Rock5"/>
    <s v="9 mois"/>
    <d v="2023-05-03T00:00:00"/>
    <s v="Accord"/>
    <s v="Kissi Camara"/>
    <s v="Riz"/>
    <x v="1"/>
    <n v="1"/>
    <d v="2023-05-03T00:00:00"/>
    <x v="17"/>
    <s v="2DKA001T"/>
    <m/>
    <m/>
    <m/>
    <m/>
    <m/>
    <m/>
    <x v="16"/>
  </r>
  <r>
    <d v="2023-05-03T09:57:07"/>
    <x v="12"/>
    <s v="Ouassou"/>
    <s v="Individuel"/>
    <s v="Aly camara"/>
    <n v="628650600"/>
    <n v="628650600"/>
    <s v="Koba-Tatema"/>
    <n v="9"/>
    <s v="Labour - uniquement"/>
    <n v="3"/>
    <s v="Balenta"/>
    <s v="Rock5"/>
    <s v="9 mois"/>
    <d v="2023-05-05T00:00:00"/>
    <s v="Accord"/>
    <s v="Kissi Camara"/>
    <s v="Riz"/>
    <x v="1"/>
    <n v="3"/>
    <d v="2023-05-03T00:00:00"/>
    <x v="17"/>
    <s v="2DKA001T"/>
    <m/>
    <m/>
    <m/>
    <m/>
    <m/>
    <m/>
    <x v="16"/>
  </r>
  <r>
    <d v="2023-05-03T10:04:34"/>
    <x v="9"/>
    <s v="Forecariah"/>
    <s v="Individuel"/>
    <s v="Imam ahmed soumah"/>
    <n v="623597802"/>
    <m/>
    <s v="Moussaya"/>
    <n v="60"/>
    <s v="Labour - uniquement"/>
    <n v="3"/>
    <s v="CK-90"/>
    <s v="CK-90"/>
    <s v="5 mois"/>
    <d v="2023-05-04T00:00:00"/>
    <m/>
    <s v="Moussa Diakité"/>
    <s v="Riz"/>
    <x v="1"/>
    <n v="3"/>
    <d v="2023-05-03T00:00:00"/>
    <x v="17"/>
    <s v="2FAH001T"/>
    <m/>
    <m/>
    <m/>
    <m/>
    <m/>
    <m/>
    <x v="16"/>
  </r>
  <r>
    <d v="2023-05-03T10:21:50"/>
    <x v="3"/>
    <s v="Petel/ Mamou"/>
    <s v="Individuel"/>
    <s v="Lansana Mansare"/>
    <n v="623503269"/>
    <m/>
    <s v="Ouré-Kaba"/>
    <n v="80"/>
    <s v="Labour - uniquement"/>
    <n v="2"/>
    <s v="Kalya"/>
    <s v="CK21"/>
    <s v="4 mois"/>
    <d v="2023-11-05T00:00:00"/>
    <s v="Tout commence bien"/>
    <s v="Mamadouba Camara"/>
    <s v="Riz"/>
    <x v="1"/>
    <n v="2"/>
    <d v="2023-05-09T00:00:00"/>
    <x v="16"/>
    <s v="4MOU002T"/>
    <m/>
    <m/>
    <m/>
    <m/>
    <m/>
    <m/>
    <x v="16"/>
  </r>
  <r>
    <d v="2023-05-03T11:15:58"/>
    <x v="3"/>
    <s v="Petel Mamou"/>
    <s v="Individuel"/>
    <s v="Souleymane Barry"/>
    <n v="621190553"/>
    <m/>
    <s v="Ouré-Kaba"/>
    <n v="70"/>
    <s v="Labour - uniquement"/>
    <n v="6"/>
    <s v="Kalya"/>
    <s v="CK21"/>
    <s v="4 mois"/>
    <d v="2023-11-08T00:00:00"/>
    <s v="Tout commence bien"/>
    <s v="Mamadouba Camara"/>
    <s v="Riz"/>
    <x v="1"/>
    <n v="6"/>
    <d v="2023-05-09T00:00:00"/>
    <x v="16"/>
    <s v="4MOU002T"/>
    <m/>
    <m/>
    <m/>
    <m/>
    <m/>
    <m/>
    <x v="16"/>
  </r>
  <r>
    <d v="2023-05-03T11:19:38"/>
    <x v="17"/>
    <s v="C U"/>
    <s v="Individuel"/>
    <s v="MAMADOU LAMARANA Diallo"/>
    <n v="622486297"/>
    <m/>
    <s v="Koumbia"/>
    <n v="44"/>
    <s v="Labour + Pulvérisation"/>
    <n v="5"/>
    <s v="DIOULKÉMÈ"/>
    <s v="DIOULKÉMÈ"/>
    <s v="3 mois"/>
    <d v="2023-05-25T00:00:00"/>
    <m/>
    <s v="Soriba Moustapha Camara"/>
    <s v="Riz"/>
    <x v="0"/>
    <m/>
    <m/>
    <x v="0"/>
    <m/>
    <m/>
    <m/>
    <m/>
    <m/>
    <m/>
    <m/>
    <x v="16"/>
  </r>
  <r>
    <d v="2023-05-03T11:21:01"/>
    <x v="3"/>
    <s v="Petel Mamou"/>
    <s v="Individuel"/>
    <s v="Souleymane Diakité"/>
    <n v="621311638"/>
    <m/>
    <s v="Ouré-Kaba"/>
    <n v="80"/>
    <s v="Labour - uniquement"/>
    <n v="1"/>
    <s v="Kalya"/>
    <s v="CK21"/>
    <s v="4 mois"/>
    <d v="2023-11-10T00:00:00"/>
    <s v="Tout va bien"/>
    <s v="Mamadouba Camara"/>
    <s v="Riz"/>
    <x v="1"/>
    <n v="1"/>
    <d v="2023-05-09T00:00:00"/>
    <x v="16"/>
    <s v="4MOU002T"/>
    <m/>
    <m/>
    <m/>
    <m/>
    <m/>
    <m/>
    <x v="16"/>
  </r>
  <r>
    <d v="2023-05-03T11:44:12"/>
    <x v="9"/>
    <s v="Forecariah"/>
    <s v="Individuel"/>
    <s v="Almamy daouda touré"/>
    <n v="628284857"/>
    <m/>
    <s v="Alassoya"/>
    <n v="10"/>
    <s v="Labour - uniquement"/>
    <n v="5"/>
    <s v="CK-90"/>
    <s v="CK-90"/>
    <s v="5 mois"/>
    <d v="2023-05-03T00:00:00"/>
    <m/>
    <s v="Moussa Diakité"/>
    <s v="Riz"/>
    <x v="1"/>
    <n v="5"/>
    <d v="2023-05-03T00:00:00"/>
    <x v="17"/>
    <s v="2FAH004T"/>
    <m/>
    <m/>
    <m/>
    <m/>
    <m/>
    <m/>
    <x v="16"/>
  </r>
  <r>
    <d v="2023-05-03T11:59:31"/>
    <x v="12"/>
    <s v="Ouassou"/>
    <s v="Collectif"/>
    <s v="Dpae Dubreka"/>
    <n v="620584839"/>
    <n v="620584839"/>
    <s v="Tanéné"/>
    <n v="70"/>
    <s v="Labour - uniquement"/>
    <n v="20"/>
    <s v="Balenta"/>
    <s v="Rock5"/>
    <s v="9 mois"/>
    <d v="2023-05-09T00:00:00"/>
    <s v="Accord"/>
    <s v="Kissi Camara"/>
    <s v="Riz"/>
    <x v="0"/>
    <m/>
    <m/>
    <x v="0"/>
    <m/>
    <m/>
    <m/>
    <m/>
    <m/>
    <m/>
    <m/>
    <x v="16"/>
  </r>
  <r>
    <d v="2023-05-03T12:01:47"/>
    <x v="9"/>
    <s v="Forecariah"/>
    <s v="Individuel"/>
    <s v="Ibrahima sori bangoura"/>
    <n v="628212086"/>
    <m/>
    <s v="Sikhourou"/>
    <n v="55"/>
    <s v="Labour - uniquement"/>
    <n v="10"/>
    <s v="Ck-90"/>
    <s v="CK-90"/>
    <s v="6 mois"/>
    <d v="2023-05-06T00:00:00"/>
    <m/>
    <s v="Moussa Diakité"/>
    <s v="Riz"/>
    <x v="1"/>
    <n v="10"/>
    <d v="2023-05-03T00:00:00"/>
    <x v="17"/>
    <s v="2FAH004T"/>
    <m/>
    <m/>
    <m/>
    <m/>
    <m/>
    <m/>
    <x v="16"/>
  </r>
  <r>
    <d v="2023-05-03T12:17:04"/>
    <x v="3"/>
    <s v="Petel Mamou"/>
    <s v="Individuel"/>
    <s v="Mamadou dioulde Diakité"/>
    <n v="627026066"/>
    <m/>
    <s v="Ouré-Kaba"/>
    <n v="80"/>
    <s v="Labour - uniquement"/>
    <n v="1"/>
    <s v="Kalya"/>
    <s v="CK21"/>
    <s v="4 mois"/>
    <d v="2023-09-10T00:00:00"/>
    <s v="Tout commence bien"/>
    <s v="Mamadouba Camara"/>
    <s v="Riz"/>
    <x v="0"/>
    <m/>
    <m/>
    <x v="0"/>
    <m/>
    <m/>
    <m/>
    <m/>
    <m/>
    <m/>
    <m/>
    <x v="16"/>
  </r>
  <r>
    <d v="2023-05-03T12:25:20"/>
    <x v="3"/>
    <s v="Petel Mamou"/>
    <s v="Individuel"/>
    <s v="Babaen Diakité"/>
    <n v="621307012"/>
    <m/>
    <s v="Ouré-Kaba"/>
    <n v="80"/>
    <s v="Labour - uniquement"/>
    <n v="1"/>
    <s v="Kalya"/>
    <s v="CK21"/>
    <s v="4 mois"/>
    <d v="2023-11-09T00:00:00"/>
    <s v="Tout commence bien"/>
    <s v="Mamadouba Camara"/>
    <s v="Riz"/>
    <x v="0"/>
    <m/>
    <m/>
    <x v="0"/>
    <m/>
    <m/>
    <m/>
    <m/>
    <m/>
    <m/>
    <m/>
    <x v="16"/>
  </r>
  <r>
    <d v="2023-05-03T12:37:35"/>
    <x v="3"/>
    <s v="Petel Mamou"/>
    <s v="Individuel"/>
    <s v="Samba Camara"/>
    <n v="628359884"/>
    <m/>
    <s v="Mamou Centre"/>
    <n v="5"/>
    <s v="Labour - uniquement"/>
    <n v="1"/>
    <s v="Kalya"/>
    <s v="CK21"/>
    <s v="4 mois"/>
    <d v="2023-05-12T00:00:00"/>
    <s v="Tout commence bien"/>
    <s v="Mamadouba Camara"/>
    <s v="Riz"/>
    <x v="1"/>
    <n v="1"/>
    <d v="2023-05-11T00:00:00"/>
    <x v="16"/>
    <s v="4MOU002T"/>
    <m/>
    <m/>
    <m/>
    <m/>
    <m/>
    <m/>
    <x v="16"/>
  </r>
  <r>
    <d v="2023-05-03T12:44:08"/>
    <x v="3"/>
    <s v="Petel Mamou"/>
    <s v="Individuel"/>
    <s v="Noumez savane"/>
    <n v="621339461"/>
    <m/>
    <s v="Ouré-Kaba"/>
    <n v="55"/>
    <s v="Labour - uniquement"/>
    <n v="3"/>
    <s v="Seydouba"/>
    <s v="CK90"/>
    <s v="4 mois"/>
    <d v="2023-11-15T00:00:00"/>
    <s v="Tout commence bien"/>
    <s v="Mamadouba Camara"/>
    <s v="Riz"/>
    <x v="1"/>
    <n v="4"/>
    <d v="2023-05-23T00:00:00"/>
    <x v="18"/>
    <s v="4MOU002T"/>
    <m/>
    <m/>
    <m/>
    <m/>
    <m/>
    <m/>
    <x v="16"/>
  </r>
  <r>
    <d v="2023-05-03T12:49:18"/>
    <x v="3"/>
    <s v="Petel Mamou"/>
    <s v="Individuel"/>
    <s v="Sory Diakité"/>
    <n v="621034713"/>
    <m/>
    <s v="Ouré-Kaba"/>
    <n v="55"/>
    <s v="Labour - uniquement"/>
    <n v="2"/>
    <s v="Seydouba"/>
    <s v="CK90"/>
    <s v="4 mois"/>
    <d v="2023-11-14T00:00:00"/>
    <s v="Tout commence bien"/>
    <s v="Mamadouba Camara"/>
    <s v="Riz"/>
    <x v="0"/>
    <m/>
    <m/>
    <x v="0"/>
    <m/>
    <m/>
    <m/>
    <m/>
    <m/>
    <m/>
    <m/>
    <x v="16"/>
  </r>
  <r>
    <d v="2023-05-03T13:49:15"/>
    <x v="2"/>
    <s v="Bordeaux"/>
    <s v="Collectif"/>
    <s v="Solo Keita"/>
    <n v="628348894"/>
    <n v="0"/>
    <s v="Missamana"/>
    <n v="45"/>
    <s v="Labour - uniquement"/>
    <n v="40"/>
    <s v="Kaoulaka"/>
    <s v="Variété locale"/>
    <s v="5 mois"/>
    <d v="2023-05-06T00:00:00"/>
    <s v="Les petits et moins producteurs"/>
    <s v="Moussa Alamako Keita"/>
    <s v="Riz"/>
    <x v="0"/>
    <m/>
    <m/>
    <x v="0"/>
    <m/>
    <m/>
    <m/>
    <m/>
    <m/>
    <m/>
    <m/>
    <x v="16"/>
  </r>
  <r>
    <d v="2023-05-03T14:00:10"/>
    <x v="2"/>
    <s v="Bordeaux"/>
    <s v="Collectif"/>
    <s v="SOAGALGUI"/>
    <n v="610592067"/>
    <n v="0"/>
    <s v="Moribayah"/>
    <n v="100"/>
    <s v="Labour - uniquement"/>
    <n v="40"/>
    <s v="Lanyeri"/>
    <s v="Variété locale"/>
    <s v="5 mois"/>
    <d v="2023-05-07T00:00:00"/>
    <s v="Une société"/>
    <s v="Moussa Alamako Keita"/>
    <s v="Riz"/>
    <x v="0"/>
    <m/>
    <m/>
    <x v="0"/>
    <m/>
    <m/>
    <m/>
    <m/>
    <m/>
    <m/>
    <m/>
    <x v="16"/>
  </r>
  <r>
    <d v="2023-05-03T14:49:49"/>
    <x v="4"/>
    <s v="Boké centre"/>
    <s v="Collectif"/>
    <s v="Aries Farms Sarlu"/>
    <n v="629007465"/>
    <n v="0"/>
    <s v="Kolaboui"/>
    <n v="35"/>
    <s v="Labour + Pulvérisation"/>
    <n v="50"/>
    <s v="non"/>
    <s v="non"/>
    <s v="4 mois"/>
    <d v="2023-05-20T00:00:00"/>
    <s v="c est société indienne"/>
    <s v="Elhadj Souaré Mamadou Dian"/>
    <s v="Riz"/>
    <x v="1"/>
    <n v="12.5"/>
    <d v="2023-05-17T00:00:00"/>
    <x v="4"/>
    <s v="3BKE002T"/>
    <m/>
    <m/>
    <m/>
    <m/>
    <m/>
    <m/>
    <x v="16"/>
  </r>
  <r>
    <d v="2023-05-03T15:00:13"/>
    <x v="16"/>
    <s v="Foundeng 1"/>
    <s v="Individuel"/>
    <s v="Souleymane KANTE"/>
    <n v="622413072"/>
    <n v="664827862"/>
    <s v="Bissikrima"/>
    <n v="55"/>
    <s v="Labour + Pulvérisation"/>
    <n v="20"/>
    <s v="Ck90"/>
    <s v="Ck90"/>
    <s v="4 mois"/>
    <d v="2023-05-15T00:00:00"/>
    <m/>
    <s v="Souleymane Kanté"/>
    <s v="Riz"/>
    <x v="1"/>
    <n v="10"/>
    <d v="2023-05-11T00:00:00"/>
    <x v="16"/>
    <s v="6DLA002T"/>
    <m/>
    <m/>
    <m/>
    <m/>
    <m/>
    <m/>
    <x v="16"/>
  </r>
  <r>
    <d v="2023-05-03T15:03:09"/>
    <x v="16"/>
    <s v="Foundeng 1"/>
    <s v="Individuel"/>
    <s v="Ibrahima Kaba"/>
    <n v="625974981"/>
    <m/>
    <s v="Konindou"/>
    <n v="39"/>
    <s v="Labour - uniquement"/>
    <n v="10"/>
    <s v="Ck90"/>
    <s v="Ck90"/>
    <s v="4 mois"/>
    <d v="2023-05-05T00:00:00"/>
    <m/>
    <s v="Souleymane Kanté"/>
    <s v="Riz"/>
    <x v="0"/>
    <m/>
    <m/>
    <x v="0"/>
    <m/>
    <m/>
    <m/>
    <m/>
    <m/>
    <m/>
    <m/>
    <x v="16"/>
  </r>
  <r>
    <d v="2023-05-03T15:10:05"/>
    <x v="16"/>
    <s v="Foundeng 1"/>
    <s v="Individuel"/>
    <s v="Bagou Diallo"/>
    <n v="622205851"/>
    <m/>
    <s v="Dabola Centre"/>
    <n v="10"/>
    <s v="Labour - uniquement"/>
    <n v="4"/>
    <s v="Ck90"/>
    <s v="Ck90"/>
    <s v="4 mois"/>
    <d v="2023-05-10T00:00:00"/>
    <m/>
    <s v="Souleymane Kanté"/>
    <s v="Riz"/>
    <x v="0"/>
    <m/>
    <m/>
    <x v="0"/>
    <m/>
    <m/>
    <m/>
    <m/>
    <m/>
    <m/>
    <m/>
    <x v="16"/>
  </r>
  <r>
    <d v="2023-05-03T15:12:53"/>
    <x v="16"/>
    <s v="Foundeng 1"/>
    <s v="Individuel"/>
    <s v="Banfa Camara"/>
    <n v="622628655"/>
    <m/>
    <s v="Dabola Centre"/>
    <n v="5"/>
    <s v="Labour - uniquement"/>
    <n v="1"/>
    <s v="Ck90"/>
    <s v="Ck90"/>
    <s v="4 mois"/>
    <d v="2023-05-11T00:00:00"/>
    <m/>
    <s v="Souleymane Kanté"/>
    <s v="Riz"/>
    <x v="0"/>
    <m/>
    <m/>
    <x v="0"/>
    <m/>
    <m/>
    <m/>
    <m/>
    <m/>
    <m/>
    <m/>
    <x v="16"/>
  </r>
  <r>
    <d v="2023-05-03T15:51:07"/>
    <x v="3"/>
    <s v="Petel Mamou"/>
    <s v="Individuel"/>
    <s v="Lamine savane"/>
    <n v="628692480"/>
    <m/>
    <s v="Ouré-Kaba"/>
    <n v="56"/>
    <s v="Labour - uniquement"/>
    <n v="1"/>
    <s v="Seydouba"/>
    <s v="CK90"/>
    <s v="4 mois"/>
    <d v="2023-11-11T00:00:00"/>
    <s v="Tout commence bien"/>
    <s v="Mamadouba Camara"/>
    <s v="Riz"/>
    <x v="1"/>
    <n v="1"/>
    <d v="2023-05-23T00:00:00"/>
    <x v="18"/>
    <s v="4MOU002T"/>
    <m/>
    <m/>
    <m/>
    <m/>
    <m/>
    <m/>
    <x v="16"/>
  </r>
  <r>
    <d v="2023-05-03T15:55:36"/>
    <x v="3"/>
    <s v="Petel Mamou"/>
    <s v="Individuel"/>
    <s v="Hawa savane"/>
    <n v="629074889"/>
    <m/>
    <s v="Ouré-Kaba"/>
    <n v="1"/>
    <s v="Labour - uniquement"/>
    <n v="1"/>
    <s v="Seydouba"/>
    <s v="CK90"/>
    <s v="4 mois"/>
    <d v="2023-11-12T00:00:00"/>
    <s v="Tout commence bien"/>
    <s v="Mamadouba Camara"/>
    <s v="Riz"/>
    <x v="1"/>
    <n v="1"/>
    <d v="2023-05-23T00:00:00"/>
    <x v="18"/>
    <s v="4MOU002T"/>
    <m/>
    <m/>
    <m/>
    <m/>
    <m/>
    <m/>
    <x v="16"/>
  </r>
  <r>
    <d v="2023-05-03T15:59:28"/>
    <x v="0"/>
    <s v="Direction préfectorale de l'agriculture et de l'élevage de macenta"/>
    <s v="Collectif"/>
    <s v="Koumba Camara"/>
    <n v="624256010"/>
    <m/>
    <s v="Ourémai"/>
    <n v="22"/>
    <s v="Labour - uniquement"/>
    <n v="10"/>
    <s v="Malopolo"/>
    <s v="Oriza sativa"/>
    <s v="5 mois"/>
    <d v="2023-05-13T00:00:00"/>
    <s v="Pas"/>
    <s v="Alexandre Kpoghomou"/>
    <s v="Riz"/>
    <x v="0"/>
    <m/>
    <m/>
    <x v="0"/>
    <m/>
    <m/>
    <m/>
    <m/>
    <m/>
    <m/>
    <m/>
    <x v="16"/>
  </r>
  <r>
    <d v="2023-05-03T16:00:00"/>
    <x v="3"/>
    <s v="Petel Mamou"/>
    <s v="Individuel"/>
    <s v="N'fakaba"/>
    <n v="625456336"/>
    <m/>
    <s v="Ouré-Kaba"/>
    <n v="56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  <m/>
    <m/>
    <m/>
    <x v="16"/>
  </r>
  <r>
    <d v="2023-05-03T16:03:45"/>
    <x v="3"/>
    <s v="Petel Mamou"/>
    <s v="Individuel"/>
    <s v="Sidiki kaba"/>
    <n v="620395958"/>
    <m/>
    <s v="Ouré-Kaba"/>
    <n v="59"/>
    <s v="Labour - uniquement"/>
    <n v="1"/>
    <s v="Seydouba"/>
    <s v="CK90"/>
    <s v="4 mois"/>
    <d v="2023-05-14T00:00:00"/>
    <s v="Tout commence bien"/>
    <s v="Mamadouba Camara"/>
    <s v="Riz"/>
    <x v="0"/>
    <m/>
    <m/>
    <x v="0"/>
    <m/>
    <m/>
    <m/>
    <m/>
    <m/>
    <m/>
    <m/>
    <x v="16"/>
  </r>
  <r>
    <d v="2023-05-03T16:07:27"/>
    <x v="3"/>
    <s v="Petel Mamou"/>
    <s v="Individuel"/>
    <s v="Lansana koita"/>
    <n v="625692465"/>
    <m/>
    <s v="Ouré-Kaba"/>
    <n v="56"/>
    <s v="Labour - uniquement"/>
    <n v="1"/>
    <s v="Seydouba"/>
    <s v="CK90"/>
    <s v="4 mois"/>
    <d v="2023-05-14T00:00:00"/>
    <s v="Tout commence bien"/>
    <s v="Mamadouba Camara"/>
    <s v="Riz"/>
    <x v="1"/>
    <n v="1"/>
    <d v="2023-05-23T00:00:00"/>
    <x v="18"/>
    <s v="4MOU002T"/>
    <m/>
    <m/>
    <m/>
    <m/>
    <m/>
    <m/>
    <x v="16"/>
  </r>
  <r>
    <d v="2023-05-03T16:08:38"/>
    <x v="2"/>
    <s v="Bordeaux"/>
    <s v="Collectif"/>
    <s v="Solo Keita"/>
    <n v="628348894"/>
    <n v="0"/>
    <s v="Missamana"/>
    <n v="45"/>
    <s v="Labour - uniquement"/>
    <n v="40"/>
    <s v="Kaoulaka"/>
    <s v="Variété locale"/>
    <s v="5 mois"/>
    <d v="2023-05-06T00:00:00"/>
    <s v="Champ collectif"/>
    <s v="Moussa Alamako Keita"/>
    <s v="Riz"/>
    <x v="1"/>
    <n v="40"/>
    <d v="2023-05-03T00:00:00"/>
    <x v="17"/>
    <s v="7KAN001T"/>
    <m/>
    <m/>
    <m/>
    <m/>
    <m/>
    <m/>
    <x v="16"/>
  </r>
  <r>
    <d v="2023-05-03T16:14:11"/>
    <x v="2"/>
    <s v="Bordeaux"/>
    <s v="Collectif"/>
    <s v="SOAGALGUI"/>
    <n v="610592067"/>
    <n v="0"/>
    <s v="Moribayah"/>
    <n v="100"/>
    <s v="Labour - uniquement"/>
    <n v="40"/>
    <s v="Lanyeri"/>
    <n v="5"/>
    <s v="5 mois"/>
    <d v="2023-05-07T00:00:00"/>
    <s v="Pour une société"/>
    <s v="Moussa Alamako Keita"/>
    <s v="Riz"/>
    <x v="1"/>
    <n v="40"/>
    <d v="2023-05-03T00:00:00"/>
    <x v="17"/>
    <s v="7KAN005T"/>
    <m/>
    <m/>
    <m/>
    <m/>
    <m/>
    <m/>
    <x v="16"/>
  </r>
  <r>
    <d v="2023-05-03T16:24:15"/>
    <x v="2"/>
    <s v="Bordeaux"/>
    <s v="Collectif"/>
    <s v="Konkokele"/>
    <n v="628451165"/>
    <n v="0"/>
    <s v="Boula"/>
    <n v="185"/>
    <s v="Labour - uniquement"/>
    <n v="22"/>
    <s v="Samorikelet"/>
    <s v="Variété locale"/>
    <s v="4 mois"/>
    <d v="2023-05-05T00:00:00"/>
    <s v="Groupement"/>
    <s v="Moussa Alamako Keita"/>
    <s v="Riz"/>
    <x v="1"/>
    <n v="22"/>
    <d v="2023-05-03T00:00:00"/>
    <x v="17"/>
    <s v="7KAN002T"/>
    <m/>
    <m/>
    <m/>
    <m/>
    <m/>
    <m/>
    <x v="16"/>
  </r>
  <r>
    <d v="2023-05-03T17:00:51"/>
    <x v="7"/>
    <s v="Cours du bloc Administratif"/>
    <s v="Individuel"/>
    <s v="Lanceï KEÏTA"/>
    <n v="622440516"/>
    <m/>
    <s v="Kiniéran"/>
    <n v="84"/>
    <s v="Labour + Pulvérisation"/>
    <n v="25"/>
    <s v="Nerica 19, tchokotchoko"/>
    <s v="Nerica"/>
    <s v="4 mois"/>
    <d v="2023-06-15T00:00:00"/>
    <s v="Aptes pour la mécanisation"/>
    <s v="Nounkè Doumbouya"/>
    <s v="Riz"/>
    <x v="0"/>
    <m/>
    <m/>
    <x v="0"/>
    <m/>
    <m/>
    <m/>
    <m/>
    <m/>
    <m/>
    <m/>
    <x v="16"/>
  </r>
  <r>
    <d v="2023-05-03T17:03:24"/>
    <x v="7"/>
    <s v="Cours du bloc Administratif"/>
    <s v="Individuel"/>
    <s v="Mandè SIDIBÉ"/>
    <n v="628120180"/>
    <m/>
    <s v="Kiniéran"/>
    <n v="84"/>
    <s v="Labour + Pulvérisation"/>
    <n v="10"/>
    <s v="Sweta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6"/>
  </r>
  <r>
    <d v="2023-05-03T17:06:04"/>
    <x v="7"/>
    <s v="Cours du bloc Administratif"/>
    <s v="Individuel"/>
    <s v="Lancinè SYLLA"/>
    <n v="661828776"/>
    <m/>
    <s v="Kiniéran"/>
    <n v="80"/>
    <s v="Labour + Pulvérisation"/>
    <n v="10"/>
    <s v="Nerica 19"/>
    <s v="Nerica"/>
    <s v="4 mois"/>
    <d v="2023-06-15T00:00:00"/>
    <s v="Aptes pour la mécanisation"/>
    <s v="Nounkè Doumbouya"/>
    <s v="Riz"/>
    <x v="0"/>
    <m/>
    <m/>
    <x v="0"/>
    <m/>
    <m/>
    <m/>
    <m/>
    <m/>
    <m/>
    <m/>
    <x v="16"/>
  </r>
  <r>
    <d v="2023-05-03T17:12:20"/>
    <x v="7"/>
    <s v="Cours du bloc Administratif"/>
    <s v="Collectif"/>
    <s v="Nouman Koulibaly"/>
    <n v="628600514"/>
    <m/>
    <s v="Kiniéran"/>
    <n v="83"/>
    <s v="Labour + Pulvérisation"/>
    <n v="25"/>
    <s v="Nerica 4 et 19"/>
    <s v="Nerica"/>
    <s v="4 mois"/>
    <d v="2023-06-25T00:00:00"/>
    <s v="Aptes pour la mécanisation"/>
    <s v="Nounkè Doumbouya"/>
    <s v="Riz"/>
    <x v="0"/>
    <m/>
    <m/>
    <x v="0"/>
    <m/>
    <m/>
    <m/>
    <m/>
    <m/>
    <m/>
    <m/>
    <x v="16"/>
  </r>
  <r>
    <d v="2023-05-03T17:15:09"/>
    <x v="7"/>
    <s v="Cours du bloc Administratif"/>
    <s v="Individuel"/>
    <s v="Kalou TRAORÉ"/>
    <n v="661814538"/>
    <m/>
    <s v="Kiniéran"/>
    <n v="80"/>
    <s v="Labour + Pulvérisation"/>
    <n v="15"/>
    <s v="ADRAO"/>
    <s v="ADRAO"/>
    <s v="5 mois"/>
    <d v="2023-05-25T00:00:00"/>
    <s v="Aptes pour la mécanisation"/>
    <s v="Nounkè Doumbouya"/>
    <s v="Riz"/>
    <x v="0"/>
    <m/>
    <m/>
    <x v="0"/>
    <m/>
    <m/>
    <m/>
    <m/>
    <m/>
    <m/>
    <m/>
    <x v="16"/>
  </r>
  <r>
    <d v="2023-05-03T17:17:47"/>
    <x v="7"/>
    <s v="Cours du bloc Administratif"/>
    <s v="Individuel"/>
    <s v="Soumaïla DOUMBOUYA"/>
    <n v="661770323"/>
    <m/>
    <s v="Kiniéran"/>
    <n v="82"/>
    <s v="Labour + Pulvérisation"/>
    <n v="8"/>
    <s v="Nerica 19"/>
    <s v="Nerica"/>
    <s v="4 mois"/>
    <d v="2023-06-30T00:00:00"/>
    <s v="Aptes pour la mécanisation"/>
    <s v="Nounkè Doumbouya"/>
    <s v="Riz"/>
    <x v="0"/>
    <m/>
    <m/>
    <x v="0"/>
    <m/>
    <m/>
    <m/>
    <m/>
    <m/>
    <m/>
    <m/>
    <x v="16"/>
  </r>
  <r>
    <d v="2023-05-03T17:25:06"/>
    <x v="7"/>
    <s v="Cours du bloc Administratif"/>
    <s v="Individuel"/>
    <s v="Soumaïla TRAORÉ"/>
    <n v="628936110"/>
    <m/>
    <s v="Kiniéran"/>
    <n v="93"/>
    <s v="Labour - uniquement"/>
    <n v="10"/>
    <s v="Bebalawouli"/>
    <s v="Ne connais pas"/>
    <s v="4 mois"/>
    <d v="2023-06-30T00:00:00"/>
    <s v="Aptes pour la mécanisation"/>
    <s v="Nounkè Doumbouya"/>
    <s v="Riz"/>
    <x v="0"/>
    <m/>
    <m/>
    <x v="0"/>
    <m/>
    <m/>
    <m/>
    <m/>
    <m/>
    <m/>
    <m/>
    <x v="16"/>
  </r>
  <r>
    <d v="2023-05-03T17:29:12"/>
    <x v="7"/>
    <s v="Cours du bloc Administratif"/>
    <s v="Individuel"/>
    <s v="Kandiabou KOULIBALY"/>
    <n v="622597497"/>
    <m/>
    <s v="Kiniéran"/>
    <n v="78"/>
    <s v="Labour + Pulvérisation"/>
    <n v="15"/>
    <s v="Nerica 19"/>
    <s v="Nerica"/>
    <s v="4 mois"/>
    <d v="2023-06-30T00:00:00"/>
    <s v="Aptes pour la mécanisation"/>
    <s v="Nounkè Doumbouya"/>
    <s v="Riz"/>
    <x v="0"/>
    <m/>
    <m/>
    <x v="0"/>
    <m/>
    <m/>
    <m/>
    <m/>
    <m/>
    <m/>
    <m/>
    <x v="16"/>
  </r>
  <r>
    <d v="2023-05-03T17:37:16"/>
    <x v="7"/>
    <s v="Cours du bloc Administratif"/>
    <s v="Individuel"/>
    <s v="Bourlaye KEÏTA"/>
    <n v="622960280"/>
    <m/>
    <s v="Kiniéran"/>
    <n v="78"/>
    <s v="Labour + Pulvérisation"/>
    <n v="12"/>
    <s v="Bebalawouli"/>
    <s v="Ne connais pas"/>
    <s v="4 mois"/>
    <d v="2023-06-03T00:00:00"/>
    <s v="Aptes pour la mécanisation"/>
    <s v="Nounkè Doumbouya"/>
    <s v="Riz"/>
    <x v="0"/>
    <m/>
    <m/>
    <x v="0"/>
    <m/>
    <m/>
    <m/>
    <m/>
    <m/>
    <m/>
    <m/>
    <x v="16"/>
  </r>
  <r>
    <d v="2023-05-03T17:40:19"/>
    <x v="7"/>
    <s v="Cours du bloc Administratif"/>
    <s v="Collectif"/>
    <s v="Sagaba oulen KOULIBALY"/>
    <n v="628195776"/>
    <m/>
    <s v="Kiniéran"/>
    <n v="83"/>
    <s v="Labour + Pulvérisation"/>
    <n v="165"/>
    <s v="Nerica 4 et 19, sweta, ADRAO"/>
    <s v="Nerica"/>
    <s v="5 mois"/>
    <d v="2023-06-01T00:00:00"/>
    <s v="Aptes pour la mécanisation"/>
    <s v="Nounkè Doumbouya"/>
    <s v="Riz"/>
    <x v="0"/>
    <m/>
    <m/>
    <x v="0"/>
    <m/>
    <m/>
    <m/>
    <m/>
    <m/>
    <m/>
    <m/>
    <x v="16"/>
  </r>
  <r>
    <d v="2023-05-03T17:47:44"/>
    <x v="7"/>
    <s v="Cours du bloc Administratif"/>
    <s v="Individuel"/>
    <s v="Namissa SANGARÉ"/>
    <n v="628254438"/>
    <m/>
    <s v="Kiniéran"/>
    <n v="83"/>
    <s v="Labour + Pulvérisation"/>
    <n v="10"/>
    <s v="Nerica 19"/>
    <s v="Nerica"/>
    <s v="4 mois"/>
    <d v="2023-06-16T00:00:00"/>
    <s v="Aptes pour la mécanisation"/>
    <s v="Nounkè Doumbouya"/>
    <s v="Riz"/>
    <x v="0"/>
    <m/>
    <m/>
    <x v="0"/>
    <m/>
    <m/>
    <m/>
    <m/>
    <m/>
    <m/>
    <m/>
    <x v="16"/>
  </r>
  <r>
    <d v="2023-05-03T21:55:40"/>
    <x v="12"/>
    <s v="Ouassou"/>
    <s v="Individuel"/>
    <s v="Kade Bangoura"/>
    <n v="624763587"/>
    <n v="624763587"/>
    <s v="Koba-Tatema"/>
    <n v="6"/>
    <s v="Labour - uniquement"/>
    <n v="1"/>
    <s v="Balenta"/>
    <s v="Rock5"/>
    <s v="6 mois"/>
    <d v="2023-05-07T00:00:00"/>
    <s v="Accord"/>
    <s v="Kissi Camara"/>
    <s v="Riz"/>
    <x v="0"/>
    <m/>
    <m/>
    <x v="0"/>
    <m/>
    <m/>
    <m/>
    <m/>
    <m/>
    <m/>
    <m/>
    <x v="16"/>
  </r>
  <r>
    <d v="2023-05-03T22:00:41"/>
    <x v="12"/>
    <s v="Ouassou"/>
    <s v="Individuel"/>
    <s v="Hadja yarie Sylla"/>
    <n v="622598370"/>
    <n v="622598370"/>
    <s v="Koba-Tatema"/>
    <n v="10"/>
    <s v="Labour - uniquement"/>
    <n v="1"/>
    <s v="Massaraka"/>
    <s v="Nereka"/>
    <s v="6 mois"/>
    <d v="2023-05-08T00:00:00"/>
    <s v="Accord"/>
    <s v="Kissi Camara"/>
    <s v="Riz"/>
    <x v="0"/>
    <m/>
    <m/>
    <x v="0"/>
    <m/>
    <m/>
    <m/>
    <m/>
    <m/>
    <m/>
    <m/>
    <x v="16"/>
  </r>
  <r>
    <d v="2023-05-03T22:05:44"/>
    <x v="12"/>
    <s v="Ouassou"/>
    <s v="Individuel"/>
    <s v="Assatou Diallo"/>
    <n v="626016648"/>
    <n v="626016648"/>
    <s v="Koba-Tatema"/>
    <n v="4"/>
    <s v="Labour - uniquement"/>
    <n v="1"/>
    <s v="Balenta"/>
    <s v="Rock5"/>
    <s v="6 mois"/>
    <d v="2023-05-09T00:00:00"/>
    <s v="Accord"/>
    <s v="Kissi Camara"/>
    <s v="Riz"/>
    <x v="0"/>
    <m/>
    <m/>
    <x v="0"/>
    <m/>
    <m/>
    <m/>
    <m/>
    <m/>
    <m/>
    <m/>
    <x v="16"/>
  </r>
  <r>
    <d v="2023-05-03T22:09:38"/>
    <x v="12"/>
    <s v="Ouassou"/>
    <s v="Individuel"/>
    <s v="Sita camara"/>
    <n v="621732963"/>
    <n v="621733963"/>
    <s v="Koba-Tatema"/>
    <n v="4"/>
    <s v="Labour - uniquement"/>
    <n v="3"/>
    <s v="Makoto"/>
    <s v="Makoto"/>
    <s v="6 mois"/>
    <d v="2023-05-10T00:00:00"/>
    <s v="Accord"/>
    <s v="Kissi Camara"/>
    <s v="Riz"/>
    <x v="0"/>
    <m/>
    <m/>
    <x v="0"/>
    <m/>
    <m/>
    <m/>
    <m/>
    <m/>
    <m/>
    <m/>
    <x v="16"/>
  </r>
  <r>
    <d v="2023-05-03T22:13:47"/>
    <x v="12"/>
    <s v="Ouassou"/>
    <s v="Individuel"/>
    <s v="Salifou Sylla"/>
    <n v="629648696"/>
    <n v="629648696"/>
    <s v="Koba-Tatema"/>
    <n v="3"/>
    <s v="Labour - uniquement"/>
    <n v="2"/>
    <s v="Balenta"/>
    <s v="Rock5"/>
    <s v="6 mois"/>
    <d v="2023-05-11T00:00:00"/>
    <s v="Accord"/>
    <s v="Kissi Camara"/>
    <s v="Riz"/>
    <x v="0"/>
    <m/>
    <m/>
    <x v="0"/>
    <m/>
    <m/>
    <m/>
    <m/>
    <m/>
    <m/>
    <m/>
    <x v="16"/>
  </r>
  <r>
    <d v="2023-05-03T22:22:42"/>
    <x v="12"/>
    <s v="Ouassou"/>
    <s v="Individuel"/>
    <s v="Alymane camara"/>
    <n v="626155719"/>
    <n v="626155719"/>
    <s v="Koba-Tatema"/>
    <n v="3"/>
    <s v="Labour - uniquement"/>
    <n v="2"/>
    <s v="Massaraka"/>
    <s v="Nereka"/>
    <s v="6 mois"/>
    <d v="2023-05-13T00:00:00"/>
    <s v="Accord"/>
    <s v="Kissi Camara"/>
    <s v="Riz"/>
    <x v="0"/>
    <m/>
    <m/>
    <x v="0"/>
    <m/>
    <m/>
    <m/>
    <m/>
    <m/>
    <m/>
    <m/>
    <x v="16"/>
  </r>
  <r>
    <d v="2023-05-03T22:26:41"/>
    <x v="12"/>
    <s v="Ouassou"/>
    <s v="Individuel"/>
    <s v="Alseni camara"/>
    <n v="622364307"/>
    <n v="623364307"/>
    <s v="Koba-Tatema"/>
    <n v="5"/>
    <s v="Labour - uniquement"/>
    <n v="1"/>
    <s v="Balenta"/>
    <s v="Rock5"/>
    <s v="6 mois"/>
    <d v="2023-05-14T00:00:00"/>
    <s v="Accord"/>
    <s v="Kissi Camara"/>
    <s v="Riz"/>
    <x v="0"/>
    <m/>
    <m/>
    <x v="0"/>
    <m/>
    <m/>
    <m/>
    <m/>
    <m/>
    <m/>
    <m/>
    <x v="16"/>
  </r>
  <r>
    <d v="2023-05-03T22:30:45"/>
    <x v="12"/>
    <s v="Ouassou"/>
    <s v="Individuel"/>
    <s v="Man camara"/>
    <n v="624465679"/>
    <n v="624465679"/>
    <s v="Koba-Tatema"/>
    <n v="3"/>
    <s v="Labour - uniquement"/>
    <n v="2"/>
    <s v="Makoto"/>
    <s v="Makoto"/>
    <s v="6 mois"/>
    <d v="2023-05-15T00:00:00"/>
    <s v="Accord"/>
    <s v="Kissi Camara"/>
    <s v="Riz"/>
    <x v="0"/>
    <m/>
    <m/>
    <x v="0"/>
    <m/>
    <m/>
    <m/>
    <m/>
    <m/>
    <m/>
    <m/>
    <x v="16"/>
  </r>
  <r>
    <d v="2023-05-03T22:32:38"/>
    <x v="7"/>
    <s v="Cours du bloc Administratif"/>
    <s v="Individuel"/>
    <s v="Sory Koulibaly"/>
    <n v="622656802"/>
    <m/>
    <s v="Kiniéran"/>
    <n v="84"/>
    <s v="Labour + Pulvérisation"/>
    <n v="12"/>
    <s v="Nerica 19"/>
    <s v="Nerica"/>
    <s v="4 mois"/>
    <d v="2023-06-29T00:00:00"/>
    <s v="Aptes pour la mécanisation"/>
    <s v="Nounkè Doumbouya"/>
    <s v="Riz"/>
    <x v="0"/>
    <m/>
    <m/>
    <x v="0"/>
    <m/>
    <m/>
    <m/>
    <m/>
    <m/>
    <m/>
    <m/>
    <x v="16"/>
  </r>
  <r>
    <d v="2023-05-03T22:33:02"/>
    <x v="7"/>
    <s v="Cours du bloc Administratif"/>
    <s v="Individuel"/>
    <s v="Sory Koulibaly"/>
    <n v="622656802"/>
    <m/>
    <s v="Kiniéran"/>
    <n v="84"/>
    <s v="Labour + Pulvérisation"/>
    <n v="12"/>
    <s v="Nerica 19"/>
    <s v="Nerica"/>
    <s v="4 mois"/>
    <d v="2023-06-29T00:00:00"/>
    <s v="Aptes pour la mécanisation"/>
    <s v="Nounkè Doumbouya"/>
    <s v="Riz"/>
    <x v="0"/>
    <m/>
    <m/>
    <x v="0"/>
    <m/>
    <m/>
    <m/>
    <m/>
    <m/>
    <m/>
    <m/>
    <x v="16"/>
  </r>
  <r>
    <d v="2023-05-03T22:36:53"/>
    <x v="12"/>
    <s v="Ouassou"/>
    <s v="Individuel"/>
    <s v="Moctar Sylla"/>
    <n v="622395137"/>
    <n v="622395137"/>
    <s v="Koba-Tatema"/>
    <n v="6"/>
    <s v="Labour - uniquement"/>
    <n v="2"/>
    <s v="Balenta"/>
    <s v="Rock5"/>
    <s v="6 mois"/>
    <d v="2023-05-18T00:00:00"/>
    <s v="Accord"/>
    <s v="Kissi Camara"/>
    <s v="Riz"/>
    <x v="0"/>
    <m/>
    <m/>
    <x v="0"/>
    <m/>
    <m/>
    <m/>
    <m/>
    <m/>
    <m/>
    <m/>
    <x v="16"/>
  </r>
  <r>
    <d v="2023-05-03T23:02:20"/>
    <x v="7"/>
    <s v="Cours du bloc Administratif"/>
    <s v="Individuel"/>
    <s v="Kalou TRAORÉ"/>
    <n v="622342782"/>
    <m/>
    <s v="Kiniéran"/>
    <n v="90"/>
    <s v="Labour + Pulvérisation"/>
    <n v="15"/>
    <s v="Sweta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6"/>
  </r>
  <r>
    <d v="2023-05-04T00:56:48"/>
    <x v="6"/>
    <s v="Dinguiraye centre"/>
    <s v="Individuel"/>
    <s v="Sekou Kourouma"/>
    <n v="627690045"/>
    <m/>
    <s v="Dialakoro"/>
    <n v="65"/>
    <s v="Labour + Pulvérisation"/>
    <n v="8"/>
    <s v="Dissiba-oulén"/>
    <s v="Dissiba-oulén"/>
    <s v="4 mois"/>
    <d v="2023-05-25T00:00:00"/>
    <m/>
    <s v="Mamadou 1 Diallo"/>
    <s v="Riz"/>
    <x v="0"/>
    <m/>
    <m/>
    <x v="0"/>
    <m/>
    <m/>
    <m/>
    <m/>
    <m/>
    <m/>
    <m/>
    <x v="16"/>
  </r>
  <r>
    <d v="2023-05-04T01:02:59"/>
    <x v="6"/>
    <s v="Dinguiraye centre"/>
    <s v="Individuel"/>
    <s v="Mamoudou Diallo"/>
    <n v="628255105"/>
    <m/>
    <s v="Dialakoro"/>
    <n v="62"/>
    <s v="Labour + Pulvérisation"/>
    <n v="5"/>
    <s v="Dissiba-oulén"/>
    <s v="Dissiba-oulén"/>
    <s v="4 mois"/>
    <d v="2023-06-05T00:00:00"/>
    <m/>
    <s v="Mamadou 1 Diallo"/>
    <s v="Riz"/>
    <x v="0"/>
    <m/>
    <m/>
    <x v="0"/>
    <m/>
    <m/>
    <m/>
    <m/>
    <m/>
    <m/>
    <m/>
    <x v="16"/>
  </r>
  <r>
    <d v="2023-05-04T01:06:38"/>
    <x v="6"/>
    <s v="Dinguiraye centre"/>
    <s v="Individuel"/>
    <s v="Djenabou kouyaté"/>
    <n v="622598728"/>
    <m/>
    <s v="Dialakoro"/>
    <n v="60"/>
    <s v="Labour + Pulvérisation"/>
    <n v="2"/>
    <s v="Maloningbè"/>
    <s v="Nerica blanc"/>
    <s v="3 mois"/>
    <d v="2023-06-25T00:00:00"/>
    <m/>
    <s v="Mamadou 1 Diallo"/>
    <s v="Riz"/>
    <x v="0"/>
    <m/>
    <m/>
    <x v="0"/>
    <m/>
    <m/>
    <m/>
    <m/>
    <m/>
    <m/>
    <m/>
    <x v="16"/>
  </r>
  <r>
    <d v="2023-05-04T01:09:38"/>
    <x v="6"/>
    <s v="Dinguiraye centre"/>
    <s v="Individuel"/>
    <s v="Mariame savané"/>
    <n v="624401464"/>
    <m/>
    <s v="Dialakoro"/>
    <n v="67"/>
    <s v="Labour + Pulvérisation"/>
    <n v="1"/>
    <s v="Maloningbè"/>
    <s v="Nankin blanc"/>
    <s v="3 mois"/>
    <d v="2023-06-20T00:00:00"/>
    <m/>
    <s v="Mamadou 1 Diallo"/>
    <s v="Riz"/>
    <x v="0"/>
    <m/>
    <m/>
    <x v="0"/>
    <m/>
    <m/>
    <m/>
    <m/>
    <m/>
    <m/>
    <m/>
    <x v="16"/>
  </r>
  <r>
    <d v="2023-05-04T01:12:39"/>
    <x v="6"/>
    <s v="Dinguiraye centre"/>
    <s v="Individuel"/>
    <s v="Abdoulaye condé"/>
    <n v="626812360"/>
    <m/>
    <s v="Kalinko"/>
    <n v="75"/>
    <s v="Labour + Pulvérisation"/>
    <n v="8"/>
    <s v="Daffing"/>
    <s v="Daffing"/>
    <s v="4 mois"/>
    <d v="2023-05-30T00:00:00"/>
    <m/>
    <s v="Mamadou 1 Diallo"/>
    <s v="Riz"/>
    <x v="0"/>
    <m/>
    <m/>
    <x v="0"/>
    <m/>
    <m/>
    <m/>
    <m/>
    <m/>
    <m/>
    <m/>
    <x v="16"/>
  </r>
  <r>
    <d v="2023-05-04T01:15:24"/>
    <x v="6"/>
    <s v="Dinguiraye centre"/>
    <s v="Individuel"/>
    <s v="Hassane oulare"/>
    <n v="628791955"/>
    <m/>
    <s v="Dialakoro"/>
    <n v="60"/>
    <s v="Labour + Pulvérisation"/>
    <n v="8"/>
    <s v="Djoukeme"/>
    <s v="Djoukeme"/>
    <s v="4 mois"/>
    <d v="2023-05-25T00:00:00"/>
    <m/>
    <s v="Mamadou 1 Diallo"/>
    <s v="Riz"/>
    <x v="0"/>
    <m/>
    <m/>
    <x v="0"/>
    <m/>
    <m/>
    <m/>
    <m/>
    <m/>
    <m/>
    <m/>
    <x v="16"/>
  </r>
  <r>
    <d v="2023-05-04T01:18:25"/>
    <x v="6"/>
    <s v="Dinguiraye centre"/>
    <s v="Individuel"/>
    <s v="Sekou toure"/>
    <n v="627317031"/>
    <m/>
    <s v="Dialakoro"/>
    <n v="58"/>
    <s v="Labour + Pulvérisation"/>
    <n v="6"/>
    <s v="Dissi"/>
    <s v="Dissi"/>
    <s v="4 mois"/>
    <d v="2023-05-25T00:00:00"/>
    <m/>
    <s v="Mamadou 1 Diallo"/>
    <s v="Riz"/>
    <x v="0"/>
    <m/>
    <m/>
    <x v="0"/>
    <m/>
    <m/>
    <m/>
    <m/>
    <m/>
    <m/>
    <m/>
    <x v="16"/>
  </r>
  <r>
    <d v="2023-05-04T01:21:00"/>
    <x v="6"/>
    <s v="Dinguiraye centre"/>
    <s v="Individuel"/>
    <s v="Djaka Keita"/>
    <n v="622507476"/>
    <m/>
    <s v="Dialakoro"/>
    <n v="56"/>
    <s v="Labour + Pulvérisation"/>
    <n v="1"/>
    <s v="Nankin"/>
    <s v="Nankin"/>
    <s v="3 mois"/>
    <d v="2023-06-15T00:00:00"/>
    <m/>
    <s v="Mamadou 1 Diallo"/>
    <s v="Riz"/>
    <x v="0"/>
    <m/>
    <m/>
    <x v="0"/>
    <m/>
    <m/>
    <m/>
    <m/>
    <m/>
    <m/>
    <m/>
    <x v="16"/>
  </r>
  <r>
    <d v="2023-05-04T01:23:49"/>
    <x v="6"/>
    <s v="Dinguiraye centre"/>
    <s v="Individuel"/>
    <s v="Tidanké kante"/>
    <n v="622485475"/>
    <m/>
    <s v="Dialakoro"/>
    <n v="60"/>
    <s v="Labour + Pulvérisation"/>
    <n v="1"/>
    <s v="Dissiba-oulén"/>
    <s v="Dissiba-oulén"/>
    <s v="4 mois"/>
    <d v="2023-06-05T00:00:00"/>
    <m/>
    <s v="Mamadou 1 Diallo"/>
    <s v="Riz"/>
    <x v="0"/>
    <m/>
    <m/>
    <x v="0"/>
    <m/>
    <m/>
    <m/>
    <m/>
    <m/>
    <m/>
    <m/>
    <x v="16"/>
  </r>
  <r>
    <d v="2023-05-04T01:29:08"/>
    <x v="6"/>
    <s v="Dinguiraye centre"/>
    <s v="Individuel"/>
    <s v="Ibrahima Doumbouya"/>
    <n v="626525947"/>
    <m/>
    <s v="Sélouma"/>
    <n v="37"/>
    <s v="Labour + Pulvérisation"/>
    <n v="4"/>
    <s v="Morice"/>
    <s v="Morice"/>
    <s v="4 mois"/>
    <d v="2023-05-30T00:00:00"/>
    <m/>
    <s v="Mamadou 1 Diallo"/>
    <s v="Riz"/>
    <x v="0"/>
    <m/>
    <m/>
    <x v="0"/>
    <m/>
    <m/>
    <m/>
    <m/>
    <m/>
    <m/>
    <m/>
    <x v="16"/>
  </r>
  <r>
    <d v="2023-05-04T01:31:50"/>
    <x v="6"/>
    <s v="Dinguiraye centre"/>
    <s v="Individuel"/>
    <s v="Adama oury Diallo"/>
    <n v="627350079"/>
    <m/>
    <s v="Sélouma"/>
    <n v="37"/>
    <s v="Labour + Pulvérisation"/>
    <n v="4"/>
    <s v="Morice"/>
    <s v="Morice"/>
    <s v="4 mois"/>
    <d v="2023-05-25T00:00:00"/>
    <m/>
    <s v="Mamadou 1 Diallo"/>
    <s v="Riz"/>
    <x v="0"/>
    <m/>
    <m/>
    <x v="0"/>
    <m/>
    <m/>
    <m/>
    <m/>
    <m/>
    <m/>
    <m/>
    <x v="16"/>
  </r>
  <r>
    <d v="2023-05-04T01:34:30"/>
    <x v="6"/>
    <s v="Dinguiraye centre"/>
    <s v="Individuel"/>
    <s v="Ousmane camara"/>
    <n v="621318517"/>
    <m/>
    <s v="Sélouma"/>
    <n v="40"/>
    <s v="Labour + Pulvérisation"/>
    <n v="3"/>
    <s v="Morice"/>
    <s v="Morice"/>
    <s v="4 mois"/>
    <d v="2023-06-05T00:00:00"/>
    <m/>
    <s v="Mamadou 1 Diallo"/>
    <s v="Riz"/>
    <x v="0"/>
    <m/>
    <m/>
    <x v="0"/>
    <m/>
    <m/>
    <m/>
    <m/>
    <m/>
    <m/>
    <m/>
    <x v="16"/>
  </r>
  <r>
    <d v="2023-05-04T10:42:53"/>
    <x v="18"/>
    <s v="Wassabada"/>
    <s v="Collectif"/>
    <s v="s"/>
    <n v="622546635"/>
    <m/>
    <s v="Cisséla"/>
    <n v="116"/>
    <s v="Labour - uniquement"/>
    <n v="120"/>
    <s v="Bagnain"/>
    <s v="Bagnain"/>
    <s v="4 mois"/>
    <d v="2023-05-15T00:00:00"/>
    <s v="Les producteurs sont déjà prêts pour l'opération"/>
    <s v="Ibrahima Kalil Fofana"/>
    <s v="Riz"/>
    <x v="1"/>
    <n v="15"/>
    <d v="2023-05-12T00:00:00"/>
    <x v="16"/>
    <s v="7KSA004T"/>
    <m/>
    <m/>
    <m/>
    <m/>
    <m/>
    <m/>
    <x v="16"/>
  </r>
  <r>
    <d v="2023-05-04T10:48:27"/>
    <x v="18"/>
    <s v="Wassabada"/>
    <s v="Collectif"/>
    <s v="Sékou Camara"/>
    <n v="622546635"/>
    <m/>
    <s v="Cisséla"/>
    <n v="120"/>
    <s v="Labour - uniquement"/>
    <n v="87"/>
    <s v="Brema -malony"/>
    <s v="Brema-malony"/>
    <s v="4 mois"/>
    <d v="2023-05-15T00:00:00"/>
    <s v="Les producteurs sont déjà prêts pour l'opération"/>
    <s v="Ibrahima Kalil Fofana"/>
    <s v="Riz"/>
    <x v="1"/>
    <n v="25"/>
    <d v="2023-05-15T00:00:00"/>
    <x v="4"/>
    <s v="7KSA004T"/>
    <m/>
    <m/>
    <m/>
    <m/>
    <m/>
    <m/>
    <x v="16"/>
  </r>
  <r>
    <d v="2023-05-04T10:53:47"/>
    <x v="18"/>
    <s v="Wassabada"/>
    <s v="Collectif"/>
    <s v="Mamady dialo"/>
    <n v="628850895"/>
    <m/>
    <s v="Cisséla"/>
    <n v="114"/>
    <s v="Labour - uniquement"/>
    <n v="250"/>
    <s v="Bagnain"/>
    <s v="Bagnain"/>
    <s v="4 mois"/>
    <d v="2023-05-15T00:00:00"/>
    <m/>
    <s v="Ibrahima Kalil Fofana"/>
    <s v="Riz"/>
    <x v="0"/>
    <m/>
    <m/>
    <x v="0"/>
    <m/>
    <m/>
    <m/>
    <m/>
    <m/>
    <m/>
    <m/>
    <x v="16"/>
  </r>
  <r>
    <d v="2023-05-04T10:58:21"/>
    <x v="18"/>
    <s v="Wassabada"/>
    <s v="Collectif"/>
    <s v="Mamady dialo"/>
    <n v="628850895"/>
    <m/>
    <s v="Cisséla"/>
    <n v="114"/>
    <s v="Labour - uniquement"/>
    <n v="150"/>
    <s v="Badja"/>
    <s v="Badja"/>
    <s v="6 mois"/>
    <d v="2023-05-15T00:00:00"/>
    <m/>
    <s v="Ibrahima Kalil Fofana"/>
    <s v="Riz"/>
    <x v="0"/>
    <m/>
    <m/>
    <x v="0"/>
    <m/>
    <m/>
    <m/>
    <m/>
    <m/>
    <m/>
    <m/>
    <x v="16"/>
  </r>
  <r>
    <d v="2023-05-04T11:01:02"/>
    <x v="18"/>
    <s v="Wassabada"/>
    <s v="Collectif"/>
    <s v="Mamady dialo"/>
    <n v="628850895"/>
    <m/>
    <s v="Cisséla"/>
    <n v="114"/>
    <s v="Labour - uniquement"/>
    <n v="100"/>
    <s v="Mauris"/>
    <s v="Mauris"/>
    <s v="4 mois"/>
    <d v="2023-05-15T00:00:00"/>
    <m/>
    <s v="Ibrahima Kalil Fofana"/>
    <s v="Riz"/>
    <x v="0"/>
    <m/>
    <m/>
    <x v="0"/>
    <m/>
    <m/>
    <m/>
    <m/>
    <m/>
    <m/>
    <m/>
    <x v="16"/>
  </r>
  <r>
    <d v="2023-05-04T11:04:57"/>
    <x v="18"/>
    <s v="Wassabada"/>
    <s v="Collectif"/>
    <s v="Ibrahima dabo"/>
    <n v="622092526"/>
    <m/>
    <s v="Cisséla"/>
    <n v="116"/>
    <s v="Labour - uniquement"/>
    <n v="150"/>
    <s v="Bagnain"/>
    <s v="Bagnain"/>
    <s v="4 mois"/>
    <d v="2023-05-15T00:00:00"/>
    <m/>
    <s v="Ibrahima Kalil Fofana"/>
    <s v="Riz"/>
    <x v="0"/>
    <m/>
    <m/>
    <x v="0"/>
    <m/>
    <m/>
    <m/>
    <m/>
    <m/>
    <m/>
    <m/>
    <x v="16"/>
  </r>
  <r>
    <d v="2023-05-04T11:10:39"/>
    <x v="18"/>
    <s v="Wassabada"/>
    <s v="Individuel"/>
    <s v="El. Mory Camara"/>
    <n v="628582219"/>
    <m/>
    <s v="Sanguiana"/>
    <n v="36"/>
    <s v="Labour - uniquement"/>
    <n v="50"/>
    <s v="Bagnain"/>
    <s v="Bagnain"/>
    <s v="4 mois"/>
    <d v="2023-05-20T00:00:00"/>
    <m/>
    <s v="Ibrahima Kalil Fofana"/>
    <s v="Riz"/>
    <x v="0"/>
    <m/>
    <m/>
    <x v="0"/>
    <m/>
    <m/>
    <m/>
    <m/>
    <m/>
    <m/>
    <m/>
    <x v="16"/>
  </r>
  <r>
    <d v="2023-05-04T11:10:39"/>
    <x v="3"/>
    <s v="Petel Mamou"/>
    <s v="Individuel"/>
    <s v="Noumez Camara"/>
    <n v="629883272"/>
    <m/>
    <s v="Ouré-Kaba"/>
    <n v="56"/>
    <s v="Labour - uniquement"/>
    <n v="1"/>
    <s v="Seydouba"/>
    <s v="CK90"/>
    <s v="4 mois"/>
    <d v="2023-11-11T00:00:00"/>
    <s v="Tout commence bien"/>
    <s v="Mamadouba Camara"/>
    <s v="Riz"/>
    <x v="0"/>
    <m/>
    <m/>
    <x v="0"/>
    <m/>
    <m/>
    <m/>
    <m/>
    <m/>
    <m/>
    <m/>
    <x v="16"/>
  </r>
  <r>
    <d v="2023-05-04T11:14:19"/>
    <x v="3"/>
    <s v="Petel Mamou"/>
    <s v="Individuel"/>
    <s v="Sadou Camara"/>
    <n v="629883272"/>
    <m/>
    <s v="Ouré-Kaba"/>
    <n v="56"/>
    <s v="Labour - uniquement"/>
    <n v="1"/>
    <s v="Seydouba"/>
    <s v="CK90"/>
    <s v="4 mois"/>
    <d v="2023-05-14T00:00:00"/>
    <s v="Tout commence bien"/>
    <s v="Mamadouba Camara"/>
    <s v="Riz"/>
    <x v="0"/>
    <m/>
    <m/>
    <x v="0"/>
    <m/>
    <m/>
    <m/>
    <m/>
    <m/>
    <m/>
    <m/>
    <x v="16"/>
  </r>
  <r>
    <d v="2023-05-04T11:16:50"/>
    <x v="18"/>
    <s v="Wassabada"/>
    <s v="Individuel"/>
    <s v="Mami Condé"/>
    <n v="624203246"/>
    <m/>
    <s v="Kiniéro"/>
    <n v="50"/>
    <s v="Labour - uniquement"/>
    <n v="60"/>
    <s v="Nankein"/>
    <s v="CEKA 90"/>
    <s v="3 mois"/>
    <d v="2023-05-20T00:00:00"/>
    <m/>
    <s v="Ibrahima Kalil Fofana"/>
    <s v="Riz"/>
    <x v="0"/>
    <m/>
    <m/>
    <x v="0"/>
    <m/>
    <m/>
    <m/>
    <m/>
    <m/>
    <m/>
    <m/>
    <x v="16"/>
  </r>
  <r>
    <d v="2023-05-04T11:21:25"/>
    <x v="18"/>
    <s v="Wassabada"/>
    <s v="Individuel"/>
    <s v="Diaty Conde"/>
    <n v="628205979"/>
    <m/>
    <s v="Kiniéro"/>
    <n v="48"/>
    <s v="Labour - uniquement"/>
    <n v="50"/>
    <s v="Bagnain"/>
    <s v="Bagnain"/>
    <s v="4 mois"/>
    <d v="2023-05-20T00:00:00"/>
    <m/>
    <s v="Ibrahima Kalil Fofana"/>
    <s v="Riz"/>
    <x v="0"/>
    <m/>
    <m/>
    <x v="0"/>
    <m/>
    <m/>
    <m/>
    <m/>
    <m/>
    <m/>
    <m/>
    <x v="16"/>
  </r>
  <r>
    <d v="2023-05-04T11:25:50"/>
    <x v="18"/>
    <s v="Wassabada"/>
    <s v="Individuel"/>
    <s v="Ibrahima dort Conde"/>
    <n v="628054013"/>
    <m/>
    <s v="Kouroussa Centre"/>
    <n v="22"/>
    <s v="Labour - uniquement"/>
    <n v="6"/>
    <s v="Bagnain"/>
    <s v="Bagnain"/>
    <s v="4 mois"/>
    <d v="2023-05-20T00:00:00"/>
    <m/>
    <s v="Ibrahima Kalil Fofana"/>
    <s v="Riz"/>
    <x v="0"/>
    <m/>
    <m/>
    <x v="0"/>
    <m/>
    <m/>
    <m/>
    <m/>
    <m/>
    <m/>
    <m/>
    <x v="16"/>
  </r>
  <r>
    <d v="2023-05-04T11:41:39"/>
    <x v="18"/>
    <s v="Wassabada"/>
    <s v="Collectif"/>
    <s v="Kabine Keita"/>
    <n v="628051083"/>
    <m/>
    <s v="Kouroussa Centre"/>
    <n v="3"/>
    <s v="Labour - uniquement"/>
    <n v="39"/>
    <s v="Bagnain"/>
    <s v="Bagnain"/>
    <s v="4 mois"/>
    <d v="2023-05-25T00:00:00"/>
    <m/>
    <s v="Ibrahima Kalil Fofana"/>
    <s v="Riz"/>
    <x v="0"/>
    <m/>
    <m/>
    <x v="0"/>
    <m/>
    <m/>
    <m/>
    <m/>
    <m/>
    <m/>
    <m/>
    <x v="16"/>
  </r>
  <r>
    <d v="2023-05-04T11:44:14"/>
    <x v="18"/>
    <s v="Wassabada"/>
    <s v="Collectif"/>
    <s v="Kabine Keita"/>
    <n v="628051083"/>
    <m/>
    <s v="Kouroussa Centre"/>
    <n v="3"/>
    <s v="Labour - uniquement"/>
    <n v="20"/>
    <s v="Nankein"/>
    <s v="Nankein"/>
    <s v="3 mois"/>
    <d v="2023-05-25T00:00:00"/>
    <m/>
    <s v="Ibrahima Kalil Fofana"/>
    <s v="Riz"/>
    <x v="0"/>
    <m/>
    <m/>
    <x v="0"/>
    <m/>
    <m/>
    <m/>
    <m/>
    <m/>
    <m/>
    <m/>
    <x v="16"/>
  </r>
  <r>
    <d v="2023-05-04T11:48:22"/>
    <x v="18"/>
    <s v="Wassabada"/>
    <s v="Collectif"/>
    <s v="El. Doubany Touré"/>
    <n v="622911379"/>
    <m/>
    <s v="Kouroussa Centre"/>
    <n v="8"/>
    <s v="Labour - uniquement"/>
    <n v="8"/>
    <s v="Nankein"/>
    <s v="Nankein"/>
    <s v="3 mois"/>
    <d v="2023-05-15T00:00:00"/>
    <m/>
    <s v="Ibrahima Kalil Fofana"/>
    <s v="Riz"/>
    <x v="0"/>
    <m/>
    <m/>
    <x v="0"/>
    <m/>
    <m/>
    <m/>
    <m/>
    <m/>
    <m/>
    <m/>
    <x v="16"/>
  </r>
  <r>
    <d v="2023-05-04T11:50:58"/>
    <x v="18"/>
    <s v="Wassabada"/>
    <s v="Collectif"/>
    <s v="El. Doubany Touré"/>
    <n v="622911379"/>
    <m/>
    <s v="Kouroussa Centre"/>
    <n v="8"/>
    <s v="Labour - uniquement"/>
    <n v="7"/>
    <s v="Nerica"/>
    <s v="Nerica"/>
    <s v="4 mois"/>
    <d v="2023-05-15T00:00:00"/>
    <m/>
    <s v="Ibrahima Kalil Fofana"/>
    <s v="Riz"/>
    <x v="0"/>
    <m/>
    <m/>
    <x v="0"/>
    <m/>
    <m/>
    <m/>
    <m/>
    <m/>
    <m/>
    <m/>
    <x v="16"/>
  </r>
  <r>
    <d v="2023-05-04T12:12:25"/>
    <x v="15"/>
    <s v="Direction Préfectoral de l'Agriculture et de l'Élevage de Lola"/>
    <s v="Individuel"/>
    <s v="Bakary Traoré"/>
    <n v="622036411"/>
    <m/>
    <s v="Guéassou"/>
    <n v="60"/>
    <s v="Labour - uniquement"/>
    <n v="20"/>
    <s v="Jaune _jaune"/>
    <s v="Zea Mays"/>
    <s v="3 mois"/>
    <d v="2023-05-08T00:00:00"/>
    <m/>
    <s v="Pokpa Delamou"/>
    <s v="Maïs"/>
    <x v="0"/>
    <m/>
    <m/>
    <x v="0"/>
    <m/>
    <m/>
    <m/>
    <m/>
    <m/>
    <m/>
    <m/>
    <x v="16"/>
  </r>
  <r>
    <d v="2023-05-04T12:17:30"/>
    <x v="3"/>
    <s v="Petel Mamou"/>
    <s v="Individuel"/>
    <s v="Moussa conde"/>
    <n v="629231442"/>
    <m/>
    <s v="Ouré-Kaba"/>
    <n v="56"/>
    <s v="Labour - uniquement"/>
    <n v="1"/>
    <s v="Seydouba"/>
    <s v="CK90"/>
    <s v="4 mois"/>
    <d v="2023-11-12T00:00:00"/>
    <s v="Tout commence bien"/>
    <s v="Mamadouba Camara"/>
    <s v="Riz"/>
    <x v="0"/>
    <m/>
    <m/>
    <x v="0"/>
    <m/>
    <m/>
    <m/>
    <m/>
    <m/>
    <m/>
    <m/>
    <x v="16"/>
  </r>
  <r>
    <d v="2023-05-04T12:20:25"/>
    <x v="3"/>
    <s v="Petel Mamou"/>
    <s v="Individuel"/>
    <s v="Alpha Oumar Mansare"/>
    <n v="610497442"/>
    <m/>
    <s v="Ouré-Kaba"/>
    <n v="56"/>
    <s v="Labour - uniquement"/>
    <n v="1"/>
    <s v="Seydouba"/>
    <s v="CK90"/>
    <s v="4 mois"/>
    <d v="2023-11-12T00:00:00"/>
    <s v="Tout commence bien"/>
    <s v="Mamadouba Camara"/>
    <s v="Riz"/>
    <x v="0"/>
    <m/>
    <m/>
    <x v="0"/>
    <m/>
    <m/>
    <m/>
    <m/>
    <m/>
    <m/>
    <m/>
    <x v="16"/>
  </r>
  <r>
    <d v="2023-05-04T12:28:13"/>
    <x v="3"/>
    <s v="Petel Mamou"/>
    <s v="Individuel"/>
    <s v="Sory balen sanoh"/>
    <n v="623231522"/>
    <m/>
    <s v="Ouré-Kaba"/>
    <n v="56"/>
    <s v="Labour - uniquement"/>
    <n v="1"/>
    <s v="Seydouba"/>
    <s v="CK90"/>
    <s v="4 mois"/>
    <d v="2023-11-13T00:00:00"/>
    <s v="Tout commence bien"/>
    <s v="Mamadouba Camara"/>
    <s v="Riz"/>
    <x v="0"/>
    <m/>
    <m/>
    <x v="0"/>
    <m/>
    <m/>
    <m/>
    <m/>
    <m/>
    <m/>
    <m/>
    <x v="16"/>
  </r>
  <r>
    <d v="2023-05-04T12:49:26"/>
    <x v="16"/>
    <s v="Foundeng 1"/>
    <s v="Individuel"/>
    <s v="Almamy Aguibou Diallo"/>
    <n v="622067630"/>
    <m/>
    <s v="Dabola Centre"/>
    <n v="15"/>
    <s v="Labour - uniquement"/>
    <n v="4"/>
    <s v="Ck90"/>
    <s v="Ck90"/>
    <s v="4 mois"/>
    <d v="2023-05-14T00:00:00"/>
    <m/>
    <s v="Souleymane Kanté"/>
    <s v="Riz"/>
    <x v="0"/>
    <m/>
    <m/>
    <x v="0"/>
    <m/>
    <m/>
    <m/>
    <m/>
    <m/>
    <m/>
    <m/>
    <x v="16"/>
  </r>
  <r>
    <d v="2023-05-04T12:53:06"/>
    <x v="16"/>
    <s v="Foundeng 1"/>
    <s v="Individuel"/>
    <s v="Sadjo Kaba"/>
    <n v="624688278"/>
    <m/>
    <s v="Bissikrima"/>
    <n v="56"/>
    <s v="Labour - uniquement"/>
    <n v="5"/>
    <s v="Ck90"/>
    <s v="Ck90"/>
    <s v="4 mois"/>
    <d v="2023-05-15T00:00:00"/>
    <m/>
    <s v="Souleymane Kanté"/>
    <s v="Riz"/>
    <x v="0"/>
    <m/>
    <m/>
    <x v="0"/>
    <m/>
    <m/>
    <m/>
    <m/>
    <m/>
    <m/>
    <m/>
    <x v="16"/>
  </r>
  <r>
    <d v="2023-05-04T12:55:17"/>
    <x v="14"/>
    <s v="Koba"/>
    <s v="Individuel"/>
    <s v="Naby laye Sylla"/>
    <n v="622619901"/>
    <m/>
    <s v="Koba-Tatema"/>
    <n v="15"/>
    <s v="Labour - uniquement"/>
    <n v="30"/>
    <s v="Faya"/>
    <s v="J'ignore"/>
    <s v="4 mois"/>
    <d v="2023-05-13T00:00:00"/>
    <s v="Manque criant de tracteur"/>
    <s v="Alya Foulématou Camara"/>
    <s v="Riz"/>
    <x v="0"/>
    <m/>
    <m/>
    <x v="0"/>
    <m/>
    <m/>
    <m/>
    <m/>
    <m/>
    <m/>
    <m/>
    <x v="16"/>
  </r>
  <r>
    <d v="2023-05-04T13:00:54"/>
    <x v="14"/>
    <s v="Koba"/>
    <s v="Individuel"/>
    <s v="Fana soumah"/>
    <n v="622909171"/>
    <m/>
    <s v="Koba-Tatema"/>
    <n v="15"/>
    <s v="Labour - uniquement"/>
    <n v="50"/>
    <s v="Fanayah"/>
    <s v="J'ignore"/>
    <s v="6 mois"/>
    <d v="2023-05-18T00:00:00"/>
    <s v="Manque de tracteur"/>
    <s v="Alya Foulématou Camara"/>
    <s v="Riz"/>
    <x v="0"/>
    <m/>
    <m/>
    <x v="0"/>
    <m/>
    <m/>
    <m/>
    <m/>
    <m/>
    <m/>
    <m/>
    <x v="16"/>
  </r>
  <r>
    <d v="2023-05-04T13:03:10"/>
    <x v="16"/>
    <s v="Foundeng 1"/>
    <s v="Individuel"/>
    <s v="Mamadou Oury Barry"/>
    <n v="628054540"/>
    <m/>
    <s v="Kankama"/>
    <n v="65"/>
    <s v="Labour - uniquement"/>
    <n v="10"/>
    <s v="Ck21"/>
    <s v="Ck21"/>
    <s v="4 mois"/>
    <d v="2023-05-20T00:00:00"/>
    <m/>
    <s v="Souleymane Kanté"/>
    <s v="Riz"/>
    <x v="0"/>
    <m/>
    <m/>
    <x v="0"/>
    <m/>
    <m/>
    <m/>
    <m/>
    <m/>
    <m/>
    <m/>
    <x v="16"/>
  </r>
  <r>
    <d v="2023-05-04T13:16:14"/>
    <x v="15"/>
    <s v="Direction Préfectoral de l'Agriculture et de l'Élevage de Lola"/>
    <s v="Individuel"/>
    <s v="Nèma Robert Mamy"/>
    <n v="622558420"/>
    <m/>
    <s v="Bossou"/>
    <n v="18"/>
    <s v="Labour - uniquement"/>
    <n v="2"/>
    <s v="Manioc douce"/>
    <s v="Manihot utillisuma"/>
    <s v="4 mois"/>
    <d v="2023-05-08T00:00:00"/>
    <m/>
    <s v="Pokpa Delamou"/>
    <s v="Manioc"/>
    <x v="0"/>
    <m/>
    <m/>
    <x v="0"/>
    <m/>
    <m/>
    <m/>
    <m/>
    <m/>
    <m/>
    <m/>
    <x v="16"/>
  </r>
  <r>
    <d v="2023-05-04T13:17:47"/>
    <x v="16"/>
    <s v="Foundeng 1"/>
    <s v="Individuel"/>
    <s v="Oumar Camara"/>
    <n v="622062867"/>
    <m/>
    <s v="Konindou"/>
    <n v="40"/>
    <s v="Labour - uniquement"/>
    <n v="8"/>
    <s v="Maïs"/>
    <s v="Maïs"/>
    <s v="4 mois"/>
    <d v="2023-05-25T00:00:00"/>
    <m/>
    <s v="Souleymane Kanté"/>
    <s v="Maïs"/>
    <x v="0"/>
    <m/>
    <m/>
    <x v="0"/>
    <m/>
    <m/>
    <m/>
    <m/>
    <m/>
    <m/>
    <m/>
    <x v="16"/>
  </r>
  <r>
    <d v="2023-05-04T14:34:31"/>
    <x v="3"/>
    <s v="Petel Mamou"/>
    <s v="Individuel"/>
    <s v="Houssainatou Diallo"/>
    <n v="622700302"/>
    <m/>
    <s v="Ouré-Kaba"/>
    <n v="64"/>
    <s v="Labour - uniquement"/>
    <n v="1"/>
    <s v="Seydouba"/>
    <s v="CK90"/>
    <s v="4 mois"/>
    <d v="2023-11-13T00:00:00"/>
    <s v="Tout commence bien"/>
    <s v="Mamadouba Camara"/>
    <s v="Riz"/>
    <x v="0"/>
    <m/>
    <m/>
    <x v="0"/>
    <m/>
    <m/>
    <m/>
    <m/>
    <m/>
    <m/>
    <m/>
    <x v="16"/>
  </r>
  <r>
    <d v="2023-05-04T14:37:39"/>
    <x v="3"/>
    <s v="Petel Mamou"/>
    <s v="Individuel"/>
    <s v="Fodé Cissé"/>
    <n v="622700302"/>
    <m/>
    <s v="Ouré-Kaba"/>
    <n v="64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  <m/>
    <m/>
    <m/>
    <x v="16"/>
  </r>
  <r>
    <d v="2023-05-04T14:38:31"/>
    <x v="11"/>
    <s v="Centre"/>
    <s v="Individuel"/>
    <s v="Kaba kourouma"/>
    <n v="623546940"/>
    <n v="623546940"/>
    <s v="Kérouane Centre"/>
    <n v="16"/>
    <s v="Labour - uniquement"/>
    <n v="3"/>
    <s v="Samory"/>
    <s v="Samory"/>
    <s v="6 mois"/>
    <d v="2023-05-06T00:00:00"/>
    <m/>
    <s v="Moussa Kadia Camara"/>
    <s v="Riz"/>
    <x v="1"/>
    <n v="3"/>
    <d v="2023-05-05T00:00:00"/>
    <x v="17"/>
    <s v="7KNE001T"/>
    <m/>
    <m/>
    <m/>
    <m/>
    <m/>
    <m/>
    <x v="16"/>
  </r>
  <r>
    <d v="2023-05-04T14:41:10"/>
    <x v="11"/>
    <s v="Centre"/>
    <s v="Individuel"/>
    <s v="Kalou Conde"/>
    <n v="622113376"/>
    <n v="622113376"/>
    <s v="Kérouane Centre"/>
    <n v="12"/>
    <s v="Labour - uniquement"/>
    <n v="3"/>
    <s v="Moussagbe"/>
    <s v="Moussagbe"/>
    <s v="9 mois"/>
    <d v="2023-05-06T00:00:00"/>
    <m/>
    <s v="Moussa Kadia Camara"/>
    <s v="Riz"/>
    <x v="1"/>
    <n v="3"/>
    <d v="2023-05-05T00:00:00"/>
    <x v="17"/>
    <s v="7KNE001T"/>
    <m/>
    <m/>
    <m/>
    <m/>
    <m/>
    <m/>
    <x v="16"/>
  </r>
  <r>
    <d v="2023-05-04T14:41:35"/>
    <x v="3"/>
    <s v="Petel Mamou"/>
    <s v="Individuel"/>
    <s v="ELH Cissé"/>
    <n v="622700302"/>
    <m/>
    <s v="Ouré-Kaba"/>
    <n v="64"/>
    <s v="Labour - uniquement"/>
    <n v="1"/>
    <s v="Seydouba"/>
    <s v="Ck90"/>
    <s v="4 mois"/>
    <d v="2023-11-15T00:00:00"/>
    <s v="Tout commence bien"/>
    <s v="Mamadouba Camara"/>
    <s v="Riz"/>
    <x v="0"/>
    <m/>
    <m/>
    <x v="0"/>
    <m/>
    <m/>
    <m/>
    <m/>
    <m/>
    <m/>
    <m/>
    <x v="16"/>
  </r>
  <r>
    <d v="2023-05-04T14:49:50"/>
    <x v="11"/>
    <s v="Centre"/>
    <s v="Individuel"/>
    <s v="Mory vice Camara"/>
    <n v="626857980"/>
    <n v="626857980"/>
    <s v="Kérouane Centre"/>
    <n v="4"/>
    <s v="Labour - uniquement"/>
    <n v="1"/>
    <s v="Chinois"/>
    <s v="Chinois"/>
    <s v="9 mois"/>
    <d v="2023-05-06T00:00:00"/>
    <m/>
    <s v="Moussa Kadia Camara"/>
    <s v="Riz"/>
    <x v="1"/>
    <n v="1"/>
    <d v="2023-05-05T00:00:00"/>
    <x v="17"/>
    <s v="7MNA006T"/>
    <m/>
    <m/>
    <m/>
    <m/>
    <m/>
    <m/>
    <x v="16"/>
  </r>
  <r>
    <d v="2023-05-04T14:52:27"/>
    <x v="11"/>
    <s v="Centre"/>
    <s v="Individuel"/>
    <s v="Famoudou Conde"/>
    <n v="622537147"/>
    <n v="622537147"/>
    <s v="Kérouane Centre"/>
    <n v="17"/>
    <s v="Labour - uniquement"/>
    <n v="5"/>
    <s v="Seka"/>
    <s v="Seka"/>
    <s v="6 mois"/>
    <d v="2023-05-07T00:00:00"/>
    <m/>
    <s v="Moussa Kadia Camara"/>
    <s v="Riz"/>
    <x v="1"/>
    <n v="5"/>
    <d v="2023-05-05T00:00:00"/>
    <x v="17"/>
    <s v="7KNE002T"/>
    <m/>
    <m/>
    <m/>
    <m/>
    <m/>
    <m/>
    <x v="16"/>
  </r>
  <r>
    <d v="2023-05-04T14:59:39"/>
    <x v="11"/>
    <s v="Centre"/>
    <s v="Individuel"/>
    <s v="Simba edouare loua"/>
    <n v="622509473"/>
    <n v="622509473"/>
    <s v="Kérouane Centre"/>
    <n v="3"/>
    <s v="Labour - uniquement"/>
    <n v="1"/>
    <s v="Samory"/>
    <s v="Samory"/>
    <s v="5 mois"/>
    <d v="2023-05-06T00:00:00"/>
    <m/>
    <s v="Moussa Kadia Camara"/>
    <s v="Riz"/>
    <x v="1"/>
    <n v="1"/>
    <d v="2023-05-05T00:00:00"/>
    <x v="17"/>
    <s v="7MNA006T"/>
    <m/>
    <m/>
    <m/>
    <m/>
    <m/>
    <m/>
    <x v="16"/>
  </r>
  <r>
    <d v="2023-05-04T14:59:39"/>
    <x v="11"/>
    <s v="Centre"/>
    <s v="Individuel"/>
    <s v="Laye kaba kourouma"/>
    <n v="625558812"/>
    <n v="625558812"/>
    <s v="Kérouane Centre"/>
    <n v="18"/>
    <s v="Labour - uniquement"/>
    <n v="3"/>
    <s v="Sanbadji"/>
    <s v="Sanbadji"/>
    <s v="6 mois"/>
    <d v="2023-05-07T00:00:00"/>
    <m/>
    <s v="Moussa Kadia Camara"/>
    <s v="Riz"/>
    <x v="1"/>
    <n v="3"/>
    <d v="2023-05-05T00:00:00"/>
    <x v="17"/>
    <s v="7MNA006T"/>
    <m/>
    <m/>
    <m/>
    <m/>
    <m/>
    <m/>
    <x v="16"/>
  </r>
  <r>
    <d v="2023-05-04T15:02:15"/>
    <x v="11"/>
    <s v="Centre"/>
    <s v="Individuel"/>
    <s v="Dame Camara"/>
    <n v="624249904"/>
    <n v="624249904"/>
    <s v="Kérouane Centre"/>
    <n v="3"/>
    <s v="Labour - uniquement"/>
    <n v="2"/>
    <s v="Kissikelamalo"/>
    <s v="Kissikelamalo"/>
    <s v="6 mois"/>
    <d v="2023-05-05T00:00:00"/>
    <m/>
    <s v="Moussa Kadia Camara"/>
    <s v="Riz"/>
    <x v="1"/>
    <n v="2"/>
    <d v="2023-05-05T00:00:00"/>
    <x v="17"/>
    <s v="7KNE001T"/>
    <m/>
    <m/>
    <m/>
    <m/>
    <m/>
    <m/>
    <x v="16"/>
  </r>
  <r>
    <d v="2023-05-04T15:04:39"/>
    <x v="11"/>
    <s v="Centre"/>
    <s v="Individuel"/>
    <s v="Bonko vieux Camara"/>
    <n v="620311680"/>
    <n v="620311680"/>
    <s v="Kérouane Centre"/>
    <n v="2"/>
    <s v="Labour - uniquement"/>
    <n v="3"/>
    <s v="Samory"/>
    <s v="Samory"/>
    <s v="5 mois"/>
    <d v="2023-05-05T00:00:00"/>
    <m/>
    <s v="Moussa Kadia Camara"/>
    <s v="Riz"/>
    <x v="1"/>
    <n v="3"/>
    <d v="2023-05-05T00:00:00"/>
    <x v="17"/>
    <s v="7MNA006T"/>
    <m/>
    <m/>
    <m/>
    <m/>
    <m/>
    <m/>
    <x v="16"/>
  </r>
  <r>
    <d v="2023-05-04T15:07:15"/>
    <x v="11"/>
    <s v="Centre"/>
    <s v="Individuel"/>
    <s v="Sangbe Laye Camara"/>
    <n v="628569230"/>
    <n v="628569230"/>
    <s v="Kérouane Centre"/>
    <n v="3"/>
    <s v="Labour - uniquement"/>
    <n v="2"/>
    <s v="Kaoulaka"/>
    <s v="Kaoulaka"/>
    <s v="6 mois"/>
    <d v="2023-05-06T00:00:00"/>
    <m/>
    <s v="Moussa Kadia Camara"/>
    <s v="Riz"/>
    <x v="1"/>
    <n v="2"/>
    <d v="2023-05-05T00:00:00"/>
    <x v="17"/>
    <s v="7KNE002T"/>
    <m/>
    <m/>
    <m/>
    <m/>
    <m/>
    <m/>
    <x v="16"/>
  </r>
  <r>
    <d v="2023-05-04T15:10:20"/>
    <x v="3"/>
    <s v="Petel Mamou"/>
    <s v="Individuel"/>
    <s v="Fodé savane"/>
    <n v="622700302"/>
    <m/>
    <s v="Ouré-Kaba"/>
    <n v="66"/>
    <s v="Labour - uniquement"/>
    <n v="1"/>
    <s v="Seydouba"/>
    <s v="Ck90"/>
    <s v="4 mois"/>
    <d v="2023-11-14T00:00:00"/>
    <s v="Tout commence bien"/>
    <s v="Mamadouba Camara"/>
    <s v="Riz"/>
    <x v="0"/>
    <m/>
    <m/>
    <x v="0"/>
    <m/>
    <m/>
    <m/>
    <m/>
    <m/>
    <m/>
    <m/>
    <x v="16"/>
  </r>
  <r>
    <d v="2023-05-04T15:13:58"/>
    <x v="3"/>
    <s v="Petel Mamou"/>
    <s v="Individuel"/>
    <s v="Karfalla Kante"/>
    <n v="623150361"/>
    <m/>
    <s v="Ouré-Kaba"/>
    <n v="66"/>
    <s v="Labour - uniquement"/>
    <n v="2"/>
    <s v="Seydouba"/>
    <s v="Ck90"/>
    <s v="4 mois"/>
    <d v="2023-11-15T00:00:00"/>
    <s v="Tout commence bien"/>
    <s v="Mamadouba Camara"/>
    <s v="Riz"/>
    <x v="1"/>
    <n v="2"/>
    <d v="2023-05-23T00:00:00"/>
    <x v="18"/>
    <s v="4MOU002T"/>
    <m/>
    <m/>
    <m/>
    <m/>
    <m/>
    <m/>
    <x v="16"/>
  </r>
  <r>
    <d v="2023-05-04T15:17:20"/>
    <x v="3"/>
    <s v="Petel Mamou"/>
    <s v="Individuel"/>
    <s v="Sire Mansare"/>
    <n v="621867641"/>
    <m/>
    <s v="Ouré-Kaba"/>
    <n v="66"/>
    <s v="Labour - uniquement"/>
    <n v="2"/>
    <s v="Seydouba"/>
    <s v="Ck90"/>
    <s v="4 mois"/>
    <d v="2023-11-15T00:00:00"/>
    <s v="Tout commence bien"/>
    <s v="Mamadouba Camara"/>
    <s v="Riz"/>
    <x v="0"/>
    <m/>
    <m/>
    <x v="0"/>
    <m/>
    <m/>
    <m/>
    <m/>
    <m/>
    <m/>
    <m/>
    <x v="16"/>
  </r>
  <r>
    <d v="2023-05-04T15:20:43"/>
    <x v="3"/>
    <s v="Petel Mamou"/>
    <s v="Individuel"/>
    <s v="Baba Camara"/>
    <n v="621435805"/>
    <m/>
    <s v="Ouré-Kaba"/>
    <n v="67"/>
    <s v="Labour - uniquement"/>
    <n v="3"/>
    <s v="Seydouba"/>
    <s v="Ck90"/>
    <s v="4 mois"/>
    <d v="2023-11-16T00:00:00"/>
    <s v="Tout commence"/>
    <s v="Mamadouba Camara"/>
    <s v="Riz"/>
    <x v="0"/>
    <m/>
    <m/>
    <x v="0"/>
    <m/>
    <m/>
    <m/>
    <m/>
    <m/>
    <m/>
    <m/>
    <x v="16"/>
  </r>
  <r>
    <d v="2023-05-04T15:24:21"/>
    <x v="3"/>
    <s v="Petel Mamou"/>
    <s v="Individuel"/>
    <s v="Balla Mansare"/>
    <n v="620722451"/>
    <m/>
    <s v="Ouré-Kaba"/>
    <n v="67"/>
    <s v="Labour - uniquement"/>
    <n v="3"/>
    <s v="Seydouba"/>
    <s v="Ck90"/>
    <s v="4 mois"/>
    <d v="2023-11-16T00:00:00"/>
    <s v="Tout commence bien"/>
    <s v="Mamadouba Camara"/>
    <s v="Riz"/>
    <x v="0"/>
    <m/>
    <m/>
    <x v="0"/>
    <m/>
    <m/>
    <m/>
    <m/>
    <m/>
    <m/>
    <m/>
    <x v="16"/>
  </r>
  <r>
    <d v="2023-05-04T15:28:01"/>
    <x v="3"/>
    <s v="Petel Mamou"/>
    <s v="Individuel"/>
    <s v="Sory Camara"/>
    <n v="623150361"/>
    <m/>
    <s v="Ouré-Kaba"/>
    <n v="66"/>
    <s v="Labour - uniquement"/>
    <n v="3"/>
    <s v="Seydouba"/>
    <s v="Ck90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5:33:00"/>
    <x v="3"/>
    <s v="Petel Mamou"/>
    <s v="Individuel"/>
    <s v="Fodé Alseny savane"/>
    <n v="622755550"/>
    <m/>
    <s v="Ouré-Kaba"/>
    <n v="66"/>
    <s v="Labour - uniquement"/>
    <n v="2"/>
    <s v="Seydouba"/>
    <s v="Ck90"/>
    <s v="4 mois"/>
    <d v="2023-11-16T00:00:00"/>
    <s v="Tout commence bien"/>
    <s v="Mamadouba Camara"/>
    <s v="Riz"/>
    <x v="0"/>
    <m/>
    <m/>
    <x v="0"/>
    <m/>
    <m/>
    <m/>
    <m/>
    <m/>
    <m/>
    <m/>
    <x v="16"/>
  </r>
  <r>
    <d v="2023-05-04T15:39:17"/>
    <x v="0"/>
    <s v="Direction préfectorale de l'agriculture et de l'élevage de Macenta"/>
    <s v="Individuel"/>
    <s v="Aly Keita"/>
    <n v="628095010"/>
    <m/>
    <s v="Macenta Centre"/>
    <n v="12"/>
    <s v="Labour - uniquement"/>
    <n v="2"/>
    <s v="Djoukèmè"/>
    <s v="Oriza sativa"/>
    <s v="5 mois"/>
    <d v="2023-05-05T00:00:00"/>
    <s v="Pas"/>
    <s v="Alexandre Kpoghomou"/>
    <s v="Riz"/>
    <x v="1"/>
    <n v="3"/>
    <d v="2023-05-05T00:00:00"/>
    <x v="17"/>
    <s v="8MTA004T"/>
    <m/>
    <m/>
    <m/>
    <m/>
    <m/>
    <m/>
    <x v="16"/>
  </r>
  <r>
    <d v="2023-05-04T15:39:41"/>
    <x v="3"/>
    <s v="Petel Mamou"/>
    <s v="Individuel"/>
    <s v="Mohamed kaba"/>
    <n v="621278650"/>
    <m/>
    <s v="Ouré-Kaba"/>
    <n v="67"/>
    <s v="Labour - uniquement"/>
    <n v="3"/>
    <s v="Seydouba"/>
    <s v="Ck90"/>
    <s v="4 mois"/>
    <d v="2023-11-17T00:00:00"/>
    <s v="Tout commence bien"/>
    <s v="Mamadouba Camara"/>
    <s v="Riz"/>
    <x v="1"/>
    <n v="2"/>
    <d v="2023-05-17T00:00:00"/>
    <x v="4"/>
    <s v="4MOU002T"/>
    <m/>
    <m/>
    <m/>
    <m/>
    <m/>
    <m/>
    <x v="16"/>
  </r>
  <r>
    <d v="2023-05-04T15:42:02"/>
    <x v="11"/>
    <s v="Centre"/>
    <s v="Individuel"/>
    <s v="Lancine Camara"/>
    <n v="620548116"/>
    <n v="620548116"/>
    <s v="Kérouane Centre"/>
    <n v="12"/>
    <s v="Labour - uniquement"/>
    <n v="3"/>
    <s v="Chinois"/>
    <s v="Chinois"/>
    <s v="9 mois"/>
    <d v="2023-05-06T00:00:00"/>
    <m/>
    <s v="Moussa Kadia Camara"/>
    <s v="Riz"/>
    <x v="1"/>
    <n v="3"/>
    <d v="2023-05-05T00:00:00"/>
    <x v="17"/>
    <s v="7KNE002T"/>
    <m/>
    <m/>
    <m/>
    <m/>
    <m/>
    <m/>
    <x v="16"/>
  </r>
  <r>
    <d v="2023-05-04T15:43:46"/>
    <x v="3"/>
    <s v="Petel"/>
    <s v="Individuel"/>
    <s v="Tenemba Mansare"/>
    <n v="620682854"/>
    <m/>
    <s v="Ouré-Kaba"/>
    <n v="65"/>
    <s v="Labour - uniquement"/>
    <n v="3"/>
    <s v="Seydouba"/>
    <s v="Ck90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5:46:12"/>
    <x v="0"/>
    <s v="Direction préfectorale de l'agriculture et de l'élevage de macenta"/>
    <s v="Individuel"/>
    <s v="Yakounba Keita"/>
    <n v="621816250"/>
    <m/>
    <s v="Kouankan"/>
    <n v="60"/>
    <s v="Labour - uniquement"/>
    <n v="2"/>
    <s v="Niebé"/>
    <s v="Niebé"/>
    <s v="3 mois"/>
    <d v="2023-05-10T00:00:00"/>
    <s v="Pas"/>
    <s v="Alexandre Kpoghomou"/>
    <s v="Riz"/>
    <x v="1"/>
    <n v="2"/>
    <d v="2023-05-05T00:00:00"/>
    <x v="17"/>
    <s v="8MTA003T"/>
    <m/>
    <m/>
    <m/>
    <m/>
    <m/>
    <m/>
    <x v="16"/>
  </r>
  <r>
    <d v="2023-05-04T16:20:48"/>
    <x v="3"/>
    <s v="Petel Mamou"/>
    <s v="Individuel"/>
    <s v="Mamadou Mansare"/>
    <n v="628066073"/>
    <m/>
    <s v="Ouré-Kaba"/>
    <n v="66"/>
    <s v="Labour - uniquement"/>
    <n v="2"/>
    <s v="Seydouba"/>
    <s v="Ck90"/>
    <s v="4 mois"/>
    <d v="2023-11-16T00:00:00"/>
    <s v="Tout commence bien"/>
    <s v="Mamadouba Camara"/>
    <s v="Riz"/>
    <x v="0"/>
    <m/>
    <m/>
    <x v="0"/>
    <m/>
    <m/>
    <m/>
    <m/>
    <m/>
    <m/>
    <m/>
    <x v="16"/>
  </r>
  <r>
    <d v="2023-05-04T16:45:19"/>
    <x v="3"/>
    <s v="Petel Mamou"/>
    <s v="Individuel"/>
    <s v="Ousmane Camara"/>
    <n v="622044007"/>
    <m/>
    <s v="Ouré-Kaba"/>
    <n v="66"/>
    <s v="Labour - uniquement"/>
    <n v="2"/>
    <s v="Seydouba"/>
    <s v="Ck90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6:52:21"/>
    <x v="3"/>
    <s v="Petel Mamou"/>
    <s v="Individuel"/>
    <s v="Boubacar Mansare"/>
    <n v="623844820"/>
    <m/>
    <s v="Ouré-Kaba"/>
    <n v="67"/>
    <s v="Labour - uniquement"/>
    <n v="2"/>
    <s v="Seydouba"/>
    <s v="Ck90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6:56:10"/>
    <x v="3"/>
    <s v="Petel Mamou"/>
    <s v="Individuel"/>
    <s v="Mamadou loin Mansare"/>
    <n v="625833152"/>
    <m/>
    <s v="Ouré-Kaba"/>
    <n v="66"/>
    <s v="Labour - uniquement"/>
    <n v="1"/>
    <s v="Seydouba"/>
    <s v="Ck90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7:04:20"/>
    <x v="3"/>
    <s v="Petel Mamou"/>
    <s v="Individuel"/>
    <s v="Mamadou kissia Sow"/>
    <n v="626365685"/>
    <m/>
    <s v="Ouré-Kaba"/>
    <n v="72"/>
    <s v="Labour - uniquement"/>
    <n v="25"/>
    <s v="Kissimale"/>
    <s v="Kaolack"/>
    <s v="5 mois"/>
    <d v="2023-11-18T00:00:00"/>
    <s v="Tout commence bien"/>
    <s v="Mamadouba Camara"/>
    <s v="Riz"/>
    <x v="0"/>
    <m/>
    <m/>
    <x v="0"/>
    <m/>
    <m/>
    <m/>
    <m/>
    <m/>
    <m/>
    <m/>
    <x v="16"/>
  </r>
  <r>
    <d v="2023-05-04T17:08:39"/>
    <x v="3"/>
    <s v="Petel Mamou"/>
    <s v="Individuel"/>
    <s v="Madame Sylla"/>
    <n v="627741637"/>
    <m/>
    <s v="Ouré-Kaba"/>
    <n v="80"/>
    <s v="Labour - uniquement"/>
    <n v="1"/>
    <s v="Kalya"/>
    <s v="Ck21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4T17:12:31"/>
    <x v="3"/>
    <s v="Petel Mamou"/>
    <s v="Individuel"/>
    <s v="Seny Mansare"/>
    <n v="627741637"/>
    <m/>
    <s v="Ouré-Kaba"/>
    <n v="80"/>
    <s v="Labour - uniquement"/>
    <n v="4"/>
    <s v="Kalya"/>
    <s v="Ck21"/>
    <s v="4 mois"/>
    <d v="2023-05-18T00:00:00"/>
    <s v="Tout commence bien"/>
    <s v="Mamadouba Camara"/>
    <s v="Riz"/>
    <x v="0"/>
    <m/>
    <m/>
    <x v="0"/>
    <m/>
    <m/>
    <m/>
    <m/>
    <m/>
    <m/>
    <m/>
    <x v="16"/>
  </r>
  <r>
    <d v="2023-05-04T17:16:09"/>
    <x v="3"/>
    <s v="Petel Mamou"/>
    <s v="Individuel"/>
    <s v="Oudy kaba"/>
    <n v="621342558"/>
    <m/>
    <s v="Ouré-Kaba"/>
    <n v="81"/>
    <s v="Labour - uniquement"/>
    <n v="3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4T17:20:09"/>
    <x v="3"/>
    <s v="Petel Mamou"/>
    <s v="Individuel"/>
    <s v="Karamo Saly Camara"/>
    <n v="621342558"/>
    <m/>
    <s v="Ouré-Kaba"/>
    <n v="80"/>
    <s v="Labour - uniquement"/>
    <n v="3"/>
    <s v="Kalya"/>
    <s v="Ck 21"/>
    <s v="4 mois"/>
    <d v="2023-11-20T00:00:00"/>
    <s v="Tout commence bien"/>
    <s v="Mamadouba Camara"/>
    <s v="Riz"/>
    <x v="0"/>
    <m/>
    <m/>
    <x v="0"/>
    <m/>
    <m/>
    <m/>
    <m/>
    <m/>
    <m/>
    <m/>
    <x v="16"/>
  </r>
  <r>
    <d v="2023-05-04T17:22:06"/>
    <x v="12"/>
    <s v="Ouassou"/>
    <s v="Individuel"/>
    <s v="Lamine Soumah"/>
    <n v="629620624"/>
    <n v="629620624"/>
    <s v="Koba-Tatema"/>
    <n v="4"/>
    <s v="Labour - uniquement"/>
    <n v="1"/>
    <s v="Massaraka"/>
    <s v="Nereka"/>
    <s v="6 mois"/>
    <d v="2023-05-04T00:00:00"/>
    <s v="Accord"/>
    <s v="Kissi Camara"/>
    <s v="Riz"/>
    <x v="1"/>
    <n v="1"/>
    <d v="2023-05-08T00:00:00"/>
    <x v="16"/>
    <s v="2DKA001T"/>
    <m/>
    <m/>
    <m/>
    <m/>
    <m/>
    <m/>
    <x v="16"/>
  </r>
  <r>
    <d v="2023-05-04T17:23:40"/>
    <x v="3"/>
    <s v="Petel Mamou"/>
    <s v="Individuel"/>
    <s v="Sano Condé"/>
    <n v="627741637"/>
    <m/>
    <s v="Ouré-Kaba"/>
    <n v="80"/>
    <s v="Labour - uniquement"/>
    <n v="3"/>
    <s v="Kalya"/>
    <s v="Ck21"/>
    <s v="4 mois"/>
    <d v="2023-05-21T00:00:00"/>
    <s v="Tout commence bien"/>
    <s v="Mamadouba Camara"/>
    <s v="Riz"/>
    <x v="0"/>
    <m/>
    <m/>
    <x v="0"/>
    <m/>
    <m/>
    <m/>
    <m/>
    <m/>
    <m/>
    <m/>
    <x v="16"/>
  </r>
  <r>
    <d v="2023-05-04T17:34:38"/>
    <x v="19"/>
    <s v="Manéah"/>
    <s v="Individuel"/>
    <s v="Aboubacar Camara"/>
    <n v="621734464"/>
    <m/>
    <s v="Kouriya"/>
    <n v="14"/>
    <s v="Labour - uniquement"/>
    <n v="2"/>
    <s v="Variete local"/>
    <s v="CK90"/>
    <s v="5 mois"/>
    <d v="2023-05-14T00:00:00"/>
    <m/>
    <s v="Ousmane Tangaly Balde"/>
    <s v="Riz"/>
    <x v="1"/>
    <n v="2"/>
    <d v="2023-05-09T00:00:00"/>
    <x v="16"/>
    <s v="2CAH001T"/>
    <m/>
    <m/>
    <m/>
    <m/>
    <m/>
    <m/>
    <x v="16"/>
  </r>
  <r>
    <d v="2023-05-04T18:01:44"/>
    <x v="4"/>
    <s v="Boké centre"/>
    <s v="Individuel"/>
    <s v="Abdoul Karim Nabé"/>
    <n v="622728446"/>
    <n v="0"/>
    <s v="Tanéné"/>
    <n v="30"/>
    <s v="Labour + Pulvérisation"/>
    <n v="7"/>
    <s v="non"/>
    <s v="non"/>
    <s v="4 mois"/>
    <d v="2023-05-20T00:00:00"/>
    <s v="c'est dans Tanéné"/>
    <s v="Elhadj Souaré Mamadou Dian"/>
    <s v="Riz"/>
    <x v="0"/>
    <m/>
    <m/>
    <x v="0"/>
    <m/>
    <m/>
    <m/>
    <m/>
    <m/>
    <m/>
    <m/>
    <x v="16"/>
  </r>
  <r>
    <d v="2023-05-04T18:09:35"/>
    <x v="4"/>
    <s v="Boké centre"/>
    <s v="Individuel"/>
    <s v="Monsieur Keïta"/>
    <n v="620758936"/>
    <n v="0"/>
    <s v="Bintimodiya"/>
    <n v="55"/>
    <s v="Labour + Pulvérisation"/>
    <n v="27"/>
    <s v="non"/>
    <s v="non"/>
    <s v="4 mois"/>
    <d v="2023-05-25T00:00:00"/>
    <s v="tous les producteurs visent sur le mois de mai et juin pour les labours"/>
    <s v="Elhadj Souaré Mamadou Dian"/>
    <s v="Riz"/>
    <x v="0"/>
    <m/>
    <m/>
    <x v="0"/>
    <m/>
    <m/>
    <m/>
    <m/>
    <m/>
    <m/>
    <m/>
    <x v="16"/>
  </r>
  <r>
    <d v="2023-05-04T18:15:28"/>
    <x v="4"/>
    <s v="Boké centre"/>
    <s v="Collectif"/>
    <s v="Dpae Condé"/>
    <n v="628288427"/>
    <n v="0"/>
    <s v="Tanéné"/>
    <n v="20"/>
    <s v="Labour + Pulvérisation"/>
    <n v="100"/>
    <s v="non"/>
    <s v="non"/>
    <s v="5 mois"/>
    <d v="2023-05-27T00:00:00"/>
    <s v="C'est l'association des cadres dela Dpae"/>
    <s v="Elhadj Souaré Mamadou Dian"/>
    <s v="Riz"/>
    <x v="0"/>
    <m/>
    <m/>
    <x v="0"/>
    <m/>
    <m/>
    <m/>
    <m/>
    <m/>
    <m/>
    <m/>
    <x v="16"/>
  </r>
  <r>
    <d v="2023-05-04T18:30:24"/>
    <x v="14"/>
    <s v="Koba"/>
    <s v="Individuel"/>
    <s v="Hasmiou bangoura"/>
    <n v="620463277"/>
    <m/>
    <s v="Koba-Tatema"/>
    <n v="15"/>
    <s v="Labour - uniquement"/>
    <n v="6"/>
    <s v="Massarka"/>
    <s v="J'ignore"/>
    <s v="4 mois"/>
    <d v="2023-05-20T00:00:00"/>
    <s v="Manque de tracteur"/>
    <s v="Alya Foulématou Camara"/>
    <s v="Riz"/>
    <x v="0"/>
    <m/>
    <m/>
    <x v="0"/>
    <m/>
    <m/>
    <m/>
    <m/>
    <m/>
    <m/>
    <m/>
    <x v="16"/>
  </r>
  <r>
    <d v="2023-05-04T18:35:24"/>
    <x v="14"/>
    <s v="Koba"/>
    <s v="Individuel"/>
    <s v="Yola Sylla"/>
    <n v="623465553"/>
    <m/>
    <s v="Tougnifili"/>
    <n v="160"/>
    <s v="Labour - uniquement"/>
    <n v="2"/>
    <s v="Baga Malé"/>
    <s v="J'ignore"/>
    <s v="6 mois"/>
    <d v="2023-05-12T00:00:00"/>
    <s v="Manque de tracteur"/>
    <s v="Alya Foulématou Camara"/>
    <s v="Riz"/>
    <x v="0"/>
    <m/>
    <m/>
    <x v="0"/>
    <m/>
    <m/>
    <m/>
    <m/>
    <m/>
    <m/>
    <m/>
    <x v="16"/>
  </r>
  <r>
    <d v="2023-05-04T18:40:46"/>
    <x v="14"/>
    <s v="Koba"/>
    <s v="Individuel"/>
    <s v="Aboubacar Bayp"/>
    <n v="627820424"/>
    <m/>
    <s v="Tougnifili"/>
    <n v="160"/>
    <s v="Labour - uniquement"/>
    <n v="11"/>
    <s v="Baga Malé"/>
    <s v="J'ignore"/>
    <s v="6 mois"/>
    <d v="2023-05-13T00:00:00"/>
    <s v="Manque de tracteur"/>
    <s v="Alya Foulématou Camara"/>
    <s v="Riz"/>
    <x v="0"/>
    <m/>
    <m/>
    <x v="0"/>
    <m/>
    <m/>
    <m/>
    <m/>
    <m/>
    <m/>
    <m/>
    <x v="16"/>
  </r>
  <r>
    <d v="2023-05-04T18:45:00"/>
    <x v="14"/>
    <s v="Koba"/>
    <s v="Individuel"/>
    <s v="Seidouba Sylla"/>
    <n v="621916367"/>
    <m/>
    <s v="Tougnifili"/>
    <n v="160"/>
    <s v="Labour - uniquement"/>
    <n v="6"/>
    <s v="Hawa Bangoura"/>
    <s v="J' ignore"/>
    <s v="4 mois"/>
    <d v="2023-06-05T00:00:00"/>
    <s v="Manque de tracteur"/>
    <s v="Alya Foulématou Camara"/>
    <s v="Riz"/>
    <x v="0"/>
    <m/>
    <m/>
    <x v="0"/>
    <m/>
    <m/>
    <m/>
    <m/>
    <m/>
    <m/>
    <m/>
    <x v="16"/>
  </r>
  <r>
    <d v="2023-05-04T18:48:50"/>
    <x v="14"/>
    <s v="Koba"/>
    <s v="Individuel"/>
    <s v="Yamoussa Bangoura"/>
    <n v="626996031"/>
    <m/>
    <s v="Koba-Tatema"/>
    <n v="15"/>
    <s v="Labour - uniquement"/>
    <n v="13"/>
    <s v="Mbapeya"/>
    <s v="J'ignore"/>
    <s v="4 mois"/>
    <d v="2023-05-15T00:00:00"/>
    <s v="Manque de tracteur"/>
    <s v="Alya Foulématou Camara"/>
    <s v="Riz"/>
    <x v="0"/>
    <m/>
    <m/>
    <x v="0"/>
    <m/>
    <m/>
    <m/>
    <m/>
    <m/>
    <m/>
    <m/>
    <x v="16"/>
  </r>
  <r>
    <d v="2023-05-04T18:52:36"/>
    <x v="14"/>
    <s v="Koba"/>
    <s v="Individuel"/>
    <s v="Faber Bangoura"/>
    <n v="620750752"/>
    <m/>
    <s v="Tougnifili"/>
    <n v="160"/>
    <s v="Labour - uniquement"/>
    <n v="4"/>
    <s v="Hawa Bangoura"/>
    <s v="J'ignore"/>
    <s v="4 mois"/>
    <d v="2023-06-15T00:00:00"/>
    <s v="Manque de tracteur"/>
    <s v="Alya Foulématou Camara"/>
    <s v="Riz"/>
    <x v="0"/>
    <m/>
    <m/>
    <x v="0"/>
    <m/>
    <m/>
    <m/>
    <m/>
    <m/>
    <m/>
    <m/>
    <x v="16"/>
  </r>
  <r>
    <d v="2023-05-04T22:31:21"/>
    <x v="7"/>
    <s v="Cours du bloc Administratif"/>
    <s v="Individuel"/>
    <s v="Sékou BAYO"/>
    <n v="628293341"/>
    <m/>
    <s v="Kiniéran"/>
    <n v="85"/>
    <s v="Labour + Pulvérisation"/>
    <n v="10"/>
    <s v="Nerica 19"/>
    <s v="Nerica"/>
    <s v="4 mois"/>
    <d v="2023-06-29T00:00:00"/>
    <s v="Aptes pour la mécanisation"/>
    <s v="Nounkè Doumbouya"/>
    <s v="Riz"/>
    <x v="0"/>
    <m/>
    <m/>
    <x v="0"/>
    <m/>
    <m/>
    <m/>
    <m/>
    <m/>
    <m/>
    <m/>
    <x v="16"/>
  </r>
  <r>
    <d v="2023-05-04T22:42:20"/>
    <x v="7"/>
    <s v="Cours du bloc Administratif"/>
    <s v="Individuel"/>
    <s v="Mamadiba Koulibaly"/>
    <n v="628959500"/>
    <m/>
    <s v="Kiniéran"/>
    <n v="80"/>
    <s v="Labour + Pulvérisation"/>
    <n v="8"/>
    <s v="Nerica 4"/>
    <s v="Nerica"/>
    <s v="3 mois"/>
    <d v="2023-07-01T00:00:00"/>
    <s v="Aptes pour la mécanisation"/>
    <s v="Nounkè Doumbouya"/>
    <s v="Riz"/>
    <x v="0"/>
    <m/>
    <m/>
    <x v="0"/>
    <m/>
    <m/>
    <m/>
    <m/>
    <m/>
    <m/>
    <m/>
    <x v="16"/>
  </r>
  <r>
    <d v="2023-05-05T07:50:43"/>
    <x v="5"/>
    <s v="Guéckédou"/>
    <s v="Individuel"/>
    <s v="Condé Hawa"/>
    <n v="621857819"/>
    <n v="621857819"/>
    <s v="Guendembou"/>
    <n v="2"/>
    <s v="Labour - uniquement"/>
    <n v="2"/>
    <s v="CK 90"/>
    <s v="Ck90"/>
    <s v="4 mois"/>
    <d v="2023-04-30T00:00:00"/>
    <s v="Ok"/>
    <s v="Lamine Condé"/>
    <s v="Riz"/>
    <x v="1"/>
    <n v="2"/>
    <d v="2023-05-08T00:00:00"/>
    <x v="16"/>
    <s v="8GOU002T"/>
    <m/>
    <m/>
    <m/>
    <m/>
    <m/>
    <m/>
    <x v="16"/>
  </r>
  <r>
    <d v="2023-05-05T08:18:52"/>
    <x v="10"/>
    <s v="Commune urbaine"/>
    <s v="Individuel"/>
    <s v="Byli Camara"/>
    <n v="626432539"/>
    <n v="626432539"/>
    <s v="Fermesadou"/>
    <n v="25"/>
    <s v="Labour - uniquement"/>
    <n v="5"/>
    <s v="CK 90"/>
    <s v="CK 90"/>
    <s v="5 mois"/>
    <d v="2023-05-02T00:00:00"/>
    <s v="Ok"/>
    <s v="Mamady 2 Camara"/>
    <s v="Riz"/>
    <x v="1"/>
    <n v="5"/>
    <d v="2023-05-04T00:00:00"/>
    <x v="17"/>
    <s v="6KOU002T"/>
    <m/>
    <m/>
    <m/>
    <m/>
    <m/>
    <m/>
    <x v="16"/>
  </r>
  <r>
    <d v="2023-05-05T08:19:14"/>
    <x v="14"/>
    <s v="Koba"/>
    <s v="Individuel"/>
    <s v="Fodé conté"/>
    <n v="628735567"/>
    <m/>
    <s v="Koba-Tatema"/>
    <n v="15"/>
    <s v="Labour - uniquement"/>
    <n v="3"/>
    <s v="Balanta"/>
    <s v="J'ignore"/>
    <s v="4 mois"/>
    <d v="2023-05-20T00:00:00"/>
    <s v="Manque de tracteur"/>
    <s v="Alya Foulématou Camara"/>
    <s v="Riz"/>
    <x v="0"/>
    <m/>
    <m/>
    <x v="0"/>
    <m/>
    <m/>
    <m/>
    <m/>
    <m/>
    <m/>
    <m/>
    <x v="16"/>
  </r>
  <r>
    <d v="2023-05-05T09:00:11"/>
    <x v="12"/>
    <s v="Ouassou"/>
    <s v="Individuel"/>
    <s v="Isiaga Sylla"/>
    <n v="629665065"/>
    <n v="629665065"/>
    <s v="Koba-Tatema"/>
    <n v="4"/>
    <s v="Labour - uniquement"/>
    <n v="10"/>
    <s v="Massaraka"/>
    <s v="Nereka"/>
    <s v="6 mois"/>
    <d v="2023-05-06T00:00:00"/>
    <s v="Accord"/>
    <s v="Kissi Camara"/>
    <s v="Riz"/>
    <x v="1"/>
    <n v="3"/>
    <d v="2023-05-08T00:00:00"/>
    <x v="16"/>
    <s v="2DKA001T"/>
    <m/>
    <m/>
    <m/>
    <m/>
    <m/>
    <m/>
    <x v="16"/>
  </r>
  <r>
    <d v="2023-05-05T10:11:42"/>
    <x v="5"/>
    <s v="Guéckédou"/>
    <s v="Individuel"/>
    <s v="Wandera kantambadouno"/>
    <n v="622545479"/>
    <n v="622545479"/>
    <s v="Nongoa"/>
    <n v="27"/>
    <s v="Labour - uniquement"/>
    <n v="5"/>
    <s v="Ck90"/>
    <s v="Ck90"/>
    <s v="4 mois"/>
    <d v="2023-05-01T00:00:00"/>
    <s v="Ok"/>
    <s v="Lamine Condé"/>
    <s v="Riz"/>
    <x v="1"/>
    <n v="5"/>
    <d v="2023-05-08T00:00:00"/>
    <x v="16"/>
    <s v="8GOU001T"/>
    <m/>
    <m/>
    <m/>
    <m/>
    <m/>
    <m/>
    <x v="16"/>
  </r>
  <r>
    <d v="2023-05-05T10:22:08"/>
    <x v="5"/>
    <s v="Guéckédou centre"/>
    <s v="Individuel"/>
    <s v="Joseph kourouma"/>
    <n v="621180902"/>
    <n v="621180902"/>
    <s v="Guéckédou Centre"/>
    <n v="5"/>
    <s v="Labour - uniquement"/>
    <n v="3"/>
    <s v="Ck90"/>
    <s v="Ck90"/>
    <s v="4 mois"/>
    <d v="2023-05-05T00:00:00"/>
    <s v="Ok"/>
    <s v="Lamine Condé"/>
    <s v="Riz"/>
    <x v="1"/>
    <n v="3"/>
    <d v="2023-05-08T00:00:00"/>
    <x v="16"/>
    <s v="8GOU003T"/>
    <m/>
    <m/>
    <m/>
    <m/>
    <m/>
    <m/>
    <x v="16"/>
  </r>
  <r>
    <d v="2023-05-05T10:22:50"/>
    <x v="8"/>
    <s v="Beyla centre"/>
    <s v="Individuel"/>
    <s v="Nouhan kante"/>
    <n v="628166932"/>
    <m/>
    <s v="Diassadou"/>
    <n v="30"/>
    <s v="Labour - uniquement"/>
    <n v="4"/>
    <s v="Samolimalo"/>
    <s v="Riz"/>
    <s v="5 mois"/>
    <d v="2023-05-05T00:00:00"/>
    <m/>
    <s v="Moussa Conde"/>
    <s v="Riz"/>
    <x v="1"/>
    <n v="4"/>
    <d v="2023-05-05T00:00:00"/>
    <x v="17"/>
    <s v="8BLA013T"/>
    <m/>
    <m/>
    <m/>
    <m/>
    <m/>
    <m/>
    <x v="16"/>
  </r>
  <r>
    <d v="2023-05-05T10:24:01"/>
    <x v="3"/>
    <s v="Petel Mamou"/>
    <s v="Individuel"/>
    <s v="Alpha Oumar Mansare"/>
    <n v="621342558"/>
    <m/>
    <s v="Ouré-Kaba"/>
    <n v="80"/>
    <s v="Labour - uniquement"/>
    <n v="1"/>
    <s v="Kalya"/>
    <s v="Ck21"/>
    <s v="4 mois"/>
    <d v="2023-11-16T00:00:00"/>
    <s v="Tout commence bien"/>
    <s v="Mamadouba Camara"/>
    <s v="Riz"/>
    <x v="0"/>
    <m/>
    <m/>
    <x v="0"/>
    <m/>
    <m/>
    <m/>
    <m/>
    <m/>
    <m/>
    <m/>
    <x v="16"/>
  </r>
  <r>
    <d v="2023-05-05T10:29:06"/>
    <x v="3"/>
    <s v="Petel Mamou"/>
    <s v="Individuel"/>
    <s v="Lamina Sylla"/>
    <n v="621342558"/>
    <m/>
    <s v="Ouré-Kaba"/>
    <n v="80"/>
    <s v="Labour - uniquement"/>
    <n v="2"/>
    <s v="Kalya"/>
    <s v="Ck 21"/>
    <s v="4 mois"/>
    <d v="2023-11-17T00:00:00"/>
    <s v="Tout commence bien"/>
    <s v="Mamadouba Camara"/>
    <s v="Riz"/>
    <x v="0"/>
    <m/>
    <m/>
    <x v="0"/>
    <m/>
    <m/>
    <m/>
    <m/>
    <m/>
    <m/>
    <m/>
    <x v="16"/>
  </r>
  <r>
    <d v="2023-05-05T10:31:58"/>
    <x v="20"/>
    <s v="Kindia"/>
    <s v="Individuel"/>
    <s v="TOURE Ousmane"/>
    <n v="620242299"/>
    <m/>
    <s v="Friguiagbé"/>
    <n v="20"/>
    <s v="Labour - uniquement"/>
    <n v="35"/>
    <s v="Seydouba"/>
    <s v="Rien"/>
    <s v="4 mois"/>
    <d v="2023-05-10T00:00:00"/>
    <s v="Realisable"/>
    <s v="Boubacar Gueme Bah"/>
    <s v="Riz"/>
    <x v="0"/>
    <m/>
    <m/>
    <x v="0"/>
    <m/>
    <m/>
    <m/>
    <m/>
    <m/>
    <m/>
    <m/>
    <x v="16"/>
  </r>
  <r>
    <d v="2023-05-05T10:32:21"/>
    <x v="8"/>
    <s v="Beyla centre"/>
    <s v="Individuel"/>
    <s v="Adama Camara"/>
    <n v="622955525"/>
    <m/>
    <s v="Sokourala"/>
    <n v="30"/>
    <s v="Labour - uniquement"/>
    <n v="10"/>
    <s v="Tchocho"/>
    <s v="Riz"/>
    <s v="5 mois"/>
    <d v="2023-05-05T00:00:00"/>
    <m/>
    <s v="Moussa Conde"/>
    <s v="Riz"/>
    <x v="1"/>
    <n v="10"/>
    <d v="2023-05-05T00:00:00"/>
    <x v="17"/>
    <s v="8BLA012T"/>
    <m/>
    <m/>
    <m/>
    <m/>
    <m/>
    <m/>
    <x v="16"/>
  </r>
  <r>
    <d v="2023-05-05T10:35:36"/>
    <x v="3"/>
    <s v="Petel Mamou"/>
    <s v="Individuel"/>
    <s v="Alpha Mansare"/>
    <n v="621342558"/>
    <m/>
    <s v="Ouré-Kaba"/>
    <n v="80"/>
    <s v="Labour - uniquement"/>
    <n v="3"/>
    <s v="Kalya"/>
    <s v="Ck21"/>
    <s v="4 mois"/>
    <d v="2023-11-18T00:00:00"/>
    <s v="Tout commence bien"/>
    <s v="Mamadouba Camara"/>
    <s v="Riz"/>
    <x v="0"/>
    <m/>
    <m/>
    <x v="0"/>
    <m/>
    <m/>
    <m/>
    <m/>
    <m/>
    <m/>
    <m/>
    <x v="16"/>
  </r>
  <r>
    <d v="2023-05-05T10:38:03"/>
    <x v="20"/>
    <s v="Kindia"/>
    <s v="Individuel"/>
    <s v="SOW Talhatou"/>
    <n v="628858844"/>
    <m/>
    <s v="Lynsan"/>
    <n v="75"/>
    <s v="Labour - uniquement"/>
    <n v="20"/>
    <s v="CK 90"/>
    <s v="CK 90"/>
    <s v="5 mois"/>
    <d v="2023-05-10T00:00:00"/>
    <s v="Faisable"/>
    <s v="Boubacar Gueme Bah"/>
    <s v="Riz"/>
    <x v="0"/>
    <m/>
    <m/>
    <x v="0"/>
    <m/>
    <m/>
    <m/>
    <m/>
    <m/>
    <m/>
    <m/>
    <x v="16"/>
  </r>
  <r>
    <d v="2023-05-05T10:40:26"/>
    <x v="3"/>
    <s v="Petel Mamou"/>
    <s v="Individuel"/>
    <s v="Aissatou Mansare"/>
    <n v="612342558"/>
    <m/>
    <s v="Ouré-Kaba"/>
    <n v="80"/>
    <s v="Labour - uniquement"/>
    <n v="1"/>
    <s v="Kalya"/>
    <s v="Ck21"/>
    <s v="4 mois"/>
    <d v="2023-11-19T00:00:00"/>
    <s v="Tout commence"/>
    <s v="Mamadouba Camara"/>
    <s v="Riz"/>
    <x v="0"/>
    <m/>
    <m/>
    <x v="0"/>
    <m/>
    <m/>
    <m/>
    <m/>
    <m/>
    <m/>
    <m/>
    <x v="16"/>
  </r>
  <r>
    <d v="2023-05-05T10:44:09"/>
    <x v="3"/>
    <s v="Petel Mamou"/>
    <s v="Individuel"/>
    <s v="Lamina Camara"/>
    <n v="621342558"/>
    <m/>
    <s v="Ouré-Kaba"/>
    <n v="81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0:48:06"/>
    <x v="3"/>
    <s v="Petel Mamou"/>
    <s v="Individuel"/>
    <s v="Moumini"/>
    <n v="621342558"/>
    <m/>
    <s v="Ouré-Kaba"/>
    <n v="81"/>
    <s v="Labour - uniquement"/>
    <n v="1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0:51:31"/>
    <x v="3"/>
    <s v="Petel Mamou"/>
    <s v="Individuel"/>
    <s v="Alseny Touré"/>
    <n v="621342558"/>
    <m/>
    <s v="Ouré-Kaba"/>
    <n v="80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0:55:28"/>
    <x v="3"/>
    <s v="Petel Mamou"/>
    <s v="Individuel"/>
    <s v="Diaraye Mansare"/>
    <n v="621342558"/>
    <m/>
    <s v="Ouré-Kaba"/>
    <n v="80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0:59:31"/>
    <x v="3"/>
    <s v="Petel Mamou"/>
    <s v="Individuel"/>
    <s v="Noumba Camara"/>
    <n v="621339792"/>
    <m/>
    <s v="Ouré-Kaba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1:04:00"/>
    <x v="3"/>
    <s v="Petel Mamou"/>
    <s v="Individuel"/>
    <s v="Mamadou Mansare"/>
    <n v="625833152"/>
    <m/>
    <s v="Ouré-Kaba"/>
    <n v="66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6"/>
  </r>
  <r>
    <d v="2023-05-05T11:08:57"/>
    <x v="3"/>
    <s v="Petel Mamou"/>
    <s v="Individuel"/>
    <s v="Boubacar dindeya sow"/>
    <n v="623999100"/>
    <m/>
    <s v="Ouré-Kaba"/>
    <n v="81"/>
    <s v="Labour - uniquement"/>
    <n v="3"/>
    <s v="Kalya"/>
    <s v="Ck21"/>
    <s v="4 mois"/>
    <d v="2023-11-20T00:00:00"/>
    <s v="Tout commence bien"/>
    <s v="Mamadouba Camara"/>
    <s v="Riz"/>
    <x v="0"/>
    <m/>
    <m/>
    <x v="0"/>
    <m/>
    <m/>
    <m/>
    <m/>
    <m/>
    <m/>
    <m/>
    <x v="16"/>
  </r>
  <r>
    <d v="2023-05-05T11:25:05"/>
    <x v="20"/>
    <s v="Kindia"/>
    <s v="Collectif"/>
    <s v="CAMARA Abou foret (chambre )"/>
    <n v="623659483"/>
    <m/>
    <s v="Lynsan"/>
    <n v="80"/>
    <s v="Labour + Pulvérisation"/>
    <n v="40"/>
    <s v="Coyady ,Kawlaka"/>
    <s v="Rien"/>
    <s v="5 mois"/>
    <d v="2023-05-11T00:00:00"/>
    <s v="Realisable"/>
    <s v="Boubacar Gueme Bah"/>
    <s v="Riz"/>
    <x v="0"/>
    <m/>
    <m/>
    <x v="0"/>
    <m/>
    <m/>
    <m/>
    <m/>
    <m/>
    <m/>
    <m/>
    <x v="16"/>
  </r>
  <r>
    <d v="2023-05-05T11:29:43"/>
    <x v="9"/>
    <s v="Forecariah"/>
    <s v="Individuel"/>
    <s v="Momo bangoura"/>
    <n v="621272756"/>
    <m/>
    <s v="Alassoya"/>
    <n v="10"/>
    <s v="Labour - uniquement"/>
    <n v="2"/>
    <s v="Ck90"/>
    <s v="Ck-90"/>
    <s v="5 mois"/>
    <d v="2023-05-06T00:00:00"/>
    <m/>
    <s v="Moussa Diakité"/>
    <s v="Riz"/>
    <x v="1"/>
    <n v="2"/>
    <d v="2023-05-08T00:00:00"/>
    <x v="16"/>
    <s v="2FAH004T"/>
    <m/>
    <m/>
    <m/>
    <m/>
    <m/>
    <m/>
    <x v="16"/>
  </r>
  <r>
    <d v="2023-05-05T11:30:24"/>
    <x v="20"/>
    <s v="Kindia"/>
    <s v="Individuel"/>
    <s v="CISSOKO Saikou Oumar"/>
    <n v="622307594"/>
    <m/>
    <s v="Friguiagbé"/>
    <n v="22"/>
    <s v="Labour - uniquement"/>
    <n v="1"/>
    <s v="Ananas"/>
    <s v="Ananas"/>
    <s v="9 mois"/>
    <d v="2023-05-13T00:00:00"/>
    <s v="Faisable"/>
    <s v="Boubacar Gueme Bah"/>
    <s v="Culture maraichère"/>
    <x v="0"/>
    <m/>
    <m/>
    <x v="19"/>
    <m/>
    <m/>
    <m/>
    <m/>
    <m/>
    <m/>
    <m/>
    <x v="16"/>
  </r>
  <r>
    <d v="2023-05-05T11:34:40"/>
    <x v="3"/>
    <s v="Petel Mamou"/>
    <s v="Individuel"/>
    <s v="Mamadou Sidibé"/>
    <n v="620834175"/>
    <m/>
    <s v="Ouré-Kaba"/>
    <n v="95"/>
    <s v="Labour - uniquement"/>
    <n v="4"/>
    <s v="Kalya"/>
    <s v="Ck21"/>
    <s v="4 mois"/>
    <d v="2023-11-21T00:00:00"/>
    <s v="Tout commence bien"/>
    <s v="Mamadouba Camara"/>
    <s v="Riz"/>
    <x v="1"/>
    <n v="4"/>
    <d v="2023-05-09T00:00:00"/>
    <x v="16"/>
    <s v="4MOU002T"/>
    <m/>
    <m/>
    <m/>
    <m/>
    <m/>
    <m/>
    <x v="16"/>
  </r>
  <r>
    <d v="2023-05-05T12:16:57"/>
    <x v="5"/>
    <s v="Guéckédou centre"/>
    <s v="Individuel"/>
    <s v="Mamadi Keira"/>
    <n v="628064799"/>
    <n v="628064799"/>
    <s v="Bolodou"/>
    <n v="20"/>
    <s v="Labour - uniquement"/>
    <n v="5"/>
    <s v="Ck90"/>
    <s v="Ck90"/>
    <s v="4 mois"/>
    <d v="2023-05-06T00:00:00"/>
    <s v="Ok"/>
    <s v="Lamine Condé"/>
    <s v="Riz"/>
    <x v="1"/>
    <n v="5"/>
    <d v="2023-05-08T00:00:00"/>
    <x v="16"/>
    <s v="8GOU003T"/>
    <m/>
    <m/>
    <m/>
    <m/>
    <m/>
    <m/>
    <x v="16"/>
  </r>
  <r>
    <d v="2023-05-05T15:28:32"/>
    <x v="13"/>
    <s v="Aviation"/>
    <s v="Individuel"/>
    <s v="Maïmouna doumbouya"/>
    <n v="622553663"/>
    <m/>
    <s v="Maréla"/>
    <n v="95"/>
    <s v="Labour - uniquement"/>
    <n v="10"/>
    <s v="Malien"/>
    <s v="Malien"/>
    <s v="4 mois"/>
    <d v="2023-05-07T00:00:00"/>
    <m/>
    <s v="Mohamed Fanta kourouma"/>
    <s v="Riz"/>
    <x v="1"/>
    <n v="10"/>
    <d v="2023-05-08T00:00:00"/>
    <x v="16"/>
    <s v="6FAH002T"/>
    <m/>
    <m/>
    <m/>
    <m/>
    <m/>
    <m/>
    <x v="16"/>
  </r>
  <r>
    <d v="2023-05-05T15:32:04"/>
    <x v="13"/>
    <s v="Aviation"/>
    <s v="Individuel"/>
    <s v="Famar Traoré"/>
    <n v="626110531"/>
    <m/>
    <s v="Faranah Centre"/>
    <n v="5"/>
    <s v="Labour - uniquement"/>
    <n v="3"/>
    <s v="Ck90"/>
    <s v="Ck90"/>
    <s v="4 mois"/>
    <d v="2023-05-06T00:00:00"/>
    <m/>
    <s v="Mohamed Fanta kourouma"/>
    <s v="Riz"/>
    <x v="1"/>
    <n v="3"/>
    <d v="2023-05-08T00:00:00"/>
    <x v="16"/>
    <s v="6FAH005T"/>
    <m/>
    <m/>
    <m/>
    <m/>
    <m/>
    <m/>
    <x v="16"/>
  </r>
  <r>
    <d v="2023-05-05T15:44:29"/>
    <x v="6"/>
    <s v="Dinguiraye centre"/>
    <s v="Individuel"/>
    <s v="Mamady sanoh"/>
    <n v="621421610"/>
    <m/>
    <s v="Banora"/>
    <n v="65"/>
    <s v="Labour - uniquement"/>
    <n v="4"/>
    <s v="Dissiba-oulén"/>
    <s v="Dissiba-oulén"/>
    <s v="4 mois"/>
    <d v="2023-05-06T00:00:00"/>
    <m/>
    <s v="Mamadou 1 Diallo"/>
    <s v="Riz"/>
    <x v="1"/>
    <n v="4"/>
    <d v="2023-05-09T00:00:00"/>
    <x v="16"/>
    <s v="6DYE004T"/>
    <m/>
    <m/>
    <m/>
    <m/>
    <m/>
    <m/>
    <x v="16"/>
  </r>
  <r>
    <d v="2023-05-05T16:44:09"/>
    <x v="4"/>
    <s v="Boké centre"/>
    <s v="Collectif"/>
    <s v="Mr Priyank"/>
    <n v="629007465"/>
    <n v="0"/>
    <s v="Tanéné"/>
    <n v="21"/>
    <s v="Labour + Pulvérisation"/>
    <n v="300"/>
    <s v="non"/>
    <s v="non"/>
    <s v="4 mois"/>
    <d v="2023-05-15T00:00:00"/>
    <s v="c'est une association dans Tanéné"/>
    <s v="Elhadj Souaré Mamadou Dian"/>
    <s v="Riz"/>
    <x v="0"/>
    <m/>
    <m/>
    <x v="0"/>
    <m/>
    <m/>
    <m/>
    <m/>
    <m/>
    <m/>
    <m/>
    <x v="16"/>
  </r>
  <r>
    <d v="2023-05-05T16:51:38"/>
    <x v="4"/>
    <s v="Boké centre"/>
    <s v="Collectif"/>
    <s v="Koulibaly Alpha Santina"/>
    <n v="624639206"/>
    <n v="0"/>
    <s v="Bintimodiya"/>
    <n v="53"/>
    <s v="Labour + Pulvérisation"/>
    <n v="200"/>
    <s v="non"/>
    <s v="non"/>
    <s v="4 mois"/>
    <d v="2023-05-15T00:00:00"/>
    <s v="tout les producteurs demandent à étre programmés pour Mai_Juin"/>
    <s v="Elhadj Souaré Mamadou Dian"/>
    <s v="Riz"/>
    <x v="0"/>
    <m/>
    <m/>
    <x v="0"/>
    <m/>
    <m/>
    <m/>
    <m/>
    <m/>
    <m/>
    <m/>
    <x v="16"/>
  </r>
  <r>
    <d v="2023-05-05T21:33:59"/>
    <x v="6"/>
    <s v="Dinguiraye centre"/>
    <s v="Individuel"/>
    <s v="Gnaama bah"/>
    <n v="610299851"/>
    <m/>
    <s v="Kalinko"/>
    <n v="75"/>
    <s v="Labour - uniquement"/>
    <n v="10"/>
    <s v="Tontifo"/>
    <s v="Tontifo"/>
    <s v="4 mois"/>
    <d v="2023-05-06T00:00:00"/>
    <m/>
    <s v="Mamadou 1 Diallo"/>
    <s v="Riz"/>
    <x v="1"/>
    <n v="10"/>
    <d v="2023-05-08T00:00:00"/>
    <x v="16"/>
    <s v="6DYE002T"/>
    <m/>
    <m/>
    <m/>
    <m/>
    <m/>
    <m/>
    <x v="16"/>
  </r>
  <r>
    <d v="2023-05-06T10:41:49"/>
    <x v="10"/>
    <s v="Commune urbaine"/>
    <s v="Individuel"/>
    <s v="Pierre Kamano"/>
    <n v="622041525"/>
    <n v="622041525"/>
    <s v="Firawa"/>
    <n v="25"/>
    <s v="Labour - uniquement"/>
    <n v="5"/>
    <s v="CK 90"/>
    <s v="CK 90"/>
    <s v="5 mois"/>
    <d v="2023-05-05T00:00:00"/>
    <s v="Dondian"/>
    <s v="Mamady 2 Camara"/>
    <s v="Riz"/>
    <x v="1"/>
    <n v="1"/>
    <d v="2023-05-08T00:00:00"/>
    <x v="16"/>
    <s v="6KOU001T"/>
    <m/>
    <m/>
    <m/>
    <m/>
    <m/>
    <m/>
    <x v="16"/>
  </r>
  <r>
    <d v="2023-05-06T10:47:52"/>
    <x v="10"/>
    <s v="Commune urbaine"/>
    <s v="Individuel"/>
    <s v="Gabriel Diawara"/>
    <n v="622699919"/>
    <m/>
    <s v="Fermesadou"/>
    <n v="15"/>
    <s v="Labour - uniquement"/>
    <n v="5"/>
    <s v="CK 90"/>
    <s v="CK 90"/>
    <s v="5 mois"/>
    <d v="2023-05-05T00:00:00"/>
    <s v="Worodou"/>
    <s v="Mamady 2 Camara"/>
    <s v="Riz"/>
    <x v="1"/>
    <n v="5"/>
    <d v="2023-05-08T00:00:00"/>
    <x v="16"/>
    <s v="6KOU003T"/>
    <m/>
    <m/>
    <m/>
    <m/>
    <m/>
    <m/>
    <x v="16"/>
  </r>
  <r>
    <d v="2023-05-06T10:51:42"/>
    <x v="10"/>
    <s v="Commune urbaine"/>
    <s v="Individuel"/>
    <s v="Sidiki oulare"/>
    <n v="621799324"/>
    <n v="621799324"/>
    <s v="Fermesadou"/>
    <n v="20"/>
    <s v="Labour - uniquement"/>
    <n v="3"/>
    <s v="CK 90 CK 90"/>
    <s v="CK 90"/>
    <s v="5 mois"/>
    <d v="2023-05-06T00:00:00"/>
    <s v="Kongola"/>
    <s v="Mamady 2 Camara"/>
    <s v="Riz"/>
    <x v="1"/>
    <n v="3"/>
    <d v="2023-05-08T00:00:00"/>
    <x v="16"/>
    <s v="6KOU002T"/>
    <m/>
    <m/>
    <m/>
    <m/>
    <m/>
    <m/>
    <x v="16"/>
  </r>
  <r>
    <d v="2023-05-06T10:54:39"/>
    <x v="7"/>
    <s v="Cours du bloc Administratif"/>
    <s v="Individuel"/>
    <s v="Lamine CAMARA"/>
    <n v="621164764"/>
    <m/>
    <s v="Saladou"/>
    <n v="89"/>
    <s v="Labour - uniquement"/>
    <n v="50"/>
    <s v="Ck90,Nerica 19"/>
    <s v="Nerica"/>
    <s v="5 mois"/>
    <d v="2023-05-10T00:00:00"/>
    <s v="Aptes pour la mécanisation"/>
    <s v="Nounkè Doumbouya"/>
    <s v="Riz"/>
    <x v="1"/>
    <n v="50"/>
    <d v="2023-05-15T00:00:00"/>
    <x v="4"/>
    <s v="7MNA008T"/>
    <m/>
    <m/>
    <m/>
    <m/>
    <m/>
    <m/>
    <x v="16"/>
  </r>
  <r>
    <d v="2023-05-06T10:56:09"/>
    <x v="10"/>
    <s v="Commune urbaine"/>
    <s v="Individuel"/>
    <s v="Mauriche Kamano"/>
    <n v="625207694"/>
    <n v="625207694"/>
    <s v="Fermesadou"/>
    <n v="7"/>
    <s v="Labour - uniquement"/>
    <n v="1"/>
    <s v="CK 90"/>
    <s v="CK 90"/>
    <s v="5 mois"/>
    <d v="2023-05-06T00:00:00"/>
    <s v="Broadou"/>
    <s v="Mamady 2 Camara"/>
    <s v="Riz"/>
    <x v="1"/>
    <n v="1"/>
    <d v="2023-05-08T00:00:00"/>
    <x v="16"/>
    <s v="6KOU001T"/>
    <m/>
    <m/>
    <m/>
    <m/>
    <m/>
    <m/>
    <x v="16"/>
  </r>
  <r>
    <d v="2023-05-06T10:59:35"/>
    <x v="10"/>
    <s v="Commune urbaine"/>
    <s v="Individuel"/>
    <s v="Joseph Mansare"/>
    <n v="627605696"/>
    <n v="627605696"/>
    <s v="Kissidougou Centre"/>
    <n v="1"/>
    <s v="Labour - uniquement"/>
    <n v="4"/>
    <s v="CK 90"/>
    <s v="CK 90"/>
    <s v="5 mois"/>
    <d v="2023-05-06T00:00:00"/>
    <s v="niandan"/>
    <s v="Mamady 2 Camara"/>
    <s v="Riz"/>
    <x v="1"/>
    <n v="4"/>
    <d v="2023-05-08T00:00:00"/>
    <x v="16"/>
    <s v="6KOU002T"/>
    <m/>
    <m/>
    <m/>
    <m/>
    <m/>
    <m/>
    <x v="16"/>
  </r>
  <r>
    <d v="2023-05-06T11:00:57"/>
    <x v="1"/>
    <s v="Siguiri"/>
    <s v="Individuel"/>
    <s v="Laye Djiguibanin KEITA"/>
    <n v="623549373"/>
    <m/>
    <s v="Siguiri Centre"/>
    <n v="4"/>
    <s v="Labour - uniquement"/>
    <n v="3"/>
    <s v="Pecta"/>
    <s v="Pecta"/>
    <s v="3 mois"/>
    <d v="2023-05-08T00:00:00"/>
    <m/>
    <s v="Nanamoudou ll Magassouba"/>
    <s v="Maïs"/>
    <x v="1"/>
    <n v="3"/>
    <d v="2023-05-09T00:00:00"/>
    <x v="16"/>
    <s v="7SRI006T"/>
    <m/>
    <m/>
    <m/>
    <m/>
    <m/>
    <m/>
    <x v="16"/>
  </r>
  <r>
    <d v="2023-05-06T11:01:13"/>
    <x v="7"/>
    <s v="Cours du bloc Administratif"/>
    <s v="Collectif"/>
    <s v="Lanfia Bérété"/>
    <n v="622867383"/>
    <m/>
    <s v="Koundian"/>
    <n v="32"/>
    <s v="Labour + Pulvérisation"/>
    <n v="40"/>
    <s v="Nerica 19"/>
    <s v="Nerica"/>
    <s v="4 mois"/>
    <d v="2023-05-27T00:00:00"/>
    <s v="Aptes pour la mécanisation"/>
    <s v="Nounkè Doumbouya"/>
    <s v="Riz"/>
    <x v="0"/>
    <m/>
    <m/>
    <x v="0"/>
    <m/>
    <m/>
    <m/>
    <m/>
    <m/>
    <m/>
    <m/>
    <x v="16"/>
  </r>
  <r>
    <d v="2023-05-06T11:03:17"/>
    <x v="10"/>
    <s v="Commune urbaine"/>
    <s v="Individuel"/>
    <s v="Benjamin Mara"/>
    <n v="620121512"/>
    <n v="620121512"/>
    <s v="Fermesadou"/>
    <n v="8"/>
    <s v="Labour - uniquement"/>
    <n v="2"/>
    <s v="CK 90"/>
    <s v="CK 90"/>
    <s v="5 mois"/>
    <d v="2023-05-06T00:00:00"/>
    <s v="Massakondou"/>
    <s v="Mamady 2 Camara"/>
    <s v="Riz"/>
    <x v="1"/>
    <n v="2"/>
    <d v="2023-05-08T00:00:00"/>
    <x v="16"/>
    <s v="6KOU001T"/>
    <m/>
    <m/>
    <m/>
    <m/>
    <m/>
    <m/>
    <x v="16"/>
  </r>
  <r>
    <d v="2023-05-06T11:06:11"/>
    <x v="10"/>
    <s v="Commune urbaine"/>
    <s v="Individuel"/>
    <s v="Frédéric CeCe Théa"/>
    <n v="621814547"/>
    <n v="621814547"/>
    <s v="Kissidougou Centre"/>
    <n v="1"/>
    <s v="Labour - uniquement"/>
    <n v="1"/>
    <s v="CK 90"/>
    <s v="CK 90"/>
    <s v="5 mois"/>
    <d v="2023-05-06T00:00:00"/>
    <s v="Niandan"/>
    <s v="Mamady 2 Camara"/>
    <s v="Riz"/>
    <x v="1"/>
    <n v="1"/>
    <d v="2023-05-08T00:00:00"/>
    <x v="16"/>
    <s v="6KOU007T"/>
    <m/>
    <m/>
    <m/>
    <m/>
    <m/>
    <m/>
    <x v="16"/>
  </r>
  <r>
    <d v="2023-05-06T12:35:31"/>
    <x v="2"/>
    <s v="Bordeaux"/>
    <s v="Individuel"/>
    <s v="Mamoudou Magassouba"/>
    <n v="622666228"/>
    <n v="0"/>
    <s v="Kankan Centre"/>
    <n v="5"/>
    <s v="Labour - uniquement"/>
    <n v="1"/>
    <s v="Nelika"/>
    <s v="Variété locale"/>
    <s v="5 mois"/>
    <d v="2023-05-06T00:00:00"/>
    <s v="Petit producteur"/>
    <s v="Moussa Alamako Keita"/>
    <s v="Riz"/>
    <x v="1"/>
    <n v="1"/>
    <d v="2023-05-08T00:00:00"/>
    <x v="16"/>
    <s v="7KAN001T"/>
    <m/>
    <m/>
    <m/>
    <m/>
    <m/>
    <m/>
    <x v="16"/>
  </r>
  <r>
    <d v="2023-05-06T12:45:27"/>
    <x v="2"/>
    <s v="Bordeaux"/>
    <s v="Individuel"/>
    <s v="Bakary condé"/>
    <n v="624171386"/>
    <n v="0"/>
    <s v="Sabadou-Baranama"/>
    <n v="50"/>
    <s v="Labour - uniquement"/>
    <n v="5"/>
    <s v="Nenken"/>
    <s v="Variété locale"/>
    <s v="3 mois"/>
    <d v="2023-05-07T00:00:00"/>
    <s v="Petit producteur"/>
    <s v="Moussa Alamako Keita"/>
    <s v="Riz"/>
    <x v="1"/>
    <n v="5"/>
    <d v="2023-05-08T00:00:00"/>
    <x v="16"/>
    <s v="7KAN004T"/>
    <m/>
    <m/>
    <m/>
    <m/>
    <m/>
    <m/>
    <x v="16"/>
  </r>
  <r>
    <d v="2023-05-06T13:25:26"/>
    <x v="2"/>
    <s v="Bordeaux"/>
    <s v="Individuel"/>
    <s v="Woulaba condé"/>
    <n v="623878070"/>
    <n v="0"/>
    <s v="Koumban"/>
    <n v="45"/>
    <s v="Labour - uniquement"/>
    <n v="2"/>
    <s v="Chinois"/>
    <s v="Variété locale"/>
    <s v="6 mois"/>
    <d v="2023-05-06T00:00:00"/>
    <s v="Petit producteur"/>
    <s v="Moussa Alamako Keita"/>
    <s v="Riz"/>
    <x v="1"/>
    <n v="2"/>
    <d v="2023-05-08T00:00:00"/>
    <x v="16"/>
    <s v="7KAN003T"/>
    <m/>
    <m/>
    <m/>
    <m/>
    <m/>
    <m/>
    <x v="16"/>
  </r>
  <r>
    <d v="2023-05-06T13:35:08"/>
    <x v="10"/>
    <s v="Commune urbaine"/>
    <s v="Individuel"/>
    <s v="Yafore mansare"/>
    <n v="622746772"/>
    <n v="622746772"/>
    <s v="Kissidougou Centre"/>
    <n v="1"/>
    <s v="Labour - uniquement"/>
    <n v="3"/>
    <s v="CK 90"/>
    <s v="CK 90"/>
    <s v="5 mois"/>
    <d v="2023-05-07T00:00:00"/>
    <s v="Limanya"/>
    <s v="Mamady 2 Camara"/>
    <s v="Riz"/>
    <x v="1"/>
    <n v="3"/>
    <d v="2023-05-08T00:00:00"/>
    <x v="16"/>
    <s v="6KOU007T"/>
    <m/>
    <m/>
    <m/>
    <m/>
    <m/>
    <m/>
    <x v="16"/>
  </r>
  <r>
    <d v="2023-05-07T11:27:01"/>
    <x v="3"/>
    <s v="Petel Mamou"/>
    <s v="Individuel"/>
    <s v="Lamarana Diallo"/>
    <n v="628321586"/>
    <m/>
    <s v="Mamou Centre"/>
    <n v="7"/>
    <s v="Labour - uniquement"/>
    <n v="1"/>
    <s v="Kalya"/>
    <s v="Ck21"/>
    <s v="4 mois"/>
    <d v="2023-11-12T00:00:00"/>
    <s v="Tout commence bien"/>
    <s v="Mamadouba Camara"/>
    <s v="Riz"/>
    <x v="1"/>
    <n v="1"/>
    <d v="2023-05-09T00:00:00"/>
    <x v="16"/>
    <s v="4MOU002T"/>
    <m/>
    <m/>
    <m/>
    <m/>
    <m/>
    <m/>
    <x v="17"/>
  </r>
  <r>
    <d v="2023-05-07T11:33:05"/>
    <x v="3"/>
    <s v="Petel Mamou"/>
    <s v="Individuel"/>
    <s v="Thierno Mamadou Aliou Barry"/>
    <n v="622024323"/>
    <m/>
    <s v="Kegneko"/>
    <n v="55"/>
    <s v="Labour - uniquement"/>
    <n v="10"/>
    <s v="Kalya"/>
    <s v="Ck21"/>
    <s v="4 mois"/>
    <d v="2023-11-13T00:00:00"/>
    <s v="Tout commence bien"/>
    <s v="Mamadouba Camara"/>
    <s v="Riz"/>
    <x v="1"/>
    <n v="6"/>
    <d v="2023-05-15T00:00:00"/>
    <x v="4"/>
    <s v="4MOU001T"/>
    <m/>
    <m/>
    <m/>
    <m/>
    <m/>
    <m/>
    <x v="17"/>
  </r>
  <r>
    <d v="2023-05-07T11:38:16"/>
    <x v="3"/>
    <s v="Petel Mamou"/>
    <s v="Individuel"/>
    <s v="Alpha Oumar Barry"/>
    <n v="628728932"/>
    <m/>
    <s v="Kegneko"/>
    <n v="55"/>
    <s v="Labour - uniquement"/>
    <n v="5"/>
    <s v="Kalya"/>
    <s v="Ck21"/>
    <s v="4 mois"/>
    <d v="2023-11-15T00:00:00"/>
    <s v="Tout commence bien"/>
    <s v="Mamadouba Camara"/>
    <s v="Riz"/>
    <x v="1"/>
    <n v="5"/>
    <d v="2023-05-15T00:00:00"/>
    <x v="4"/>
    <s v="4MOU001T"/>
    <m/>
    <m/>
    <m/>
    <m/>
    <m/>
    <m/>
    <x v="17"/>
  </r>
  <r>
    <d v="2023-05-07T11:43:11"/>
    <x v="3"/>
    <s v="Petel Mamou"/>
    <s v="Individuel"/>
    <s v="Thierno Abdoulaye Barry"/>
    <n v="621885037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  <m/>
    <m/>
    <m/>
    <x v="17"/>
  </r>
  <r>
    <d v="2023-05-07T11:47:08"/>
    <x v="3"/>
    <s v="Petel Mamou"/>
    <s v="Individuel"/>
    <s v="Mamadou Kana Diallo"/>
    <n v="611183643"/>
    <m/>
    <s v="Kegneko"/>
    <n v="55"/>
    <s v="Labour - uniquement"/>
    <n v="3"/>
    <s v="Kalya"/>
    <s v="Ck21"/>
    <s v="4 mois"/>
    <d v="2023-11-20T00:00:00"/>
    <s v="Tout commence bien"/>
    <s v="Mamadouba Camara"/>
    <s v="Riz"/>
    <x v="1"/>
    <n v="3"/>
    <d v="2023-05-15T00:00:00"/>
    <x v="4"/>
    <s v="4MOU001T"/>
    <m/>
    <m/>
    <m/>
    <m/>
    <m/>
    <m/>
    <x v="17"/>
  </r>
  <r>
    <d v="2023-05-07T11:53:24"/>
    <x v="3"/>
    <s v="Petel Mamou"/>
    <s v="Individuel"/>
    <s v="ELH Amadou Oury Diallo"/>
    <n v="622212863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  <m/>
    <m/>
    <m/>
    <x v="17"/>
  </r>
  <r>
    <d v="2023-05-07T11:57:10"/>
    <x v="3"/>
    <s v="Petel Mamou"/>
    <s v="Individuel"/>
    <s v="Amadou Sadjo Diallo"/>
    <n v="622121325"/>
    <m/>
    <s v="Kegneko"/>
    <n v="55"/>
    <s v="Labour - uniquement"/>
    <n v="2"/>
    <s v="Kalya"/>
    <s v="Ck21"/>
    <s v="4 mois"/>
    <d v="2023-11-18T00:00:00"/>
    <s v="Tout commence bien"/>
    <s v="Mamadouba Camara"/>
    <s v="Riz"/>
    <x v="0"/>
    <m/>
    <m/>
    <x v="0"/>
    <m/>
    <m/>
    <m/>
    <m/>
    <m/>
    <m/>
    <m/>
    <x v="17"/>
  </r>
  <r>
    <d v="2023-05-07T12:01:40"/>
    <x v="3"/>
    <s v="Petel Mamou"/>
    <s v="Individuel"/>
    <s v="Alpha Boubacar Diallo"/>
    <n v="620041041"/>
    <m/>
    <s v="Kegneko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7"/>
  </r>
  <r>
    <d v="2023-05-07T12:04:57"/>
    <x v="3"/>
    <s v="Petel"/>
    <s v="Individuel"/>
    <s v="ELH Oumar Barry"/>
    <n v="622272148"/>
    <m/>
    <s v="Kegneko"/>
    <n v="55"/>
    <s v="Labour - uniquement"/>
    <n v="2"/>
    <s v="Kalya"/>
    <s v="Ck21"/>
    <s v="4 mois"/>
    <d v="2023-11-19T00:00:00"/>
    <s v="Tout commence bien"/>
    <s v="Mamadouba Camara"/>
    <s v="Riz"/>
    <x v="0"/>
    <m/>
    <m/>
    <x v="0"/>
    <m/>
    <m/>
    <m/>
    <m/>
    <m/>
    <m/>
    <m/>
    <x v="17"/>
  </r>
  <r>
    <d v="2023-05-07T12:08:48"/>
    <x v="3"/>
    <s v="Petel Mamou"/>
    <s v="Individuel"/>
    <s v="Elh Mamadou Diallo"/>
    <n v="628012595"/>
    <m/>
    <s v="Kegneko"/>
    <n v="55"/>
    <s v="Labour - uniquement"/>
    <n v="2"/>
    <s v="Kalya"/>
    <s v="Ck21"/>
    <s v="4 mois"/>
    <d v="2023-11-20T00:00:00"/>
    <s v="Tout commence bien"/>
    <s v="Mamadouba Camara"/>
    <s v="Riz"/>
    <x v="0"/>
    <m/>
    <m/>
    <x v="0"/>
    <m/>
    <m/>
    <m/>
    <m/>
    <m/>
    <m/>
    <m/>
    <x v="17"/>
  </r>
  <r>
    <d v="2023-05-07T12:09:52"/>
    <x v="16"/>
    <s v="Foundeng 1"/>
    <s v="Individuel"/>
    <s v="Thierno kourouma"/>
    <n v="622281242"/>
    <m/>
    <s v="Dabola Centre"/>
    <n v="6"/>
    <s v="Labour - uniquement"/>
    <n v="2"/>
    <s v="Chinois"/>
    <s v="Chinois"/>
    <s v="3 mois"/>
    <d v="2023-06-04T00:00:00"/>
    <m/>
    <s v="Souleymane Kanté"/>
    <s v="Riz"/>
    <x v="0"/>
    <m/>
    <m/>
    <x v="0"/>
    <s v="8BLLA005T"/>
    <m/>
    <m/>
    <m/>
    <m/>
    <m/>
    <m/>
    <x v="17"/>
  </r>
  <r>
    <d v="2023-05-07T12:13:07"/>
    <x v="3"/>
    <s v="Petel Mamou"/>
    <s v="Individuel"/>
    <s v="Thierno Mouctar Barry"/>
    <n v="627845268"/>
    <m/>
    <s v="Kegneko"/>
    <n v="55"/>
    <s v="Labour - uniquement"/>
    <n v="1"/>
    <s v="Kalya"/>
    <s v="Ck21"/>
    <s v="4 mois"/>
    <d v="2023-11-20T00:00:00"/>
    <s v="Tout commence bien"/>
    <s v="Mamadouba Camara"/>
    <s v="Riz"/>
    <x v="0"/>
    <m/>
    <m/>
    <x v="0"/>
    <m/>
    <m/>
    <m/>
    <m/>
    <m/>
    <m/>
    <m/>
    <x v="17"/>
  </r>
  <r>
    <d v="2023-05-07T12:17:34"/>
    <x v="3"/>
    <s v="Petel Mamou"/>
    <s v="Individuel"/>
    <s v="Alphadjo Barry"/>
    <n v="628706991"/>
    <m/>
    <s v="Kegneko"/>
    <n v="55"/>
    <s v="Labour - uniquement"/>
    <n v="1"/>
    <s v="Kalya"/>
    <s v="Ck21"/>
    <s v="4 mois"/>
    <d v="2023-11-20T00:00:00"/>
    <s v="Tout commence bien"/>
    <s v="Mamadouba Camara"/>
    <s v="Riz"/>
    <x v="0"/>
    <m/>
    <m/>
    <x v="0"/>
    <m/>
    <m/>
    <m/>
    <m/>
    <m/>
    <m/>
    <m/>
    <x v="17"/>
  </r>
  <r>
    <d v="2023-05-07T12:21:07"/>
    <x v="3"/>
    <s v="Petel"/>
    <s v="Individuel"/>
    <s v="Thierno Mamadou Diallo"/>
    <n v="629992689"/>
    <m/>
    <s v="Kegneko"/>
    <n v="55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  <m/>
    <m/>
    <m/>
    <x v="17"/>
  </r>
  <r>
    <d v="2023-05-07T12:25:02"/>
    <x v="3"/>
    <s v="Petel"/>
    <s v="Individuel"/>
    <s v="Oumar Savané"/>
    <n v="628069365"/>
    <m/>
    <s v="Kegneko"/>
    <n v="55"/>
    <s v="Labour - uniquement"/>
    <n v="2"/>
    <s v="Kalya"/>
    <s v="Ck21"/>
    <s v="4 mois"/>
    <d v="2023-11-21T00:00:00"/>
    <s v="Tout commence bien"/>
    <s v="Mamadouba Camara"/>
    <s v="Riz"/>
    <x v="1"/>
    <n v="1"/>
    <d v="2023-05-23T00:00:00"/>
    <x v="18"/>
    <s v="4MOU002T"/>
    <m/>
    <m/>
    <m/>
    <m/>
    <m/>
    <m/>
    <x v="17"/>
  </r>
  <r>
    <d v="2023-05-07T13:49:28"/>
    <x v="8"/>
    <s v="Beyla ville"/>
    <s v="Individuel"/>
    <s v="Abou Balladou"/>
    <n v="627389364"/>
    <m/>
    <s v="Diarraguerela"/>
    <n v="10"/>
    <s v="Labour - uniquement"/>
    <n v="10"/>
    <s v="Djoufini"/>
    <s v="Riz"/>
    <s v="5 mois"/>
    <d v="2023-05-08T00:00:00"/>
    <m/>
    <s v="Moussa Conde"/>
    <s v="Riz"/>
    <x v="1"/>
    <n v="10"/>
    <d v="2023-05-09T00:00:00"/>
    <x v="16"/>
    <s v="8BLA014T"/>
    <m/>
    <m/>
    <m/>
    <m/>
    <m/>
    <m/>
    <x v="17"/>
  </r>
  <r>
    <d v="2023-05-07T14:04:15"/>
    <x v="8"/>
    <s v="Beyla centre"/>
    <s v="Individuel"/>
    <s v="Moussa Traore"/>
    <n v="620453004"/>
    <m/>
    <s v="Boola"/>
    <n v="15"/>
    <s v="Labour - uniquement"/>
    <n v="5"/>
    <s v="Malogbeni"/>
    <s v="Riz"/>
    <s v="5 mois"/>
    <d v="2023-05-08T00:00:00"/>
    <m/>
    <s v="Moussa Conde"/>
    <s v="Riz"/>
    <x v="1"/>
    <n v="5"/>
    <d v="2023-05-08T00:00:00"/>
    <x v="16"/>
    <s v="8BLA005T"/>
    <m/>
    <m/>
    <m/>
    <m/>
    <m/>
    <m/>
    <x v="17"/>
  </r>
  <r>
    <d v="2023-05-07T14:43:05"/>
    <x v="11"/>
    <s v="Centre"/>
    <s v="Individuel"/>
    <s v="Sidiky kourouma"/>
    <n v="620354092"/>
    <n v="620354092"/>
    <s v="Kérouane Centre"/>
    <n v="3"/>
    <s v="Labour - uniquement"/>
    <n v="2"/>
    <s v="Kaoulaka"/>
    <s v="Kaoulaka"/>
    <s v="5 mois"/>
    <d v="2023-05-09T00:00:00"/>
    <m/>
    <s v="Moussa Kadia Camara"/>
    <s v="Riz"/>
    <x v="1"/>
    <n v="2"/>
    <d v="2023-05-08T00:00:00"/>
    <x v="16"/>
    <s v="7MNA006T"/>
    <m/>
    <m/>
    <m/>
    <m/>
    <m/>
    <m/>
    <x v="17"/>
  </r>
  <r>
    <d v="2023-05-07T14:45:35"/>
    <x v="11"/>
    <s v="Centre"/>
    <s v="Individuel"/>
    <s v="Laye Soko Camara"/>
    <n v="628999205"/>
    <n v="628999205"/>
    <s v="Kérouane Centre"/>
    <n v="2"/>
    <s v="Labour - uniquement"/>
    <n v="1"/>
    <s v="Djoufini"/>
    <s v="Djoufini"/>
    <s v="6 mois"/>
    <d v="2023-05-09T00:00:00"/>
    <m/>
    <s v="Moussa Kadia Camara"/>
    <s v="Riz"/>
    <x v="1"/>
    <n v="1"/>
    <d v="2023-05-08T00:00:00"/>
    <x v="16"/>
    <s v="7MNA006T"/>
    <m/>
    <m/>
    <m/>
    <m/>
    <m/>
    <m/>
    <x v="17"/>
  </r>
  <r>
    <d v="2023-05-07T14:49:21"/>
    <x v="11"/>
    <s v="Centre"/>
    <s v="Individuel"/>
    <s v="Mamadi Traoré"/>
    <n v="622910884"/>
    <n v="622910884"/>
    <s v="Kérouane Centre"/>
    <n v="22"/>
    <s v="Labour - uniquement"/>
    <n v="15"/>
    <s v="Chinois"/>
    <s v="Chinois"/>
    <s v="9 mois"/>
    <d v="2023-05-10T00:00:00"/>
    <m/>
    <s v="Moussa Kadia Camara"/>
    <s v="Riz"/>
    <x v="1"/>
    <n v="15"/>
    <d v="2023-05-08T00:00:00"/>
    <x v="16"/>
    <s v="7KNE002T"/>
    <m/>
    <m/>
    <m/>
    <m/>
    <m/>
    <m/>
    <x v="17"/>
  </r>
  <r>
    <d v="2023-05-07T14:53:03"/>
    <x v="11"/>
    <s v="Centre"/>
    <s v="Individuel"/>
    <s v="Kaba Sangaré"/>
    <n v="628701511"/>
    <n v="628701511"/>
    <s v="Kérouane Centre"/>
    <n v="3"/>
    <s v="Déchaumage"/>
    <n v="2"/>
    <s v="Samory"/>
    <s v="Samory"/>
    <s v="5 mois"/>
    <d v="2023-05-09T00:00:00"/>
    <m/>
    <s v="Moussa Kadia Camara"/>
    <s v="Riz"/>
    <x v="1"/>
    <n v="2"/>
    <d v="2023-05-08T00:00:00"/>
    <x v="16"/>
    <s v="7KNE001T"/>
    <m/>
    <m/>
    <m/>
    <m/>
    <m/>
    <m/>
    <x v="17"/>
  </r>
  <r>
    <d v="2023-05-07T14:55:43"/>
    <x v="11"/>
    <s v="Centre"/>
    <s v="Individuel"/>
    <s v="Karim Camara"/>
    <n v="620206275"/>
    <n v="620206275"/>
    <s v="Kérouane Centre"/>
    <n v="12"/>
    <s v="Labour - uniquement"/>
    <n v="4"/>
    <s v="Sanbadji"/>
    <s v="Sanbadji"/>
    <s v="6 mois"/>
    <d v="2023-05-10T00:00:00"/>
    <m/>
    <s v="Moussa Kadia Camara"/>
    <s v="Riz"/>
    <x v="1"/>
    <n v="4"/>
    <d v="2023-05-08T00:00:00"/>
    <x v="16"/>
    <s v="7KNE001T"/>
    <m/>
    <m/>
    <m/>
    <m/>
    <m/>
    <m/>
    <x v="17"/>
  </r>
  <r>
    <d v="2023-05-07T14:59:07"/>
    <x v="11"/>
    <s v="Centre"/>
    <s v="Individuel"/>
    <s v="Fara N'lonana Kamano"/>
    <n v="629131395"/>
    <n v="629131395"/>
    <s v="Kérouane Centre"/>
    <n v="13"/>
    <s v="Labour - uniquement"/>
    <n v="4"/>
    <s v="Dafini"/>
    <s v="Dafini"/>
    <s v="5 mois"/>
    <d v="2023-05-10T00:00:00"/>
    <m/>
    <s v="Moussa Kadia Camara"/>
    <s v="Riz"/>
    <x v="1"/>
    <n v="4"/>
    <d v="2023-05-08T00:00:00"/>
    <x v="16"/>
    <s v="7MNA007T"/>
    <m/>
    <m/>
    <m/>
    <m/>
    <m/>
    <m/>
    <x v="17"/>
  </r>
  <r>
    <d v="2023-05-07T15:05:05"/>
    <x v="11"/>
    <s v="Centre"/>
    <s v="Individuel"/>
    <s v="Lonceny Traoré"/>
    <n v="623400834"/>
    <n v="623400834"/>
    <s v="Kérouane Centre"/>
    <n v="13"/>
    <s v="Labour - uniquement"/>
    <n v="5"/>
    <s v="Sanbadji"/>
    <s v="Sanbadji"/>
    <s v="5 mois"/>
    <d v="2023-05-09T00:00:00"/>
    <m/>
    <s v="Moussa Kadia Camara"/>
    <s v="Riz"/>
    <x v="1"/>
    <n v="5"/>
    <d v="2023-05-08T00:00:00"/>
    <x v="16"/>
    <s v="7KNE001T"/>
    <m/>
    <m/>
    <m/>
    <m/>
    <m/>
    <m/>
    <x v="17"/>
  </r>
  <r>
    <d v="2023-05-07T15:07:43"/>
    <x v="11"/>
    <s v="Centre"/>
    <s v="Individuel"/>
    <s v="Sékou Doubate"/>
    <n v="620399163"/>
    <n v="620399163"/>
    <s v="Kérouane Centre"/>
    <n v="12"/>
    <s v="Déchaumage"/>
    <n v="1"/>
    <s v="Samory"/>
    <s v="Samory"/>
    <s v="5 mois"/>
    <d v="2023-05-08T00:00:00"/>
    <m/>
    <s v="Moussa Kadia Camara"/>
    <s v="Riz"/>
    <x v="1"/>
    <n v="1"/>
    <d v="2023-05-08T00:00:00"/>
    <x v="16"/>
    <s v="7KNE002T"/>
    <m/>
    <m/>
    <m/>
    <m/>
    <m/>
    <m/>
    <x v="17"/>
  </r>
  <r>
    <d v="2023-05-07T15:10:13"/>
    <x v="11"/>
    <s v="Centre"/>
    <s v="Individuel"/>
    <s v="Laye Camara"/>
    <n v="625558812"/>
    <n v="624558812"/>
    <s v="Kérouane Centre"/>
    <n v="2"/>
    <s v="Labour - uniquement"/>
    <n v="1"/>
    <s v="Sanbadji"/>
    <s v="Sanbadji"/>
    <s v="6 mois"/>
    <d v="2023-05-09T00:00:00"/>
    <m/>
    <s v="Moussa Kadia Camara"/>
    <s v="Riz"/>
    <x v="1"/>
    <n v="1"/>
    <d v="2023-05-08T00:00:00"/>
    <x v="16"/>
    <s v="7KNE002T"/>
    <m/>
    <m/>
    <m/>
    <m/>
    <m/>
    <m/>
    <x v="17"/>
  </r>
  <r>
    <d v="2023-05-07T15:13:19"/>
    <x v="11"/>
    <s v="Centre"/>
    <s v="Individuel"/>
    <s v="Ousoumane Mara"/>
    <n v="612662729"/>
    <n v="612662729"/>
    <s v="Kérouane Centre"/>
    <n v="23"/>
    <s v="Labour - uniquement"/>
    <n v="5"/>
    <s v="Samory, Djoufini"/>
    <s v="Samory Djoufini"/>
    <s v="6 mois"/>
    <d v="2023-05-10T00:00:00"/>
    <m/>
    <s v="Moussa Kadia Camara"/>
    <s v="Riz"/>
    <x v="1"/>
    <n v="5"/>
    <d v="2023-05-08T00:00:00"/>
    <x v="16"/>
    <s v="7KNE001T"/>
    <m/>
    <m/>
    <m/>
    <m/>
    <m/>
    <m/>
    <x v="17"/>
  </r>
  <r>
    <d v="2023-05-07T15:16:38"/>
    <x v="11"/>
    <s v="Centre"/>
    <s v="Individuel"/>
    <s v="Mamadi Camara"/>
    <n v="620662729"/>
    <n v="620662729"/>
    <s v="Kérouane Centre"/>
    <n v="12"/>
    <s v="Labour - uniquement"/>
    <n v="2"/>
    <s v="Karosabany"/>
    <s v="Karosabany"/>
    <s v="3 mois"/>
    <d v="2023-05-10T00:00:00"/>
    <m/>
    <s v="Moussa Kadia Camara"/>
    <s v="Maïs"/>
    <x v="1"/>
    <n v="2"/>
    <d v="2023-05-08T00:00:00"/>
    <x v="16"/>
    <s v="7KNE007T"/>
    <m/>
    <m/>
    <m/>
    <m/>
    <m/>
    <m/>
    <x v="17"/>
  </r>
  <r>
    <d v="2023-05-07T18:11:06"/>
    <x v="16"/>
    <s v="Foundeng 1"/>
    <s v="Individuel"/>
    <s v="Mohamed Sylla"/>
    <n v="621069779"/>
    <m/>
    <s v="Dabola Centre"/>
    <n v="5"/>
    <s v="Labour - uniquement"/>
    <n v="6"/>
    <s v="Mètre 6"/>
    <s v="Mètre 6"/>
    <s v="6 mois"/>
    <d v="2023-05-10T00:00:00"/>
    <m/>
    <s v="Souleymane Kanté"/>
    <s v="Riz"/>
    <x v="0"/>
    <m/>
    <m/>
    <x v="0"/>
    <m/>
    <m/>
    <m/>
    <m/>
    <m/>
    <m/>
    <m/>
    <x v="17"/>
  </r>
  <r>
    <d v="2023-05-07T18:25:18"/>
    <x v="9"/>
    <s v="Forecariah"/>
    <s v="Individuel"/>
    <s v="Alseny karamoko cissé"/>
    <n v="628172348"/>
    <m/>
    <s v="Farmoriah"/>
    <n v="45"/>
    <s v="Labour - uniquement"/>
    <n v="3"/>
    <s v="Ck-90"/>
    <s v="Ck-90"/>
    <s v="5 mois"/>
    <d v="2023-05-08T00:00:00"/>
    <m/>
    <s v="Diamouré keita"/>
    <s v="Riz"/>
    <x v="1"/>
    <n v="3"/>
    <d v="2023-05-08T00:00:00"/>
    <x v="16"/>
    <s v="2FAH004T"/>
    <m/>
    <m/>
    <m/>
    <m/>
    <m/>
    <m/>
    <x v="17"/>
  </r>
  <r>
    <d v="2023-05-07T18:52:16"/>
    <x v="16"/>
    <s v="Foundeng 1"/>
    <s v="Individuel"/>
    <s v="Imourana Traore"/>
    <n v="626086113"/>
    <m/>
    <s v="Dabola Centre"/>
    <n v="10"/>
    <s v="Labour - uniquement"/>
    <n v="6"/>
    <s v="Ck90"/>
    <s v="Ck 90"/>
    <s v="4 mois"/>
    <d v="2023-05-14T00:00:00"/>
    <m/>
    <s v="Souleymane Kanté"/>
    <s v="Riz"/>
    <x v="1"/>
    <n v="2"/>
    <d v="2023-05-10T00:00:00"/>
    <x v="16"/>
    <s v="6DLA001T"/>
    <m/>
    <m/>
    <m/>
    <m/>
    <m/>
    <m/>
    <x v="17"/>
  </r>
  <r>
    <d v="2023-05-07T18:55:34"/>
    <x v="16"/>
    <s v="Foundeng 1"/>
    <s v="Individuel"/>
    <s v="Alia soumah"/>
    <n v="622886278"/>
    <m/>
    <s v="N'Dema"/>
    <n v="45"/>
    <s v="Labour - uniquement"/>
    <n v="15"/>
    <s v="Ck90"/>
    <s v="Ck90"/>
    <s v="4 mois"/>
    <d v="2023-05-20T00:00:00"/>
    <m/>
    <s v="Souleymane Kanté"/>
    <s v="Riz"/>
    <x v="0"/>
    <m/>
    <m/>
    <x v="0"/>
    <m/>
    <m/>
    <m/>
    <m/>
    <m/>
    <m/>
    <m/>
    <x v="17"/>
  </r>
  <r>
    <d v="2023-05-08T10:11:22"/>
    <x v="16"/>
    <s v="Foundeng 1"/>
    <s v="Individuel"/>
    <s v="Aboubacar Conde"/>
    <n v="624200806"/>
    <m/>
    <s v="Dabola Centre"/>
    <n v="2"/>
    <s v="Labour - uniquement"/>
    <n v="1"/>
    <s v="Ck90"/>
    <s v="Ck90"/>
    <s v="4 mois"/>
    <d v="2023-05-10T00:00:00"/>
    <m/>
    <s v="Souleymane Kanté"/>
    <s v="Riz"/>
    <x v="0"/>
    <m/>
    <m/>
    <x v="0"/>
    <m/>
    <m/>
    <m/>
    <m/>
    <m/>
    <m/>
    <m/>
    <x v="17"/>
  </r>
  <r>
    <d v="2023-05-08T10:42:13"/>
    <x v="18"/>
    <s v="Wassabada"/>
    <s v="Individuel"/>
    <s v="Kassia Konaté"/>
    <n v="621764700"/>
    <m/>
    <s v="Kouroussa Centre"/>
    <n v="22"/>
    <s v="Labour - uniquement"/>
    <n v="8"/>
    <s v="Bagnain"/>
    <s v="Bagnain"/>
    <s v="4 mois"/>
    <d v="2023-05-18T00:00:00"/>
    <m/>
    <s v="Ibrahima Kalil Fofana"/>
    <s v="Riz"/>
    <x v="1"/>
    <n v="1"/>
    <d v="2023-05-12T00:00:00"/>
    <x v="16"/>
    <s v="7KSA006T"/>
    <m/>
    <m/>
    <m/>
    <m/>
    <m/>
    <m/>
    <x v="17"/>
  </r>
  <r>
    <d v="2023-05-08T10:46:44"/>
    <x v="18"/>
    <s v="Wassabada"/>
    <s v="Individuel"/>
    <s v="Namory Camara"/>
    <n v="628026939"/>
    <m/>
    <s v="Kouroussa Centre"/>
    <n v="5"/>
    <s v="Labour - uniquement"/>
    <n v="1"/>
    <s v="Brema-malony"/>
    <s v="Brema-malony"/>
    <s v="4 mois"/>
    <d v="2023-05-18T00:00:00"/>
    <m/>
    <s v="Ibrahima Kalil Fofana"/>
    <s v="Riz"/>
    <x v="1"/>
    <n v="1"/>
    <d v="2023-05-12T00:00:00"/>
    <x v="16"/>
    <s v="7KSA006T"/>
    <m/>
    <m/>
    <m/>
    <m/>
    <m/>
    <m/>
    <x v="17"/>
  </r>
  <r>
    <d v="2023-05-08T10:49:51"/>
    <x v="18"/>
    <s v="Wassabada"/>
    <s v="Individuel"/>
    <s v="Lanceï Keita"/>
    <n v="622187998"/>
    <m/>
    <s v="Kouroussa Centre"/>
    <n v="5"/>
    <s v="Labour - uniquement"/>
    <n v="2"/>
    <s v="Bagnain"/>
    <s v="Bagnain"/>
    <s v="4 mois"/>
    <d v="2023-05-18T00:00:00"/>
    <m/>
    <s v="Ibrahima Kalil Fofana"/>
    <s v="Riz"/>
    <x v="1"/>
    <n v="2"/>
    <d v="2023-05-12T00:00:00"/>
    <x v="16"/>
    <s v="7KSA006T"/>
    <m/>
    <m/>
    <m/>
    <m/>
    <m/>
    <m/>
    <x v="17"/>
  </r>
  <r>
    <d v="2023-05-08T10:52:52"/>
    <x v="18"/>
    <s v="Wassabada"/>
    <s v="Individuel"/>
    <s v="Sékou Camara"/>
    <n v="620977396"/>
    <m/>
    <s v="Sanguiana"/>
    <n v="50"/>
    <s v="Labour - uniquement"/>
    <n v="6"/>
    <s v="CEKASOKA"/>
    <s v="CEKASOKA"/>
    <s v="4 mois"/>
    <d v="2023-05-18T00:00:00"/>
    <m/>
    <s v="Ibrahima Kalil Fofana"/>
    <s v="Riz"/>
    <x v="0"/>
    <m/>
    <m/>
    <x v="0"/>
    <m/>
    <m/>
    <m/>
    <m/>
    <m/>
    <m/>
    <m/>
    <x v="17"/>
  </r>
  <r>
    <d v="2023-05-08T10:56:18"/>
    <x v="18"/>
    <s v="Wassabada"/>
    <s v="Individuel"/>
    <s v="Fodé 2 Camara"/>
    <n v="628279776"/>
    <m/>
    <s v="Kouroussa Centre"/>
    <n v="8"/>
    <s v="Labour - uniquement"/>
    <n v="13"/>
    <s v="Bagnain"/>
    <s v="Bagnain"/>
    <s v="4 mois"/>
    <d v="2023-05-22T00:00:00"/>
    <m/>
    <s v="Ibrahima Kalil Fofana"/>
    <s v="Riz"/>
    <x v="0"/>
    <m/>
    <m/>
    <x v="0"/>
    <m/>
    <m/>
    <m/>
    <m/>
    <m/>
    <m/>
    <m/>
    <x v="17"/>
  </r>
  <r>
    <d v="2023-05-08T10:59:52"/>
    <x v="18"/>
    <s v="Wassabada"/>
    <s v="Collectif"/>
    <s v="Mamoudou watra"/>
    <n v="628411307"/>
    <m/>
    <s v="Sanguiana"/>
    <n v="58"/>
    <s v="Labour - uniquement"/>
    <n v="40"/>
    <s v="Toumbourouka"/>
    <s v="Toumbourouka"/>
    <s v="4 mois"/>
    <d v="2023-05-15T00:00:00"/>
    <m/>
    <s v="Ibrahima Kalil Fofana"/>
    <s v="Riz"/>
    <x v="0"/>
    <m/>
    <m/>
    <x v="0"/>
    <m/>
    <m/>
    <m/>
    <m/>
    <m/>
    <m/>
    <m/>
    <x v="17"/>
  </r>
  <r>
    <d v="2023-05-08T11:03:10"/>
    <x v="18"/>
    <s v="Wassabada"/>
    <s v="Individuel"/>
    <s v="Sékou Fanta Keita"/>
    <n v="628597304"/>
    <m/>
    <s v="Kouroussa Centre"/>
    <n v="28"/>
    <s v="Labour - uniquement"/>
    <n v="5"/>
    <s v="Nankein"/>
    <s v="Nankein"/>
    <s v="3 mois"/>
    <d v="2023-06-10T00:00:00"/>
    <m/>
    <s v="Ibrahima Kalil Fofana"/>
    <s v="Riz"/>
    <x v="0"/>
    <m/>
    <m/>
    <x v="0"/>
    <m/>
    <m/>
    <m/>
    <m/>
    <m/>
    <m/>
    <m/>
    <x v="17"/>
  </r>
  <r>
    <d v="2023-05-08T11:08:36"/>
    <x v="18"/>
    <s v="Wassabada"/>
    <s v="Collectif"/>
    <s v="Oumar Camara"/>
    <n v="628855982"/>
    <m/>
    <s v="Kouroussa Centre"/>
    <n v="6"/>
    <s v="Labour - uniquement"/>
    <n v="20"/>
    <s v="Djoukèmè"/>
    <s v="Djoukèmè"/>
    <s v="4 mois"/>
    <d v="2023-05-20T00:00:00"/>
    <m/>
    <s v="Ibrahima Kalil Fofana"/>
    <s v="Riz"/>
    <x v="0"/>
    <m/>
    <m/>
    <x v="0"/>
    <m/>
    <m/>
    <m/>
    <m/>
    <m/>
    <m/>
    <m/>
    <x v="17"/>
  </r>
  <r>
    <d v="2023-05-08T11:15:01"/>
    <x v="18"/>
    <s v="Wassabada"/>
    <s v="Individuel"/>
    <s v="Daouda kourouma"/>
    <n v="621704756"/>
    <m/>
    <s v="Kouroussa Centre"/>
    <n v="6"/>
    <s v="Labour - uniquement"/>
    <n v="14"/>
    <s v="Soïta"/>
    <s v="Soïta"/>
    <s v="5 mois"/>
    <d v="2023-05-20T00:00:00"/>
    <m/>
    <s v="Ibrahima Kalil Fofana"/>
    <s v="Riz"/>
    <x v="0"/>
    <m/>
    <m/>
    <x v="0"/>
    <m/>
    <m/>
    <m/>
    <m/>
    <m/>
    <m/>
    <m/>
    <x v="17"/>
  </r>
  <r>
    <d v="2023-05-08T11:38:29"/>
    <x v="5"/>
    <s v="Guéckédou"/>
    <s v="Individuel"/>
    <s v="Saâ Noël tolno"/>
    <n v="623216655"/>
    <n v="623216655"/>
    <s v="Nongoa"/>
    <n v="3"/>
    <s v="Labour - uniquement"/>
    <n v="3"/>
    <s v="Ck90"/>
    <s v="Ck90"/>
    <s v="4 mois"/>
    <d v="2023-05-08T00:00:00"/>
    <s v="OK"/>
    <s v="Lamine Condé"/>
    <s v="Riz"/>
    <x v="1"/>
    <n v="3"/>
    <d v="2023-05-08T00:00:00"/>
    <x v="16"/>
    <s v="8GOU001T"/>
    <m/>
    <m/>
    <m/>
    <m/>
    <m/>
    <m/>
    <x v="17"/>
  </r>
  <r>
    <d v="2023-05-08T12:08:03"/>
    <x v="12"/>
    <s v="Ouassou"/>
    <s v="Individuel"/>
    <s v="Aboubacar Soumah"/>
    <n v="628279428"/>
    <n v="628279428"/>
    <s v="Koba-Tatema"/>
    <n v="6"/>
    <s v="Labour - uniquement"/>
    <n v="2"/>
    <s v="Massaraka"/>
    <s v="Nereka"/>
    <s v="6 mois"/>
    <d v="2023-05-08T00:00:00"/>
    <s v="Accord"/>
    <s v="Kissi Camara"/>
    <s v="Riz"/>
    <x v="1"/>
    <n v="2"/>
    <d v="2023-05-09T00:00:00"/>
    <x v="16"/>
    <s v="2DKA001T"/>
    <m/>
    <m/>
    <m/>
    <m/>
    <m/>
    <m/>
    <x v="17"/>
  </r>
  <r>
    <d v="2023-05-08T12:10:43"/>
    <x v="11"/>
    <s v="Centre"/>
    <s v="Individuel"/>
    <s v="Sidiky Touré"/>
    <n v="623521622"/>
    <n v="623521622"/>
    <s v="Kérouane Centre"/>
    <n v="3"/>
    <s v="Labour - uniquement"/>
    <n v="2"/>
    <s v="Kaoulaka"/>
    <s v="Kaoulaka"/>
    <s v="5 mois"/>
    <d v="2023-05-09T00:00:00"/>
    <m/>
    <s v="Moussa Kadia Camara"/>
    <s v="Riz"/>
    <x v="1"/>
    <n v="2"/>
    <d v="2023-05-08T00:00:00"/>
    <x v="16"/>
    <s v="7KNE001T"/>
    <m/>
    <m/>
    <m/>
    <m/>
    <m/>
    <m/>
    <x v="17"/>
  </r>
  <r>
    <d v="2023-05-08T12:36:44"/>
    <x v="21"/>
    <s v="Kouanka centre"/>
    <s v="Individuel"/>
    <s v="Famo camara"/>
    <n v="622833959"/>
    <m/>
    <s v="Kouankan"/>
    <n v="4"/>
    <s v="Labour + Pulvérisation"/>
    <n v="3"/>
    <s v="CK90"/>
    <s v="riz"/>
    <s v="4 mois"/>
    <d v="2023-05-08T00:00:00"/>
    <m/>
    <s v="Mohamed Kone"/>
    <s v="Riz"/>
    <x v="1"/>
    <n v="3"/>
    <d v="2023-05-09T00:00:00"/>
    <x v="16"/>
    <s v="8NRE002T"/>
    <m/>
    <m/>
    <m/>
    <m/>
    <m/>
    <m/>
    <x v="17"/>
  </r>
  <r>
    <d v="2023-05-08T12:41:08"/>
    <x v="21"/>
    <s v="Kouankan centre"/>
    <s v="Individuel"/>
    <s v="Kassan sidiki"/>
    <n v="623833959"/>
    <m/>
    <s v="Kouankan"/>
    <n v="5"/>
    <s v="Labour - uniquement"/>
    <n v="3"/>
    <s v="Ck90"/>
    <s v="Riz"/>
    <s v="4 mois"/>
    <d v="2023-05-08T00:00:00"/>
    <m/>
    <s v="Mohamed Kone"/>
    <s v="Riz"/>
    <x v="1"/>
    <n v="3"/>
    <d v="2023-05-09T00:00:00"/>
    <x v="16"/>
    <s v="8NRE002T"/>
    <m/>
    <m/>
    <m/>
    <m/>
    <m/>
    <m/>
    <x v="17"/>
  </r>
  <r>
    <d v="2023-05-08T12:45:45"/>
    <x v="21"/>
    <s v="Kouanka"/>
    <s v="Individuel"/>
    <s v="Lonceny camara"/>
    <n v="628691529"/>
    <m/>
    <s v="Kouankan"/>
    <n v="3"/>
    <s v="Labour - uniquement"/>
    <n v="1"/>
    <s v="haricot rouge"/>
    <s v="haricot"/>
    <s v="3 mois"/>
    <d v="2023-05-07T00:00:00"/>
    <m/>
    <s v="Mohamed Kone"/>
    <s v="Haricot"/>
    <x v="1"/>
    <n v="1"/>
    <d v="2023-05-09T00:00:00"/>
    <x v="16"/>
    <s v="8NRE002T"/>
    <m/>
    <m/>
    <m/>
    <m/>
    <m/>
    <m/>
    <x v="17"/>
  </r>
  <r>
    <d v="2023-05-08T12:47:36"/>
    <x v="10"/>
    <s v="Commune urbaine"/>
    <s v="Individuel"/>
    <s v="Lamine Kourouma"/>
    <n v="622315811"/>
    <n v="622315811"/>
    <s v="Gbangbadou"/>
    <n v="25"/>
    <s v="Labour - uniquement"/>
    <n v="10"/>
    <s v="CK 90"/>
    <s v="CK 90"/>
    <s v="5 mois"/>
    <d v="2023-05-08T00:00:00"/>
    <s v="Gbenikorou"/>
    <s v="Mamady 2 Camara"/>
    <s v="Riz"/>
    <x v="1"/>
    <n v="10"/>
    <d v="2023-05-08T00:00:00"/>
    <x v="16"/>
    <s v="6KOU007T"/>
    <m/>
    <m/>
    <m/>
    <m/>
    <m/>
    <m/>
    <x v="17"/>
  </r>
  <r>
    <d v="2023-05-08T13:04:04"/>
    <x v="7"/>
    <s v="Cours du bloc Administratif"/>
    <s v="Individuel"/>
    <s v="Sinè CONDÉ"/>
    <n v="622450474"/>
    <m/>
    <s v="Kiniéran"/>
    <n v="82"/>
    <s v="Labour + Pulvérisation"/>
    <n v="7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7"/>
  </r>
  <r>
    <d v="2023-05-08T13:15:13"/>
    <x v="7"/>
    <s v="Cours du bloc Administratif"/>
    <s v="Individuel"/>
    <s v="Moussa KOULIBALY"/>
    <n v="628915770"/>
    <m/>
    <s v="Kiniéran"/>
    <n v="82"/>
    <s v="Labour + Pulvérisation"/>
    <n v="4"/>
    <s v="Nerica 19"/>
    <s v="Nerica"/>
    <s v="4 mois"/>
    <d v="2023-06-18T00:00:00"/>
    <s v="Aptes pour la mécanisation"/>
    <s v="Nounkè Doumbouya"/>
    <s v="Riz"/>
    <x v="0"/>
    <m/>
    <m/>
    <x v="0"/>
    <m/>
    <m/>
    <m/>
    <m/>
    <m/>
    <m/>
    <m/>
    <x v="17"/>
  </r>
  <r>
    <d v="2023-05-08T13:17:31"/>
    <x v="7"/>
    <s v="Cours du bloc Administratif"/>
    <s v="Individuel"/>
    <s v="Kidi Doumbouya"/>
    <n v="622881583"/>
    <m/>
    <s v="Kiniéran"/>
    <n v="77"/>
    <s v="Labour + Pulvérisation"/>
    <n v="6"/>
    <s v="Nerica 19"/>
    <s v="Nerica"/>
    <s v="4 mois"/>
    <d v="2023-06-29T00:00:00"/>
    <s v="Aptes à la mécanisation"/>
    <s v="Nounkè Doumbouya"/>
    <s v="Riz"/>
    <x v="0"/>
    <m/>
    <m/>
    <x v="0"/>
    <m/>
    <m/>
    <m/>
    <m/>
    <m/>
    <m/>
    <m/>
    <x v="17"/>
  </r>
  <r>
    <d v="2023-05-08T13:20:28"/>
    <x v="7"/>
    <s v="Cours du bloc Administratif"/>
    <s v="Collectif"/>
    <s v="Bourlaye Koulibaly"/>
    <n v="620838058"/>
    <m/>
    <s v="Kiniéran"/>
    <n v="91"/>
    <s v="Labour - uniquement"/>
    <n v="30"/>
    <s v="Sweta, Ck90"/>
    <s v="Ck"/>
    <s v="5 mois"/>
    <d v="2023-05-25T00:00:00"/>
    <s v="Aptes pour la mécanisation"/>
    <s v="Nounkè Doumbouya"/>
    <s v="Riz"/>
    <x v="0"/>
    <m/>
    <m/>
    <x v="0"/>
    <m/>
    <m/>
    <m/>
    <m/>
    <m/>
    <m/>
    <m/>
    <x v="17"/>
  </r>
  <r>
    <d v="2023-05-08T14:16:11"/>
    <x v="2"/>
    <s v="Bordeaux"/>
    <s v="Individuel"/>
    <s v="Berema Traoré"/>
    <n v="628390161"/>
    <n v="0"/>
    <s v="Sabadou-Baranama"/>
    <n v="80"/>
    <s v="Labour - uniquement"/>
    <n v="4"/>
    <s v="Chinois"/>
    <s v="Variété locale"/>
    <s v="6 mois"/>
    <d v="2023-05-08T00:00:00"/>
    <s v="Petit producteur"/>
    <s v="Moussa Alamako Keita"/>
    <s v="Riz"/>
    <x v="1"/>
    <n v="2"/>
    <d v="2023-05-15T00:00:00"/>
    <x v="4"/>
    <s v="7KAN006T"/>
    <m/>
    <m/>
    <m/>
    <m/>
    <m/>
    <m/>
    <x v="17"/>
  </r>
  <r>
    <d v="2023-05-08T14:59:53"/>
    <x v="2"/>
    <s v="Bordeaux"/>
    <s v="Collectif"/>
    <s v="Konkokele 2"/>
    <n v="628451165"/>
    <n v="0"/>
    <s v="Boula"/>
    <n v="185"/>
    <s v="Labour - uniquement"/>
    <n v="3"/>
    <s v="Samorikelet"/>
    <s v="Variété locale"/>
    <s v="3 mois"/>
    <d v="2023-05-12T00:00:00"/>
    <s v="Groupement"/>
    <s v="Moussa Alamako Keita"/>
    <s v="Riz"/>
    <x v="0"/>
    <m/>
    <m/>
    <x v="0"/>
    <m/>
    <m/>
    <m/>
    <m/>
    <m/>
    <m/>
    <m/>
    <x v="17"/>
  </r>
  <r>
    <d v="2023-05-08T15:02:23"/>
    <x v="7"/>
    <s v="Cours du bloc Administratif"/>
    <s v="Collectif"/>
    <s v="Tadymory KOULIBALY"/>
    <n v="623769003"/>
    <m/>
    <s v="Kiniéran"/>
    <n v="81"/>
    <s v="Labour + Pulvérisation"/>
    <n v="65"/>
    <s v="ADRAO, Nerica"/>
    <s v="Nerica"/>
    <s v="4 mois"/>
    <d v="2023-06-09T00:00:00"/>
    <s v="Aptes à la mécanisation"/>
    <s v="Nounkè Doumbouya"/>
    <s v="Riz"/>
    <x v="0"/>
    <m/>
    <m/>
    <x v="0"/>
    <m/>
    <m/>
    <m/>
    <m/>
    <m/>
    <m/>
    <m/>
    <x v="17"/>
  </r>
  <r>
    <d v="2023-05-08T15:04:56"/>
    <x v="7"/>
    <s v="Cours du bloc Administratif"/>
    <s v="Individuel"/>
    <s v="Moussa KOULIBALY"/>
    <n v="621176656"/>
    <m/>
    <s v="Kiniéran"/>
    <n v="76"/>
    <s v="Labour + Pulvérisation"/>
    <n v="12"/>
    <s v="Sweta"/>
    <s v="Ne connais pas"/>
    <s v="4 mois"/>
    <d v="2023-06-15T00:00:00"/>
    <s v="Aptes pour la mécanisation"/>
    <s v="Nounkè Doumbouya"/>
    <s v="Riz"/>
    <x v="0"/>
    <m/>
    <m/>
    <x v="0"/>
    <m/>
    <m/>
    <m/>
    <m/>
    <m/>
    <m/>
    <m/>
    <x v="17"/>
  </r>
  <r>
    <d v="2023-05-08T15:07:44"/>
    <x v="7"/>
    <s v="Cours du bloc Administratif"/>
    <s v="Individuel"/>
    <s v="Samou KOULIBALY"/>
    <n v="621050965"/>
    <m/>
    <s v="Kiniéran"/>
    <n v="81"/>
    <s v="Labour + Pulvérisation"/>
    <n v="12"/>
    <s v="Nerica 19"/>
    <s v="Nerica"/>
    <s v="4 mois"/>
    <d v="2023-06-25T00:00:00"/>
    <s v="Aptes pour la mécanisation"/>
    <s v="Nounkè Doumbouya"/>
    <s v="Riz"/>
    <x v="0"/>
    <m/>
    <m/>
    <x v="0"/>
    <m/>
    <m/>
    <m/>
    <m/>
    <m/>
    <m/>
    <m/>
    <x v="17"/>
  </r>
  <r>
    <d v="2023-05-08T15:10:27"/>
    <x v="7"/>
    <s v="Cours du bloc Administratif"/>
    <s v="Individuel"/>
    <s v="Zoumana Oulen Diakité"/>
    <n v="622625760"/>
    <m/>
    <s v="Kiniéran"/>
    <n v="81"/>
    <s v="Labour + Pulvérisation"/>
    <n v="11"/>
    <s v="Tchokotchoko"/>
    <s v="Ne connais pas"/>
    <s v="5 mois"/>
    <d v="2023-06-01T00:00:00"/>
    <s v="Aptes pour la mécanisation"/>
    <s v="Nounkè Doumbouya"/>
    <s v="Riz"/>
    <x v="0"/>
    <m/>
    <m/>
    <x v="0"/>
    <m/>
    <m/>
    <m/>
    <m/>
    <m/>
    <m/>
    <m/>
    <x v="17"/>
  </r>
  <r>
    <d v="2023-05-08T15:40:25"/>
    <x v="7"/>
    <s v="Cours du bloc Administratif"/>
    <s v="Collectif"/>
    <s v="Ciné Diallo"/>
    <n v="628869695"/>
    <m/>
    <s v="Dialakoro"/>
    <n v="135"/>
    <s v="Labour - uniquement"/>
    <n v="175"/>
    <s v="Dadoumani malo, nenken"/>
    <s v="Ne connais pas"/>
    <s v="4 mois"/>
    <d v="2023-06-30T00:00:00"/>
    <s v="Aptes pour la mécanisation"/>
    <s v="Nounkè Doumbouya"/>
    <s v="Riz"/>
    <x v="0"/>
    <m/>
    <m/>
    <x v="0"/>
    <m/>
    <m/>
    <m/>
    <m/>
    <m/>
    <m/>
    <m/>
    <x v="17"/>
  </r>
  <r>
    <d v="2023-05-08T15:56:49"/>
    <x v="7"/>
    <s v="Cours du bloc Administratif"/>
    <s v="Collectif"/>
    <s v="Moussa KOULIBALY"/>
    <n v="628002236"/>
    <m/>
    <s v="Dialakoro"/>
    <n v="142"/>
    <s v="Labour + Pulvérisation"/>
    <n v="42"/>
    <s v="Nerica 19"/>
    <s v="Nerica"/>
    <s v="4 mois"/>
    <d v="2023-06-15T00:00:00"/>
    <s v="Aptes pour la mécanisation"/>
    <s v="Nounkè Doumbouya"/>
    <s v="Riz"/>
    <x v="0"/>
    <m/>
    <m/>
    <x v="0"/>
    <m/>
    <m/>
    <m/>
    <m/>
    <m/>
    <m/>
    <m/>
    <x v="17"/>
  </r>
  <r>
    <d v="2023-05-08T15:59:50"/>
    <x v="7"/>
    <s v="Cours du bloc Administratif"/>
    <s v="Collectif"/>
    <s v="Siaka SOUMAORO"/>
    <n v="625599201"/>
    <m/>
    <s v="Dialakoro"/>
    <n v="129"/>
    <s v="Labour + Pulvérisation"/>
    <n v="142"/>
    <s v="Nerica 19 et 4"/>
    <s v="Nerica"/>
    <s v="4 mois"/>
    <d v="2023-06-30T00:00:00"/>
    <s v="Aptes pour la mécanisation"/>
    <s v="Nounkè Doumbouya"/>
    <s v="Riz"/>
    <x v="0"/>
    <m/>
    <m/>
    <x v="0"/>
    <m/>
    <m/>
    <m/>
    <m/>
    <m/>
    <m/>
    <m/>
    <x v="17"/>
  </r>
  <r>
    <d v="2023-05-08T16:02:42"/>
    <x v="7"/>
    <s v="Cours du bloc Administratif"/>
    <s v="Collectif"/>
    <s v="Moussa CAMARA"/>
    <n v="628065705"/>
    <m/>
    <s v="Dialakoro"/>
    <n v="129"/>
    <s v="Labour + Pulvérisation"/>
    <n v="108"/>
    <s v="Dadoumani malo, sweta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7"/>
  </r>
  <r>
    <d v="2023-05-08T16:12:59"/>
    <x v="7"/>
    <s v="Cours du bloc Administratif"/>
    <s v="Collectif"/>
    <s v="Moussa CAMARA"/>
    <n v="621397695"/>
    <m/>
    <s v="Dialakoro"/>
    <n v="132"/>
    <s v="Labour + Pulvérisation"/>
    <n v="80"/>
    <s v="Nerica 19 , Ck90"/>
    <s v="Ck"/>
    <s v="5 mois"/>
    <d v="2023-05-28T00:00:00"/>
    <s v="Aptes pour la mécanisation"/>
    <s v="Nounkè Doumbouya"/>
    <s v="Riz"/>
    <x v="0"/>
    <m/>
    <m/>
    <x v="0"/>
    <m/>
    <m/>
    <m/>
    <m/>
    <m/>
    <m/>
    <m/>
    <x v="17"/>
  </r>
  <r>
    <d v="2023-05-08T16:17:08"/>
    <x v="7"/>
    <s v="Cours du bloc Administratif"/>
    <s v="Collectif"/>
    <s v="Sidiki Keïta"/>
    <n v="622349493"/>
    <m/>
    <s v="Dialakoro"/>
    <n v="122"/>
    <s v="Labour + Pulvérisation"/>
    <n v="45"/>
    <s v="Nerica 19"/>
    <s v="Nerica"/>
    <s v="4 mois"/>
    <d v="2023-06-30T00:00:00"/>
    <s v="Aptes pour la mécanisation"/>
    <s v="Nounkè Doumbouya"/>
    <s v="Riz"/>
    <x v="0"/>
    <m/>
    <m/>
    <x v="0"/>
    <m/>
    <m/>
    <m/>
    <m/>
    <m/>
    <m/>
    <m/>
    <x v="17"/>
  </r>
  <r>
    <d v="2023-05-08T16:55:48"/>
    <x v="5"/>
    <s v="Guéckédou"/>
    <s v="Individuel"/>
    <s v="Augustin Faya kantambadouno"/>
    <n v="628987227"/>
    <n v="628987227"/>
    <s v="Nongoa"/>
    <n v="27"/>
    <s v="Labour - uniquement"/>
    <n v="4"/>
    <s v="Ck90"/>
    <s v="Ck90"/>
    <s v="4 mois"/>
    <d v="2023-04-29T00:00:00"/>
    <s v="Ok"/>
    <s v="Lamine Condé"/>
    <s v="Riz"/>
    <x v="1"/>
    <n v="4"/>
    <d v="2023-05-08T00:00:00"/>
    <x v="16"/>
    <s v="8GOU001T"/>
    <m/>
    <m/>
    <m/>
    <m/>
    <m/>
    <m/>
    <x v="17"/>
  </r>
  <r>
    <d v="2023-05-08T17:06:03"/>
    <x v="16"/>
    <s v="Foundeng 1"/>
    <s v="Individuel"/>
    <s v="Mamadi Kaba"/>
    <n v="623857302"/>
    <m/>
    <s v="Dabola Centre"/>
    <n v="3"/>
    <s v="Labour - uniquement"/>
    <n v="1"/>
    <s v="Kaniye"/>
    <s v="Kaniye"/>
    <s v="4 mois"/>
    <d v="2023-05-13T00:00:00"/>
    <m/>
    <s v="Souleymane Kanté"/>
    <s v="Riz"/>
    <x v="0"/>
    <m/>
    <m/>
    <x v="0"/>
    <m/>
    <m/>
    <m/>
    <m/>
    <m/>
    <m/>
    <m/>
    <x v="17"/>
  </r>
  <r>
    <d v="2023-05-09T09:48:20"/>
    <x v="5"/>
    <s v="Guéckédou centre"/>
    <s v="Individuel"/>
    <s v="Augustin Faya kantambadouno"/>
    <n v="628987227"/>
    <n v="628987227"/>
    <s v="Nongoa"/>
    <n v="27"/>
    <s v="Labour - uniquement"/>
    <n v="4"/>
    <s v="Ck90"/>
    <s v="Ck90"/>
    <s v="4 mois"/>
    <d v="2023-04-29T00:00:00"/>
    <s v="OK"/>
    <s v="Lamine Condé"/>
    <s v="Riz"/>
    <x v="0"/>
    <m/>
    <m/>
    <x v="0"/>
    <m/>
    <m/>
    <m/>
    <m/>
    <m/>
    <m/>
    <m/>
    <x v="17"/>
  </r>
  <r>
    <d v="2023-05-09T11:47:56"/>
    <x v="19"/>
    <s v="Maneah"/>
    <s v="Individuel"/>
    <s v="Issagha kaba"/>
    <n v="612211215"/>
    <m/>
    <s v="Wonkifong"/>
    <n v="35"/>
    <s v="Labour - uniquement"/>
    <n v="25"/>
    <s v="Sédouya( kakossa )"/>
    <s v="Oriza sativa"/>
    <s v="4 mois"/>
    <s v="12/05/0202"/>
    <s v="Respect de calendrier agricol"/>
    <s v="Ousmane Tangaly Balde"/>
    <s v="Maïs"/>
    <x v="1"/>
    <n v="5"/>
    <d v="2023-05-23T00:00:00"/>
    <x v="18"/>
    <s v="2CAH001T"/>
    <m/>
    <m/>
    <m/>
    <m/>
    <m/>
    <m/>
    <x v="17"/>
  </r>
  <r>
    <d v="2023-05-09T11:48:09"/>
    <x v="1"/>
    <s v="Siguiri"/>
    <s v="Individuel"/>
    <s v="Abou KOULIBALY"/>
    <n v="622530068"/>
    <m/>
    <s v="Siguiri Centre"/>
    <n v="3"/>
    <s v="Labour - uniquement"/>
    <n v="2"/>
    <s v="Maïs coton"/>
    <s v="Maïs coton"/>
    <s v="3 mois"/>
    <d v="2023-05-09T00:00:00"/>
    <m/>
    <s v="Nanamoudou ll Magassouba"/>
    <s v="Maïs"/>
    <x v="1"/>
    <n v="2"/>
    <d v="2023-05-09T00:00:00"/>
    <x v="16"/>
    <s v="7SRI006T"/>
    <m/>
    <m/>
    <m/>
    <m/>
    <m/>
    <m/>
    <x v="17"/>
  </r>
  <r>
    <d v="2023-05-09T12:02:26"/>
    <x v="19"/>
    <s v="Maneah"/>
    <s v="Individuel"/>
    <s v="Cheik Ahmed fadiga"/>
    <n v="623808267"/>
    <m/>
    <s v="Wonkifong"/>
    <n v="42"/>
    <s v="Labour - uniquement"/>
    <n v="6"/>
    <s v="Varieté amelioré ck 90"/>
    <s v="Oriza glaberima"/>
    <s v="4 mois"/>
    <d v="2023-05-11T00:00:00"/>
    <s v="Respect du calendrier agricol par rapport au montant versé"/>
    <s v="Ousmane Tangaly Balde"/>
    <s v="Riz"/>
    <x v="1"/>
    <n v="4"/>
    <d v="2023-05-09T00:00:00"/>
    <x v="16"/>
    <s v="2CAH001T"/>
    <m/>
    <m/>
    <m/>
    <m/>
    <m/>
    <m/>
    <x v="17"/>
  </r>
  <r>
    <d v="2023-05-09T12:34:45"/>
    <x v="0"/>
    <s v="Direction préfectorale de l'agriculture et de l'élevage de macenta"/>
    <s v="Collectif"/>
    <m/>
    <n v="622222621"/>
    <m/>
    <s v="Kouankan"/>
    <n v="90"/>
    <s v="Labour - uniquement"/>
    <n v="5"/>
    <s v="Chinoiba"/>
    <s v="Oriza sativa"/>
    <s v="5 mois"/>
    <d v="2023-05-16T00:00:00"/>
    <s v="Pas"/>
    <s v="Alexandre Kpoghomou"/>
    <s v="Riz"/>
    <x v="1"/>
    <n v="5"/>
    <d v="2023-05-09T00:00:00"/>
    <x v="16"/>
    <s v="8MTA003T"/>
    <m/>
    <m/>
    <m/>
    <m/>
    <m/>
    <m/>
    <x v="17"/>
  </r>
  <r>
    <d v="2023-05-09T12:36:28"/>
    <x v="13"/>
    <s v="Aviation"/>
    <s v="Individuel"/>
    <s v="Mamadi cissé"/>
    <n v="629349941"/>
    <m/>
    <s v="Songoyah"/>
    <n v="35"/>
    <s v="Labour - uniquement"/>
    <n v="2"/>
    <s v="Sayon soumah"/>
    <s v="Sayon soumah"/>
    <s v="5 mois"/>
    <d v="2023-05-10T00:00:00"/>
    <s v="Manque de pulveriseur"/>
    <s v="Mohamed Fanta kourouma"/>
    <s v="Riz"/>
    <x v="1"/>
    <n v="2"/>
    <d v="2023-05-10T00:00:00"/>
    <x v="16"/>
    <s v="6FAH005T"/>
    <m/>
    <m/>
    <m/>
    <m/>
    <m/>
    <m/>
    <x v="17"/>
  </r>
  <r>
    <d v="2023-05-09T12:38:09"/>
    <x v="3"/>
    <s v="Petel Mamou"/>
    <s v="Individuel"/>
    <s v="Mamadou bailo Diallo"/>
    <n v="622105151"/>
    <m/>
    <s v="Kegneko"/>
    <n v="66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  <m/>
    <m/>
    <m/>
    <x v="17"/>
  </r>
  <r>
    <d v="2023-05-09T12:40:04"/>
    <x v="7"/>
    <s v="Cours du bloc Administratif"/>
    <s v="Collectif"/>
    <s v="Modibo Keïta"/>
    <n v="624659122"/>
    <m/>
    <s v="Dialakoro"/>
    <n v="142"/>
    <s v="Labour + Pulvérisation"/>
    <n v="23"/>
    <s v="Dadoumani malo"/>
    <s v="Ne connais pas"/>
    <s v="4 mois"/>
    <d v="2023-06-25T00:00:00"/>
    <s v="Aptes"/>
    <s v="Nounkè Doumbouya"/>
    <s v="Riz"/>
    <x v="0"/>
    <m/>
    <m/>
    <x v="0"/>
    <m/>
    <m/>
    <m/>
    <m/>
    <m/>
    <m/>
    <m/>
    <x v="17"/>
  </r>
  <r>
    <d v="2023-05-09T12:41:12"/>
    <x v="3"/>
    <s v="Petel Mamou"/>
    <s v="Individuel"/>
    <s v="Mamadou Sidibé"/>
    <n v="628690163"/>
    <m/>
    <s v="Kegneko"/>
    <n v="55"/>
    <s v="Labour - uniquement"/>
    <n v="2"/>
    <s v="Kalya"/>
    <s v="Ck21"/>
    <s v="4 mois"/>
    <d v="2023-11-21T00:00:00"/>
    <s v="Tout commence bien"/>
    <s v="Mamadouba Camara"/>
    <s v="Riz"/>
    <x v="0"/>
    <m/>
    <m/>
    <x v="0"/>
    <m/>
    <m/>
    <m/>
    <m/>
    <m/>
    <m/>
    <m/>
    <x v="17"/>
  </r>
  <r>
    <d v="2023-05-09T12:44:51"/>
    <x v="3"/>
    <s v="Petel Mamou"/>
    <s v="Individuel"/>
    <s v="ElhMamadou Diallo"/>
    <n v="628019595"/>
    <m/>
    <s v="Kegneko"/>
    <n v="55"/>
    <s v="Labour - uniquement"/>
    <n v="1"/>
    <s v="Kalya"/>
    <s v="Ck21"/>
    <s v="4 mois"/>
    <d v="2023-11-21T00:00:00"/>
    <s v="Tout commence bien"/>
    <s v="Mamadouba Camara"/>
    <s v="Riz"/>
    <x v="0"/>
    <m/>
    <m/>
    <x v="0"/>
    <m/>
    <m/>
    <m/>
    <m/>
    <m/>
    <m/>
    <m/>
    <x v="17"/>
  </r>
  <r>
    <d v="2023-05-09T12:46:36"/>
    <x v="7"/>
    <s v="Cours du bloc Administratif"/>
    <s v="Collectif"/>
    <s v="Daba KEÏTA"/>
    <n v="624326467"/>
    <m/>
    <s v="Dialakoro"/>
    <n v="105"/>
    <s v="Labour + Pulvérisation"/>
    <n v="50"/>
    <s v="Nerica 19"/>
    <s v="Nerica"/>
    <s v="4 mois"/>
    <d v="2023-05-28T00:00:00"/>
    <s v="Aptes à la mécanisation"/>
    <s v="Nounkè Doumbouya"/>
    <s v="Riz"/>
    <x v="0"/>
    <m/>
    <m/>
    <x v="0"/>
    <m/>
    <m/>
    <m/>
    <m/>
    <m/>
    <m/>
    <m/>
    <x v="17"/>
  </r>
  <r>
    <d v="2023-05-09T12:49:35"/>
    <x v="7"/>
    <s v="Cours du bloc Administratif"/>
    <s v="Collectif"/>
    <s v="Satigui SANGARÉ"/>
    <n v="622781730"/>
    <m/>
    <s v="Dialakoro"/>
    <n v="150"/>
    <s v="Labour + Pulvérisation"/>
    <n v="35"/>
    <s v="Tchokotchoko, nenken"/>
    <s v="Ne connais pas"/>
    <s v="5 mois"/>
    <d v="2023-05-25T00:00:00"/>
    <s v="Aptes pour la mécanisation"/>
    <s v="Nounkè Doumbouya"/>
    <s v="Riz"/>
    <x v="0"/>
    <m/>
    <m/>
    <x v="0"/>
    <m/>
    <m/>
    <m/>
    <m/>
    <m/>
    <m/>
    <m/>
    <x v="17"/>
  </r>
  <r>
    <d v="2023-05-09T12:52:44"/>
    <x v="7"/>
    <s v="Cours du bloc Administratif"/>
    <s v="Collectif"/>
    <s v="Adama SOUMAORO"/>
    <n v="621443479"/>
    <m/>
    <s v="Dialakoro"/>
    <n v="133"/>
    <s v="Labour - uniquement"/>
    <n v="34"/>
    <s v="Ck90, Nerica"/>
    <s v="Nerica"/>
    <s v="5 mois"/>
    <d v="2023-06-02T00:00:00"/>
    <s v="Aptes à la mécanisation"/>
    <s v="Nounkè Doumbouya"/>
    <s v="Riz"/>
    <x v="0"/>
    <m/>
    <m/>
    <x v="0"/>
    <m/>
    <m/>
    <m/>
    <m/>
    <m/>
    <m/>
    <m/>
    <x v="17"/>
  </r>
  <r>
    <d v="2023-05-09T12:55:11"/>
    <x v="7"/>
    <s v="Cours du bloc Administratif"/>
    <s v="Collectif"/>
    <s v="Bourley KEÏTA"/>
    <n v="628676670"/>
    <m/>
    <s v="Dialakoro"/>
    <n v="136"/>
    <s v="Labour + Pulvérisation"/>
    <n v="55"/>
    <s v="Tchokotchoko"/>
    <s v="Ne connais pas"/>
    <s v="5 mois"/>
    <d v="2023-05-31T00:00:00"/>
    <s v="Aptes pour la mécanisation"/>
    <s v="Nounkè Doumbouya"/>
    <s v="Riz"/>
    <x v="0"/>
    <m/>
    <m/>
    <x v="0"/>
    <m/>
    <m/>
    <m/>
    <m/>
    <m/>
    <m/>
    <m/>
    <x v="17"/>
  </r>
  <r>
    <d v="2023-05-09T12:57:48"/>
    <x v="7"/>
    <s v="Cours du bloc Administratif"/>
    <s v="Individuel"/>
    <s v="Nouhan KANTÉ"/>
    <n v="621460025"/>
    <m/>
    <s v="Dialakoro"/>
    <n v="134"/>
    <s v="Labour + Pulvérisation"/>
    <n v="26"/>
    <s v="Dadoumani malo"/>
    <s v="Ne connais pas"/>
    <s v="4 mois"/>
    <d v="2023-06-04T00:00:00"/>
    <s v="Aptes pour la mécanisation"/>
    <s v="Nounkè Doumbouya"/>
    <s v="Riz"/>
    <x v="0"/>
    <m/>
    <m/>
    <x v="0"/>
    <m/>
    <m/>
    <m/>
    <m/>
    <m/>
    <m/>
    <m/>
    <x v="17"/>
  </r>
  <r>
    <d v="2023-05-09T12:59:44"/>
    <x v="13"/>
    <s v="Aviation"/>
    <s v="Individuel"/>
    <s v="Yakouba condé"/>
    <n v="623938171"/>
    <m/>
    <s v="Banfélé"/>
    <n v="150"/>
    <s v="Labour - uniquement"/>
    <n v="15"/>
    <s v="Mettre 6"/>
    <s v="Mettre 6"/>
    <s v="6 mois"/>
    <d v="2023-05-10T00:00:00"/>
    <m/>
    <s v="Mohamed Fanta kourouma"/>
    <s v="Riz"/>
    <x v="1"/>
    <n v="15"/>
    <d v="2023-05-09T00:00:00"/>
    <x v="16"/>
    <s v="6FAH008T"/>
    <m/>
    <m/>
    <m/>
    <m/>
    <m/>
    <m/>
    <x v="17"/>
  </r>
  <r>
    <d v="2023-05-09T13:00:32"/>
    <x v="7"/>
    <s v="Cours du bloc Administratif"/>
    <s v="Collectif"/>
    <s v="Yaya Keïta"/>
    <n v="626679485"/>
    <m/>
    <s v="Dialakoro"/>
    <n v="143"/>
    <s v="Labour + Pulvérisation"/>
    <n v="115"/>
    <s v="52, nenken, Nerica"/>
    <s v="Nerica"/>
    <s v="5 mois"/>
    <d v="2023-05-26T00:00:00"/>
    <s v="Aptes pour la mécanisation"/>
    <s v="Nounkè Doumbouya"/>
    <s v="Riz"/>
    <x v="0"/>
    <m/>
    <m/>
    <x v="0"/>
    <m/>
    <m/>
    <m/>
    <m/>
    <m/>
    <m/>
    <m/>
    <x v="17"/>
  </r>
  <r>
    <d v="2023-05-09T13:08:44"/>
    <x v="19"/>
    <s v="Maneah"/>
    <s v="Individuel"/>
    <s v="Abdoulaye Soumah"/>
    <n v="657812838"/>
    <m/>
    <s v="Kouriya"/>
    <n v="19"/>
    <s v="Labour - uniquement"/>
    <n v="1"/>
    <s v="Seydoua"/>
    <s v="Oriza sativa"/>
    <s v="4 mois"/>
    <d v="2023-05-15T00:00:00"/>
    <m/>
    <s v="Ousmane Tangaly Balde"/>
    <s v="Riz"/>
    <x v="1"/>
    <n v="2"/>
    <d v="2023-05-09T00:00:00"/>
    <x v="16"/>
    <s v="2CAH001T"/>
    <m/>
    <m/>
    <m/>
    <m/>
    <m/>
    <m/>
    <x v="17"/>
  </r>
  <r>
    <d v="2023-05-09T13:14:38"/>
    <x v="7"/>
    <s v="Cours du bloc Administratif"/>
    <s v="Collectif"/>
    <s v="Daouda KOULIBALY"/>
    <n v="622867878"/>
    <m/>
    <s v="Dialakoro"/>
    <n v="127"/>
    <s v="Labour + Pulvérisation"/>
    <n v="125"/>
    <s v="Sweta, Nerica"/>
    <s v="Nerica"/>
    <s v="5 mois"/>
    <d v="2023-06-15T00:00:00"/>
    <s v="Aptes pour la mécanisation"/>
    <s v="Nounkè Doumbouya"/>
    <s v="Riz"/>
    <x v="0"/>
    <m/>
    <m/>
    <x v="0"/>
    <m/>
    <m/>
    <m/>
    <m/>
    <m/>
    <m/>
    <m/>
    <x v="17"/>
  </r>
  <r>
    <d v="2023-05-09T13:20:52"/>
    <x v="7"/>
    <s v="Cours du bloc Administratif"/>
    <s v="Collectif"/>
    <s v="Amara KOULIBALY"/>
    <n v="620276427"/>
    <m/>
    <s v="Dialakoro"/>
    <n v="129"/>
    <s v="Labour + Pulvérisation"/>
    <n v="155"/>
    <s v="52, nenken, kaolac"/>
    <s v="Ne connais pas"/>
    <s v="5 mois"/>
    <d v="2023-06-02T00:00:00"/>
    <s v="Aptes à la mécanisation"/>
    <s v="Nounkè Doumbouya"/>
    <s v="Riz"/>
    <x v="0"/>
    <m/>
    <m/>
    <x v="0"/>
    <m/>
    <m/>
    <m/>
    <m/>
    <m/>
    <m/>
    <m/>
    <x v="17"/>
  </r>
  <r>
    <d v="2023-05-09T13:27:20"/>
    <x v="7"/>
    <s v="Cours du bloc Administratif"/>
    <s v="Collectif"/>
    <s v="Moussa KOULIBALY"/>
    <n v="622545164"/>
    <m/>
    <s v="Dialakoro"/>
    <n v="121"/>
    <s v="Labour + Pulvérisation"/>
    <n v="170"/>
    <s v="Nerica 19, Nerica 4,nenken"/>
    <s v="Nerica"/>
    <s v="4 mois"/>
    <d v="2023-06-05T00:00:00"/>
    <s v="Aptes pour la mécanisation"/>
    <s v="Nounkè Doumbouya"/>
    <s v="Riz"/>
    <x v="0"/>
    <m/>
    <m/>
    <x v="0"/>
    <m/>
    <m/>
    <m/>
    <m/>
    <m/>
    <m/>
    <m/>
    <x v="17"/>
  </r>
  <r>
    <d v="2023-05-09T13:31:14"/>
    <x v="7"/>
    <s v="Cours du bloc Administratif"/>
    <s v="Collectif"/>
    <s v="Sadan sékou Koulibaly"/>
    <n v="621312399"/>
    <m/>
    <s v="Dialakoro"/>
    <n v="132"/>
    <s v="Labour + Pulvérisation"/>
    <n v="180"/>
    <s v="Tchokotchoko, dadoumani malo"/>
    <s v="Ne connais pas"/>
    <s v="5 mois"/>
    <d v="2023-06-06T00:00:00"/>
    <s v="Aptes pour la mécanisation"/>
    <s v="Nounkè Doumbouya"/>
    <s v="Riz"/>
    <x v="0"/>
    <m/>
    <m/>
    <x v="0"/>
    <m/>
    <m/>
    <m/>
    <m/>
    <m/>
    <m/>
    <m/>
    <x v="17"/>
  </r>
  <r>
    <d v="2023-05-09T13:35:41"/>
    <x v="7"/>
    <s v="Cours du bloc Administratif"/>
    <s v="Collectif"/>
    <s v="Damankodo Moussa KOULIBALY"/>
    <n v="621884029"/>
    <m/>
    <s v="Dialakoro"/>
    <n v="131"/>
    <s v="Labour + Pulvérisation"/>
    <n v="35"/>
    <s v="Dadoumani malo"/>
    <s v="Ne connais pas"/>
    <s v="5 mois"/>
    <d v="2023-06-01T00:00:00"/>
    <s v="Aptes pour la mécanisation"/>
    <s v="Nounkè Doumbouya"/>
    <s v="Riz"/>
    <x v="0"/>
    <m/>
    <m/>
    <x v="0"/>
    <m/>
    <m/>
    <m/>
    <m/>
    <m/>
    <m/>
    <m/>
    <x v="17"/>
  </r>
  <r>
    <d v="2023-05-09T13:38:06"/>
    <x v="7"/>
    <s v="Cours du bloc"/>
    <s v="Collectif"/>
    <s v="Diakaria KOULIBALY"/>
    <n v="621061051"/>
    <m/>
    <s v="Dialakoro"/>
    <n v="125"/>
    <s v="Labour + Pulvérisation"/>
    <n v="30"/>
    <s v="Tchokotchoko"/>
    <s v="Ne connais pas"/>
    <s v="5 mois"/>
    <d v="2023-06-08T00:00:00"/>
    <s v="Aptes à la mécanisation"/>
    <s v="Nounkè Doumbouya"/>
    <s v="Riz"/>
    <x v="0"/>
    <m/>
    <m/>
    <x v="0"/>
    <m/>
    <m/>
    <m/>
    <m/>
    <m/>
    <m/>
    <m/>
    <x v="17"/>
  </r>
  <r>
    <d v="2023-05-09T13:40:34"/>
    <x v="7"/>
    <s v="Cours du bloc Administratif"/>
    <s v="Collectif"/>
    <s v="Mory DOUMBOUYA"/>
    <n v="621334678"/>
    <m/>
    <s v="Dialakoro"/>
    <n v="120"/>
    <s v="Labour + Pulvérisation"/>
    <n v="36"/>
    <s v="Sweta , Nerica 19"/>
    <s v="Nerica"/>
    <s v="5 mois"/>
    <d v="2023-06-08T00:00:00"/>
    <s v="Aptes à la mécanisation"/>
    <s v="Nounkè Doumbouya"/>
    <s v="Riz"/>
    <x v="0"/>
    <m/>
    <m/>
    <x v="0"/>
    <m/>
    <m/>
    <m/>
    <m/>
    <m/>
    <m/>
    <m/>
    <x v="17"/>
  </r>
  <r>
    <d v="2023-05-09T14:51:34"/>
    <x v="20"/>
    <s v="Kindia"/>
    <s v="Individuel"/>
    <s v="BARRY Amafou Saikou"/>
    <n v="622170163"/>
    <m/>
    <s v="Kindia Centre"/>
    <n v="45"/>
    <s v="Labour - uniquement"/>
    <n v="10"/>
    <s v="CK 90"/>
    <s v="CK"/>
    <s v="5 mois"/>
    <d v="2023-05-12T00:00:00"/>
    <s v="Faisable"/>
    <s v="Boubacar Gueme Bah"/>
    <s v="Riz"/>
    <x v="1"/>
    <n v="10"/>
    <d v="2023-05-15T00:00:00"/>
    <x v="4"/>
    <s v="2KIA003T"/>
    <m/>
    <m/>
    <m/>
    <m/>
    <m/>
    <m/>
    <x v="17"/>
  </r>
  <r>
    <d v="2023-05-09T14:59:05"/>
    <x v="20"/>
    <s v="Kindia"/>
    <s v="Individuel"/>
    <s v="SYLLS Mamadouba"/>
    <n v="625096080"/>
    <m/>
    <s v="Lynsan"/>
    <n v="107"/>
    <s v="Labour - uniquement"/>
    <n v="50"/>
    <s v="COYADY ,SEYDOUBA"/>
    <s v="RIEN"/>
    <s v="5 mois"/>
    <d v="2023-05-12T00:00:00"/>
    <s v="Realisable"/>
    <s v="Boubacar Gueme Bah"/>
    <s v="Riz"/>
    <x v="0"/>
    <m/>
    <m/>
    <x v="19"/>
    <m/>
    <m/>
    <m/>
    <m/>
    <m/>
    <m/>
    <m/>
    <x v="17"/>
  </r>
  <r>
    <d v="2023-05-09T15:01:36"/>
    <x v="12"/>
    <s v="Ouassou"/>
    <s v="Individuel"/>
    <s v="Hinla fofana"/>
    <n v="622653438"/>
    <n v="622653438"/>
    <s v="Koba-Tatema"/>
    <n v="6"/>
    <s v="Labour - uniquement"/>
    <n v="1"/>
    <s v="Massaraka"/>
    <s v="Nereka"/>
    <s v="6 mois"/>
    <d v="2023-05-09T00:00:00"/>
    <s v="Accord"/>
    <s v="Kissi Camara"/>
    <s v="Riz"/>
    <x v="1"/>
    <n v="1"/>
    <d v="2023-05-09T00:00:00"/>
    <x v="16"/>
    <s v="2DKA001T"/>
    <m/>
    <m/>
    <m/>
    <m/>
    <m/>
    <m/>
    <x v="17"/>
  </r>
  <r>
    <d v="2023-05-09T15:04:54"/>
    <x v="20"/>
    <s v="Kindia"/>
    <s v="Individuel"/>
    <s v="SYLLA ABOUBACAR"/>
    <n v="620034122"/>
    <m/>
    <s v="Lynsan"/>
    <n v="107"/>
    <s v="Labour - uniquement"/>
    <n v="15"/>
    <s v="Kawlaka ,Coyady"/>
    <s v="Sans"/>
    <s v="5 mois"/>
    <d v="2023-05-13T00:00:00"/>
    <s v="Faisable"/>
    <s v="Boubacar Gueme Bah"/>
    <s v="Riz"/>
    <x v="0"/>
    <m/>
    <m/>
    <x v="19"/>
    <m/>
    <m/>
    <m/>
    <m/>
    <m/>
    <m/>
    <m/>
    <x v="17"/>
  </r>
  <r>
    <d v="2023-05-09T15:06:06"/>
    <x v="12"/>
    <s v="Ouassou"/>
    <s v="Individuel"/>
    <s v="Abdoulaye camara"/>
    <n v="625365311"/>
    <n v="625365311"/>
    <s v="Koba-Tatema"/>
    <n v="6"/>
    <s v="Labour - uniquement"/>
    <n v="1"/>
    <s v="Massaraka"/>
    <s v="Nereka"/>
    <s v="6 mois"/>
    <d v="2023-05-09T00:00:00"/>
    <s v="Accord"/>
    <s v="Kissi Camara"/>
    <s v="Riz"/>
    <x v="1"/>
    <n v="1"/>
    <d v="2023-05-09T00:00:00"/>
    <x v="16"/>
    <s v="2DKA001T"/>
    <m/>
    <m/>
    <m/>
    <m/>
    <m/>
    <m/>
    <x v="17"/>
  </r>
  <r>
    <d v="2023-05-09T16:22:03"/>
    <x v="16"/>
    <s v="Foundeng 1"/>
    <s v="Individuel"/>
    <s v="Alpha moussa Barry"/>
    <n v="622628642"/>
    <m/>
    <s v="N'Dema"/>
    <n v="39"/>
    <s v="Labour - uniquement"/>
    <n v="3"/>
    <s v="Kaniye"/>
    <s v="Kaniye"/>
    <s v="4 mois"/>
    <d v="2023-05-20T00:00:00"/>
    <m/>
    <s v="Souleymane Kanté"/>
    <s v="Riz"/>
    <x v="0"/>
    <m/>
    <m/>
    <x v="0"/>
    <m/>
    <m/>
    <m/>
    <m/>
    <m/>
    <m/>
    <m/>
    <x v="17"/>
  </r>
  <r>
    <d v="2023-05-09T16:25:04"/>
    <x v="16"/>
    <s v="Foundeng 1"/>
    <s v="Collectif"/>
    <s v="Association diabakaniani"/>
    <n v="622628642"/>
    <n v="628402018"/>
    <s v="N'Dema"/>
    <n v="40"/>
    <s v="Labour + Pulvérisation"/>
    <n v="55"/>
    <s v="Ck21"/>
    <s v="Ck21"/>
    <s v="4 mois"/>
    <d v="2023-05-26T00:00:00"/>
    <m/>
    <s v="Souleymane Kanté"/>
    <s v="Riz"/>
    <x v="0"/>
    <m/>
    <m/>
    <x v="0"/>
    <m/>
    <m/>
    <m/>
    <m/>
    <m/>
    <m/>
    <m/>
    <x v="17"/>
  </r>
  <r>
    <d v="2023-05-09T17:38:17"/>
    <x v="20"/>
    <s v="Kindia"/>
    <s v="Individuel"/>
    <s v="Mohamed Laye Toure"/>
    <n v="621786876"/>
    <m/>
    <s v="Madina Oula"/>
    <n v="80"/>
    <s v="Labour - uniquement"/>
    <n v="20"/>
    <s v="CK 801"/>
    <s v="CK"/>
    <s v="4 mois"/>
    <d v="2023-05-13T00:00:00"/>
    <s v="Possible"/>
    <s v="Boubacar Gueme Bah"/>
    <s v="Riz"/>
    <x v="0"/>
    <m/>
    <m/>
    <x v="19"/>
    <m/>
    <m/>
    <m/>
    <m/>
    <m/>
    <m/>
    <m/>
    <x v="17"/>
  </r>
  <r>
    <d v="2023-05-09T17:56:54"/>
    <x v="6"/>
    <s v="Dinguiraye centre"/>
    <s v="Individuel"/>
    <s v="Fatoumata Barry"/>
    <n v="625038926"/>
    <m/>
    <s v="Kalinko"/>
    <n v="75"/>
    <s v="Labour + Pulvérisation"/>
    <n v="2"/>
    <s v="Dissi"/>
    <s v="Dissi"/>
    <s v="4 mois"/>
    <d v="2023-05-14T00:00:00"/>
    <m/>
    <s v="Mamadou 1 Diallo"/>
    <s v="Riz"/>
    <x v="1"/>
    <n v="2"/>
    <d v="2023-05-12T00:00:00"/>
    <x v="16"/>
    <s v="6DYE002T"/>
    <m/>
    <m/>
    <m/>
    <m/>
    <m/>
    <m/>
    <x v="17"/>
  </r>
  <r>
    <d v="2023-05-09T17:59:57"/>
    <x v="6"/>
    <s v="Dinguiraye centre"/>
    <s v="Individuel"/>
    <s v="Bagou bah"/>
    <n v="624388239"/>
    <m/>
    <s v="Kalinko"/>
    <n v="75"/>
    <s v="Labour + Pulvérisation"/>
    <n v="2"/>
    <s v="Dôgôssari"/>
    <s v="Dôgôssari"/>
    <s v="4 mois"/>
    <d v="2023-05-14T00:00:00"/>
    <m/>
    <s v="Mamadou 1 Diallo"/>
    <s v="Riz"/>
    <x v="0"/>
    <m/>
    <m/>
    <x v="19"/>
    <m/>
    <m/>
    <m/>
    <m/>
    <m/>
    <m/>
    <m/>
    <x v="17"/>
  </r>
  <r>
    <d v="2023-05-09T18:02:20"/>
    <x v="6"/>
    <s v="Dinguiraye centre"/>
    <s v="Individuel"/>
    <s v="Moussa sanoh"/>
    <n v="622264337"/>
    <m/>
    <s v="Kalinko"/>
    <n v="75"/>
    <s v="Labour - uniquement"/>
    <n v="10"/>
    <s v="Chinoise"/>
    <s v="Chinoise"/>
    <s v="3 mois"/>
    <d v="2023-05-30T00:00:00"/>
    <m/>
    <s v="Mamadou 1 Diallo"/>
    <s v="Riz"/>
    <x v="0"/>
    <m/>
    <m/>
    <x v="19"/>
    <m/>
    <m/>
    <m/>
    <m/>
    <m/>
    <m/>
    <m/>
    <x v="17"/>
  </r>
  <r>
    <d v="2023-05-09T18:05:00"/>
    <x v="6"/>
    <s v="Dinguiraye centre"/>
    <s v="Individuel"/>
    <s v="Kaïra savané"/>
    <n v="624388239"/>
    <m/>
    <s v="Kalinko"/>
    <n v="76"/>
    <s v="Labour + Pulvérisation"/>
    <n v="2"/>
    <s v="Dissiba-oulén"/>
    <s v="Dissiba-oulén"/>
    <s v="4 mois"/>
    <d v="2023-05-25T00:00:00"/>
    <m/>
    <s v="Mamadou 1 Diallo"/>
    <s v="Riz"/>
    <x v="0"/>
    <m/>
    <m/>
    <x v="19"/>
    <m/>
    <m/>
    <m/>
    <m/>
    <m/>
    <m/>
    <m/>
    <x v="17"/>
  </r>
  <r>
    <d v="2023-05-09T18:21:44"/>
    <x v="6"/>
    <s v="Dinguiraye centre"/>
    <s v="Individuel"/>
    <s v="Lansana tounkara"/>
    <n v="622352567"/>
    <m/>
    <s v="Kalinko"/>
    <n v="75"/>
    <s v="Labour - uniquement"/>
    <n v="2"/>
    <s v="Dissiba-oulén"/>
    <s v="Dissiba-oulén"/>
    <s v="4 mois"/>
    <d v="2023-05-30T00:00:00"/>
    <m/>
    <s v="Mamadou 1 Diallo"/>
    <s v="Riz"/>
    <x v="1"/>
    <n v="2"/>
    <d v="2023-05-12T00:00:00"/>
    <x v="16"/>
    <s v="6DYE002T"/>
    <m/>
    <m/>
    <m/>
    <m/>
    <m/>
    <m/>
    <x v="17"/>
  </r>
  <r>
    <d v="2023-05-09T18:27:29"/>
    <x v="6"/>
    <s v="Dinguiraye"/>
    <s v="Individuel"/>
    <s v="Hadja siré tounkara"/>
    <n v="628554760"/>
    <m/>
    <s v="Kalinko"/>
    <n v="75"/>
    <s v="Labour + Pulvérisation"/>
    <n v="2"/>
    <s v="Chinoise"/>
    <s v="Chinoise"/>
    <s v="3 mois"/>
    <d v="2023-06-05T00:00:00"/>
    <m/>
    <s v="Mamadou 1 Diallo"/>
    <s v="Riz"/>
    <x v="1"/>
    <n v="2"/>
    <d v="2023-05-12T00:00:00"/>
    <x v="16"/>
    <s v="6DYE002T"/>
    <m/>
    <m/>
    <m/>
    <m/>
    <m/>
    <m/>
    <x v="17"/>
  </r>
  <r>
    <d v="2023-05-09T18:29:11"/>
    <x v="6"/>
    <s v="Dinguiraye centre"/>
    <s v="Individuel"/>
    <s v="Yaya tounkara"/>
    <n v="628280317"/>
    <m/>
    <s v="Kalinko"/>
    <n v="75"/>
    <s v="Labour + Pulvérisation"/>
    <n v="2"/>
    <s v="Dôgôssari"/>
    <s v="Dôgôssari"/>
    <s v="4 mois"/>
    <d v="2023-06-01T00:00:00"/>
    <m/>
    <s v="Mamadou 1 Diallo"/>
    <s v="Riz"/>
    <x v="0"/>
    <m/>
    <m/>
    <x v="19"/>
    <m/>
    <m/>
    <m/>
    <m/>
    <m/>
    <m/>
    <m/>
    <x v="17"/>
  </r>
  <r>
    <d v="2023-05-09T18:31:05"/>
    <x v="6"/>
    <s v="Dinguiraye centre"/>
    <s v="Individuel"/>
    <s v="Mamadou bouba tounkara"/>
    <n v="622996796"/>
    <m/>
    <s v="Kalinko"/>
    <n v="76"/>
    <s v="Labour + Pulvérisation"/>
    <n v="2"/>
    <s v="Dissiba-oulén"/>
    <s v="Dissiba-oulén"/>
    <s v="4 mois"/>
    <d v="2023-05-25T00:00:00"/>
    <m/>
    <s v="Mamadou 1 Diallo"/>
    <s v="Riz"/>
    <x v="0"/>
    <m/>
    <m/>
    <x v="19"/>
    <m/>
    <m/>
    <m/>
    <m/>
    <m/>
    <m/>
    <m/>
    <x v="17"/>
  </r>
  <r>
    <d v="2023-05-09T18:33:48"/>
    <x v="6"/>
    <s v="Dinguiraye centre"/>
    <s v="Individuel"/>
    <s v="Fodé Mamoudou tounkara"/>
    <n v="622552182"/>
    <m/>
    <s v="Kalinko"/>
    <n v="75"/>
    <s v="Labour + Pulvérisation"/>
    <n v="2"/>
    <s v="Dôgôssari"/>
    <s v="Dôgôssari"/>
    <s v="4 mois"/>
    <d v="2023-06-10T00:00:00"/>
    <m/>
    <s v="Mamadou 1 Diallo"/>
    <s v="Riz"/>
    <x v="0"/>
    <m/>
    <m/>
    <x v="19"/>
    <m/>
    <m/>
    <m/>
    <m/>
    <m/>
    <m/>
    <m/>
    <x v="17"/>
  </r>
  <r>
    <d v="2023-05-09T18:36:05"/>
    <x v="6"/>
    <s v="Dinguiraye centre"/>
    <s v="Individuel"/>
    <s v="Laye Babila Fofana"/>
    <n v="625038926"/>
    <m/>
    <s v="Kalinko"/>
    <n v="75"/>
    <s v="Labour + Pulvérisation"/>
    <n v="2"/>
    <s v="Dissiba-oulén"/>
    <s v="Dissiba-oulén"/>
    <s v="4 mois"/>
    <d v="2023-05-20T00:00:00"/>
    <m/>
    <s v="Mamadou 1 Diallo"/>
    <s v="Riz"/>
    <x v="1"/>
    <n v="2"/>
    <d v="2023-05-12T00:00:00"/>
    <x v="16"/>
    <s v="6DYE002T"/>
    <m/>
    <m/>
    <m/>
    <m/>
    <m/>
    <m/>
    <x v="17"/>
  </r>
  <r>
    <d v="2023-05-10T08:19:41"/>
    <x v="14"/>
    <s v="Koba"/>
    <s v="Individuel"/>
    <s v="Aboubacar Mbady soumah"/>
    <n v="628279428"/>
    <m/>
    <s v="Koba-Tatema"/>
    <n v="5"/>
    <s v="Labour - uniquement"/>
    <n v="3"/>
    <s v="Massarka"/>
    <s v="J'ignore"/>
    <s v="5 mois"/>
    <d v="2023-05-15T00:00:00"/>
    <s v="Man"/>
    <s v="Alya Foulématou Camara"/>
    <s v="Riz"/>
    <x v="0"/>
    <m/>
    <m/>
    <x v="19"/>
    <m/>
    <m/>
    <m/>
    <m/>
    <m/>
    <m/>
    <m/>
    <x v="17"/>
  </r>
  <r>
    <d v="2023-05-10T08:23:16"/>
    <x v="14"/>
    <s v="Koba"/>
    <s v="Individuel"/>
    <s v="Elhadj Mbemba camara"/>
    <n v="622422397"/>
    <m/>
    <s v="Koba-Tatema"/>
    <n v="5"/>
    <s v="Labour - uniquement"/>
    <n v="4"/>
    <s v="Massarka"/>
    <s v="J'ignore"/>
    <s v="5 mois"/>
    <d v="2023-05-16T00:00:00"/>
    <s v="Manque criard de tracteur"/>
    <s v="Alya Foulématou Camara"/>
    <s v="Riz"/>
    <x v="0"/>
    <m/>
    <m/>
    <x v="19"/>
    <m/>
    <m/>
    <m/>
    <m/>
    <m/>
    <m/>
    <m/>
    <x v="17"/>
  </r>
  <r>
    <d v="2023-05-10T08:33:50"/>
    <x v="14"/>
    <s v="Koba"/>
    <s v="Individuel"/>
    <s v="Fodé Touré"/>
    <n v="628974211"/>
    <m/>
    <s v="Koba-Tatema"/>
    <n v="5"/>
    <s v="Labour - uniquement"/>
    <n v="2"/>
    <s v="J"/>
    <s v="J'ignore"/>
    <s v="5 mois"/>
    <d v="2023-05-17T00:00:00"/>
    <s v="Manque criand de tracteur"/>
    <s v="Alya Foulématou Camara"/>
    <s v="Riz"/>
    <x v="0"/>
    <m/>
    <m/>
    <x v="19"/>
    <m/>
    <m/>
    <m/>
    <m/>
    <m/>
    <m/>
    <m/>
    <x v="17"/>
  </r>
  <r>
    <d v="2023-05-10T08:40:58"/>
    <x v="14"/>
    <s v="Koba"/>
    <s v="Individuel"/>
    <s v="Mohamed Sylla"/>
    <n v="622371182"/>
    <m/>
    <s v="Koba-Tatema"/>
    <n v="5"/>
    <s v="Labour - uniquement"/>
    <n v="2"/>
    <s v="Mbapeya"/>
    <s v="J'ignore"/>
    <s v="5 mois"/>
    <d v="2023-05-17T00:00:00"/>
    <s v="Manque criard de tracteur"/>
    <s v="Alya Foulématou Camara"/>
    <s v="Riz"/>
    <x v="0"/>
    <m/>
    <m/>
    <x v="19"/>
    <m/>
    <m/>
    <m/>
    <m/>
    <m/>
    <m/>
    <m/>
    <x v="17"/>
  </r>
  <r>
    <d v="2023-05-10T09:12:08"/>
    <x v="14"/>
    <s v="Koba"/>
    <s v="Individuel"/>
    <s v="Ousmane valdo"/>
    <n v="628351479"/>
    <m/>
    <s v="Koba-Tatema"/>
    <n v="5"/>
    <s v="Labour - uniquement"/>
    <n v="2"/>
    <s v="Mbapeya"/>
    <s v="J'ignore"/>
    <s v="5 mois"/>
    <d v="2023-05-17T00:00:00"/>
    <s v="Manque criard de tracteur"/>
    <s v="Alya Foulématou Camara"/>
    <s v="Riz"/>
    <x v="0"/>
    <m/>
    <m/>
    <x v="19"/>
    <m/>
    <m/>
    <m/>
    <m/>
    <m/>
    <m/>
    <m/>
    <x v="17"/>
  </r>
  <r>
    <d v="2023-05-10T09:15:20"/>
    <x v="14"/>
    <s v="Koba"/>
    <s v="Individuel"/>
    <s v="Mohamed Lato Bangoura"/>
    <n v="622419368"/>
    <m/>
    <s v="Koba-Tatema"/>
    <n v="5"/>
    <s v="Labour - uniquement"/>
    <n v="2"/>
    <s v="Massarka"/>
    <s v="J'ignore"/>
    <s v="5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18:24"/>
    <x v="14"/>
    <s v="Koba"/>
    <s v="Individuel"/>
    <s v="Abdoulaye Fidel camara"/>
    <n v="625365311"/>
    <m/>
    <s v="Koba-Tatema"/>
    <n v="5"/>
    <s v="Labour - uniquement"/>
    <n v="2"/>
    <s v="Massarka"/>
    <s v="J'ignore"/>
    <s v="5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21:11"/>
    <x v="14"/>
    <s v="Koba"/>
    <s v="Individuel"/>
    <s v="Alia rivé Touré"/>
    <n v="627602895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24:12"/>
    <x v="14"/>
    <s v="Koba"/>
    <s v="Individuel"/>
    <s v="Alia 2 Touré"/>
    <n v="628156202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35:32"/>
    <x v="14"/>
    <s v="Koba"/>
    <s v="Individuel"/>
    <s v="Mohamed camara"/>
    <n v="628459401"/>
    <m/>
    <s v="Koba-Tatema"/>
    <n v="5"/>
    <s v="Labour - uniquement"/>
    <n v="1"/>
    <s v="Mbapeya"/>
    <s v="J'ignore"/>
    <s v="5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39:10"/>
    <x v="18"/>
    <s v="Wassabada"/>
    <s v="Individuel"/>
    <s v="Karamo solo Touré"/>
    <n v="622749500"/>
    <m/>
    <s v="Kouroussa Centre"/>
    <n v="8"/>
    <s v="Labour - uniquement"/>
    <n v="5"/>
    <s v="Bagnain"/>
    <s v="Bagnain"/>
    <s v="4 mois"/>
    <d v="2023-05-15T00:00:00"/>
    <m/>
    <s v="Ibrahima Kalil Fofana"/>
    <s v="Riz"/>
    <x v="0"/>
    <m/>
    <m/>
    <x v="19"/>
    <m/>
    <m/>
    <m/>
    <m/>
    <m/>
    <m/>
    <m/>
    <x v="17"/>
  </r>
  <r>
    <d v="2023-05-10T09:45:15"/>
    <x v="18"/>
    <s v="Wassabada"/>
    <s v="Individuel"/>
    <s v="Sangban kourouma"/>
    <n v="628340342"/>
    <m/>
    <s v="Kouroussa Centre"/>
    <n v="12"/>
    <s v="Labour - uniquement"/>
    <n v="15"/>
    <s v="Bagnain"/>
    <s v="Bagnain"/>
    <s v="4 mois"/>
    <d v="2023-05-25T00:00:00"/>
    <m/>
    <s v="Ibrahima Kalil Fofana"/>
    <s v="Riz"/>
    <x v="0"/>
    <m/>
    <m/>
    <x v="19"/>
    <m/>
    <m/>
    <m/>
    <m/>
    <m/>
    <m/>
    <m/>
    <x v="17"/>
  </r>
  <r>
    <d v="2023-05-10T09:50:07"/>
    <x v="18"/>
    <s v="Wassabada"/>
    <s v="Individuel"/>
    <s v="Sangban kourouma"/>
    <n v="628340342"/>
    <m/>
    <s v="Kouroussa Centre"/>
    <n v="13"/>
    <s v="Labour - uniquement"/>
    <n v="5"/>
    <s v="Dissigbè"/>
    <s v="Dissigbè"/>
    <s v="4 mois"/>
    <d v="2023-05-25T00:00:00"/>
    <m/>
    <s v="Ibrahima Kalil Fofana"/>
    <s v="Riz"/>
    <x v="0"/>
    <m/>
    <m/>
    <x v="19"/>
    <m/>
    <m/>
    <m/>
    <m/>
    <m/>
    <m/>
    <m/>
    <x v="17"/>
  </r>
  <r>
    <d v="2023-05-10T09:53:27"/>
    <x v="14"/>
    <s v="Koba"/>
    <s v="Individuel"/>
    <s v="Facinet Bangoura"/>
    <n v="624824992"/>
    <m/>
    <s v="Koba-Tatema"/>
    <n v="5"/>
    <s v="Labour - uniquement"/>
    <n v="1"/>
    <s v="Massarka"/>
    <s v="J'ignore"/>
    <s v="6 mois"/>
    <d v="2023-05-18T00:00:00"/>
    <s v="Manque criard de tracteur"/>
    <s v="Alya Foulématou Camara"/>
    <s v="Riz"/>
    <x v="0"/>
    <m/>
    <m/>
    <x v="19"/>
    <m/>
    <m/>
    <m/>
    <m/>
    <m/>
    <m/>
    <m/>
    <x v="17"/>
  </r>
  <r>
    <d v="2023-05-10T09:53:37"/>
    <x v="18"/>
    <s v="Wassabada"/>
    <s v="Individuel"/>
    <s v="Lanciné Camara"/>
    <n v="622105843"/>
    <m/>
    <s v="Kouroussa Centre"/>
    <n v="26"/>
    <s v="Labour - uniquement"/>
    <n v="3"/>
    <s v="Bagnain"/>
    <s v="Bagnain"/>
    <s v="4 mois"/>
    <d v="2023-05-25T00:00:00"/>
    <m/>
    <s v="Ibrahima Kalil Fofana"/>
    <s v="Riz"/>
    <x v="0"/>
    <m/>
    <m/>
    <x v="19"/>
    <m/>
    <m/>
    <m/>
    <m/>
    <m/>
    <m/>
    <m/>
    <x v="17"/>
  </r>
  <r>
    <d v="2023-05-10T09:57:31"/>
    <x v="18"/>
    <s v="Wassabada"/>
    <s v="Individuel"/>
    <s v="Lanciné Camara"/>
    <n v="622105843"/>
    <m/>
    <s v="Kouroussa Centre"/>
    <n v="26"/>
    <s v="Labour - uniquement"/>
    <n v="3"/>
    <s v="Soïta"/>
    <s v="Soïta"/>
    <s v="4 mois"/>
    <d v="2023-05-25T00:00:00"/>
    <m/>
    <s v="Ibrahima Kalil Fofana"/>
    <s v="Riz"/>
    <x v="0"/>
    <m/>
    <m/>
    <x v="19"/>
    <m/>
    <m/>
    <m/>
    <m/>
    <m/>
    <m/>
    <m/>
    <x v="17"/>
  </r>
  <r>
    <d v="2023-05-10T10:01:33"/>
    <x v="18"/>
    <s v="Wassabada"/>
    <s v="Individuel"/>
    <s v="Mory Camara"/>
    <n v="622041514"/>
    <m/>
    <s v="Sanguiana"/>
    <n v="36"/>
    <s v="Labour - uniquement"/>
    <n v="50"/>
    <s v="Bagnain"/>
    <s v="Bagnain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04:33"/>
    <x v="18"/>
    <s v="Wassabada"/>
    <s v="Individuel"/>
    <s v="Nounkè Keita"/>
    <n v="620320360"/>
    <m/>
    <s v="Kouroussa Centre"/>
    <n v="12"/>
    <s v="Labour - uniquement"/>
    <n v="2"/>
    <s v="Bagnain"/>
    <s v="Bagnain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09:34"/>
    <x v="14"/>
    <s v="Koba"/>
    <s v="Individuel"/>
    <s v="Amara soumah"/>
    <n v="628459401"/>
    <m/>
    <s v="Koba-Tatema"/>
    <n v="5"/>
    <s v="Labour - uniquement"/>
    <n v="2"/>
    <s v="J'ignore"/>
    <s v="Cc15"/>
    <s v="6 mois"/>
    <d v="2023-05-19T00:00:00"/>
    <s v="Manque criard de tracteur"/>
    <s v="Alya Foulématou Camara"/>
    <s v="Riz"/>
    <x v="0"/>
    <m/>
    <m/>
    <x v="19"/>
    <m/>
    <m/>
    <m/>
    <m/>
    <m/>
    <m/>
    <m/>
    <x v="17"/>
  </r>
  <r>
    <d v="2023-05-10T10:13:54"/>
    <x v="18"/>
    <s v="Wassabada"/>
    <s v="Individuel"/>
    <s v="Kanada Keita"/>
    <n v="626604454"/>
    <m/>
    <s v="Kouroussa Centre"/>
    <n v="30"/>
    <s v="Labour - uniquement"/>
    <n v="6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18:21"/>
    <x v="18"/>
    <s v="Wassabada"/>
    <s v="Individuel"/>
    <s v="Namory Keita"/>
    <n v="610615821"/>
    <m/>
    <s v="Kouroussa Centre"/>
    <n v="30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22:46"/>
    <x v="18"/>
    <s v="Wassabada"/>
    <s v="Individuel"/>
    <s v="Bakary Keita"/>
    <n v="625847859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25:48"/>
    <x v="18"/>
    <s v="Wassabada"/>
    <s v="Individuel"/>
    <s v="Namory Keita"/>
    <n v="610634209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30:18"/>
    <x v="18"/>
    <s v="Wassabada"/>
    <s v="Individuel"/>
    <s v="Souleymane Keita"/>
    <n v="623414298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33:17"/>
    <x v="18"/>
    <s v="Wassabada"/>
    <s v="Individuel"/>
    <s v="Billy Keita"/>
    <n v="628654786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34:26"/>
    <x v="9"/>
    <s v="Forécariah"/>
    <s v="Individuel"/>
    <s v="Abdoul gadri Diallo"/>
    <n v="628387755"/>
    <m/>
    <s v="Moussaya"/>
    <n v="52"/>
    <s v="Labour - uniquement"/>
    <n v="3"/>
    <s v="Ck-90"/>
    <s v="Ck-90"/>
    <s v="5 mois"/>
    <d v="2023-05-12T00:00:00"/>
    <m/>
    <s v="Diamouré keita"/>
    <s v="Riz"/>
    <x v="1"/>
    <n v="3"/>
    <d v="2023-05-12T00:00:00"/>
    <x v="16"/>
    <s v="2FAH004T"/>
    <m/>
    <m/>
    <m/>
    <m/>
    <m/>
    <m/>
    <x v="17"/>
  </r>
  <r>
    <d v="2023-05-10T10:36:02"/>
    <x v="18"/>
    <s v="Wassabada"/>
    <s v="Individuel"/>
    <s v="Kanada Keita"/>
    <n v="626040737"/>
    <m/>
    <s v="Kouroussa Centre"/>
    <n v="30"/>
    <s v="Labour - uniquement"/>
    <n v="4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39:12"/>
    <x v="18"/>
    <s v="Wassabada"/>
    <s v="Individuel"/>
    <s v="Kondjan Keita"/>
    <n v="620540981"/>
    <m/>
    <s v="Kouroussa Centre"/>
    <n v="30"/>
    <s v="Labour - uniquement"/>
    <n v="4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41:26"/>
    <x v="18"/>
    <s v="Wassabada"/>
    <s v="Individuel"/>
    <s v="Sorry Keita"/>
    <n v="622311889"/>
    <m/>
    <s v="Kouroussa Centre"/>
    <n v="30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44:27"/>
    <x v="18"/>
    <s v="Wassabada"/>
    <s v="Individuel"/>
    <s v="Salou kourouma"/>
    <n v="622329862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47:10"/>
    <x v="18"/>
    <s v="Wassabada"/>
    <s v="Individuel"/>
    <s v="Youssouf Keita"/>
    <n v="620306311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49:58"/>
    <x v="18"/>
    <s v="Wassabada"/>
    <s v="Individuel"/>
    <s v="Ansoumane Keita"/>
    <n v="622499053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53:34"/>
    <x v="18"/>
    <s v="Wassabada"/>
    <s v="Individuel"/>
    <s v="Kaman Keita"/>
    <n v="620020898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0:56:24"/>
    <x v="18"/>
    <s v="Wassabada"/>
    <s v="Individuel"/>
    <s v="Lanciné Keita"/>
    <n v="625773000"/>
    <m/>
    <s v="Kouroussa Centre"/>
    <n v="30"/>
    <s v="Labour - uniquement"/>
    <n v="5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1:00:05"/>
    <x v="18"/>
    <s v="Wassabada"/>
    <s v="Individuel"/>
    <s v="Doubany Keita"/>
    <n v="629400267"/>
    <m/>
    <s v="Kouroussa Centre"/>
    <n v="30"/>
    <s v="Labour - uniquement"/>
    <n v="2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1:03:01"/>
    <x v="18"/>
    <s v="Wassabada"/>
    <s v="Individuel"/>
    <s v="Sékou Keita"/>
    <n v="623300623"/>
    <m/>
    <s v="Kouroussa Centre"/>
    <n v="35"/>
    <s v="Labour - uniquement"/>
    <n v="3"/>
    <s v="Djoukèmè"/>
    <s v="Djoukèmè"/>
    <s v="4 mois"/>
    <d v="2023-05-20T00:00:00"/>
    <m/>
    <s v="Ibrahima Kalil Fofana"/>
    <s v="Riz"/>
    <x v="0"/>
    <m/>
    <m/>
    <x v="19"/>
    <m/>
    <m/>
    <m/>
    <m/>
    <m/>
    <m/>
    <m/>
    <x v="17"/>
  </r>
  <r>
    <d v="2023-05-10T11:20:11"/>
    <x v="10"/>
    <s v="Commune urbaine"/>
    <s v="Individuel"/>
    <s v="Agrisamo SARL"/>
    <n v="625411748"/>
    <n v="625411748"/>
    <s v="Gbangbadou"/>
    <n v="18"/>
    <s v="Labour - uniquement"/>
    <n v="10"/>
    <s v="Ameliorer"/>
    <s v="Ameliorer"/>
    <s v="4 mois"/>
    <d v="2023-05-12T00:00:00"/>
    <s v="Korabo"/>
    <s v="Mamady 2 Camara"/>
    <s v="Maïs"/>
    <x v="1"/>
    <n v="10"/>
    <d v="2023-05-10T00:00:00"/>
    <x v="16"/>
    <s v="6KOU002T"/>
    <m/>
    <m/>
    <m/>
    <m/>
    <m/>
    <m/>
    <x v="17"/>
  </r>
  <r>
    <d v="2023-05-10T11:31:31"/>
    <x v="10"/>
    <s v="Commune urbaine"/>
    <s v="Individuel"/>
    <s v="Elhadji Mohamed Bérété"/>
    <n v="622653855"/>
    <n v="622653855"/>
    <s v="Sangardo"/>
    <n v="25"/>
    <s v="Labour - uniquement"/>
    <n v="5"/>
    <s v="CK 91"/>
    <s v="CK 91"/>
    <s v="4 mois"/>
    <d v="2023-05-10T00:00:00"/>
    <s v="Koragbangna"/>
    <s v="Mamady 2 Camara"/>
    <s v="Riz"/>
    <x v="1"/>
    <n v="5"/>
    <d v="2023-05-10T00:00:00"/>
    <x v="16"/>
    <s v="6KOU001T"/>
    <m/>
    <m/>
    <m/>
    <m/>
    <m/>
    <m/>
    <x v="17"/>
  </r>
  <r>
    <d v="2023-05-10T11:35:10"/>
    <x v="10"/>
    <s v="Commune urbaine"/>
    <s v="Individuel"/>
    <s v="Faya mamadouno"/>
    <n v="628184112"/>
    <n v="628184112"/>
    <s v="Beindou"/>
    <n v="20"/>
    <s v="Labour - uniquement"/>
    <n v="6"/>
    <s v="N19"/>
    <s v="N19"/>
    <s v="4 mois"/>
    <d v="2023-05-10T00:00:00"/>
    <s v="Ninkadou"/>
    <s v="Mamady 2 Camara"/>
    <s v="Riz"/>
    <x v="1"/>
    <n v="6"/>
    <d v="2023-05-10T00:00:00"/>
    <x v="16"/>
    <s v="6KOU007T"/>
    <m/>
    <m/>
    <m/>
    <m/>
    <m/>
    <m/>
    <x v="17"/>
  </r>
  <r>
    <d v="2023-05-10T11:39:05"/>
    <x v="10"/>
    <s v="Commune urbaine"/>
    <s v="Collectif"/>
    <s v="Egeune Camara"/>
    <n v="622849450"/>
    <n v="622849450"/>
    <s v="Kissidougou Centre"/>
    <n v="5"/>
    <s v="Labour - uniquement"/>
    <n v="3"/>
    <s v="CK 90"/>
    <s v="CK 90"/>
    <s v="5 mois"/>
    <d v="2023-05-10T00:00:00"/>
    <s v="Kondjan"/>
    <s v="Mamady 2 Camara"/>
    <s v="Riz"/>
    <x v="1"/>
    <n v="3"/>
    <d v="2023-05-10T00:00:00"/>
    <x v="16"/>
    <s v="6KOU002T"/>
    <m/>
    <m/>
    <m/>
    <m/>
    <m/>
    <m/>
    <x v="17"/>
  </r>
  <r>
    <d v="2023-05-10T14:04:11"/>
    <x v="12"/>
    <s v="Ouassou"/>
    <s v="Individuel"/>
    <s v="Mamata camara"/>
    <n v="621258630"/>
    <n v="621258630"/>
    <s v="Koba-Tatema"/>
    <n v="6"/>
    <s v="Labour - uniquement"/>
    <n v="3"/>
    <s v="Massaraka"/>
    <s v="Nereka"/>
    <s v="6 mois"/>
    <d v="2023-05-10T00:00:00"/>
    <s v="Accord"/>
    <s v="Kissi Camara"/>
    <s v="Riz"/>
    <x v="1"/>
    <n v="3"/>
    <d v="2023-05-10T00:00:00"/>
    <x v="16"/>
    <s v="2DKA001T"/>
    <m/>
    <m/>
    <m/>
    <m/>
    <m/>
    <m/>
    <x v="17"/>
  </r>
  <r>
    <d v="2023-05-10T14:47:42"/>
    <x v="9"/>
    <s v="Forecariah"/>
    <s v="Individuel"/>
    <s v="Adama soumah"/>
    <n v="655623005"/>
    <m/>
    <s v="Alassoya"/>
    <n v="15"/>
    <s v="Labour - uniquement"/>
    <n v="3"/>
    <s v="Ck-90"/>
    <s v="Ck-90"/>
    <s v="4 mois"/>
    <d v="2023-05-12T00:00:00"/>
    <m/>
    <s v="Diamouré keita"/>
    <s v="Riz"/>
    <x v="1"/>
    <n v="3"/>
    <d v="2023-05-12T00:00:00"/>
    <x v="16"/>
    <s v="2FAH005T"/>
    <m/>
    <m/>
    <m/>
    <m/>
    <m/>
    <m/>
    <x v="17"/>
  </r>
  <r>
    <d v="2023-05-10T19:11:02"/>
    <x v="15"/>
    <s v="Direction Préfectorale de l'Agriculture et de l Élevage de Lola"/>
    <s v="Collectif"/>
    <s v="Eugène Delamou"/>
    <n v="620165590"/>
    <m/>
    <s v="Lainé"/>
    <n v="20"/>
    <s v="Labour - uniquement"/>
    <n v="50"/>
    <s v="Wania"/>
    <s v="Oryza Sativa"/>
    <s v="5 mois"/>
    <d v="2023-05-13T00:00:00"/>
    <m/>
    <s v="Pokpa Delamou"/>
    <s v="Riz"/>
    <x v="0"/>
    <m/>
    <m/>
    <x v="19"/>
    <m/>
    <m/>
    <m/>
    <m/>
    <m/>
    <m/>
    <m/>
    <x v="17"/>
  </r>
  <r>
    <d v="2023-05-10T19:15:53"/>
    <x v="15"/>
    <s v="Direction Préfectorale de l'Agriculture et de l Élevage de Lola"/>
    <s v="Collectif"/>
    <s v="Eugène Delamou"/>
    <n v="620165590"/>
    <m/>
    <s v="Lainé"/>
    <n v="20"/>
    <s v="Labour - uniquement"/>
    <n v="50"/>
    <s v="Jaune_jaune"/>
    <s v="Zea Mays"/>
    <s v="4 mois"/>
    <d v="2023-05-16T00:00:00"/>
    <m/>
    <s v="Pokpa Delamou"/>
    <s v="Maïs"/>
    <x v="0"/>
    <m/>
    <m/>
    <x v="19"/>
    <m/>
    <m/>
    <m/>
    <m/>
    <m/>
    <m/>
    <m/>
    <x v="17"/>
  </r>
  <r>
    <d v="2023-05-11T04:42:53"/>
    <x v="0"/>
    <s v="Direction préfectorale de l'agriculture et de l'élevage de macenta"/>
    <s v="Individuel"/>
    <s v="Moussa Sangaré"/>
    <n v="622747738"/>
    <m/>
    <s v="Kouankan"/>
    <n v="95"/>
    <s v="Labour - uniquement"/>
    <n v="4"/>
    <s v="Jogbassi"/>
    <s v="Oriza sativa"/>
    <s v="5 mois"/>
    <d v="2023-05-12T00:00:00"/>
    <s v="Pas"/>
    <s v="Alexandre Kpoghomou"/>
    <s v="Riz"/>
    <x v="1"/>
    <n v="4"/>
    <d v="2023-05-11T00:00:00"/>
    <x v="16"/>
    <s v="8MTA003T"/>
    <m/>
    <m/>
    <m/>
    <m/>
    <m/>
    <m/>
    <x v="17"/>
  </r>
  <r>
    <d v="2023-05-11T10:04:03"/>
    <x v="1"/>
    <s v="Siguiri"/>
    <s v="Individuel"/>
    <s v="Namory Kante"/>
    <n v="628200681"/>
    <m/>
    <s v="Siguiri Centre"/>
    <n v="2"/>
    <s v="Labour - uniquement"/>
    <n v="1"/>
    <s v="Maloba"/>
    <s v="Maloba"/>
    <s v="5 mois"/>
    <d v="2023-05-12T00:00:00"/>
    <m/>
    <s v="Nanamoudou ll Magassouba"/>
    <s v="Riz"/>
    <x v="1"/>
    <n v="1"/>
    <d v="2023-05-11T00:00:00"/>
    <x v="16"/>
    <s v="7SRI006T"/>
    <m/>
    <m/>
    <m/>
    <m/>
    <m/>
    <m/>
    <x v="17"/>
  </r>
  <r>
    <d v="2023-05-11T10:07:01"/>
    <x v="9"/>
    <s v="Forecariah"/>
    <s v="Individuel"/>
    <s v="Younoussa camara"/>
    <n v="626578742"/>
    <m/>
    <s v="Kakossa"/>
    <n v="75"/>
    <s v="Labour - uniquement"/>
    <n v="5"/>
    <s v="Ck-90"/>
    <s v="Ck-90"/>
    <s v="4 mois"/>
    <d v="2023-05-12T00:00:00"/>
    <m/>
    <s v="Diamouré keita"/>
    <s v="Riz"/>
    <x v="1"/>
    <n v="5"/>
    <d v="2023-05-12T00:00:00"/>
    <x v="16"/>
    <s v="2FAH002T"/>
    <m/>
    <m/>
    <m/>
    <m/>
    <m/>
    <m/>
    <x v="17"/>
  </r>
  <r>
    <d v="2023-05-11T10:47:54"/>
    <x v="7"/>
    <s v="Cours du bloc Administratif"/>
    <s v="Individuel"/>
    <s v="Elhadj Sékou DIAKITÉ"/>
    <n v="620053900"/>
    <m/>
    <s v="Mandiana Centre"/>
    <n v="11"/>
    <s v="Labour - uniquement"/>
    <n v="7"/>
    <s v="Kaolac"/>
    <s v="Ne connais pas"/>
    <s v="5 mois"/>
    <d v="2023-05-11T00:00:00"/>
    <s v="Aptes pour la mécanisation"/>
    <s v="Nounkè Doumbouya"/>
    <s v="Riz"/>
    <x v="1"/>
    <n v="4"/>
    <d v="2023-05-11T00:00:00"/>
    <x v="16"/>
    <s v="7MNA008T"/>
    <m/>
    <m/>
    <m/>
    <m/>
    <m/>
    <m/>
    <x v="17"/>
  </r>
  <r>
    <d v="2023-05-11T11:15:20"/>
    <x v="11"/>
    <s v="Centre"/>
    <s v="Individuel"/>
    <s v="Brema Camara"/>
    <n v="623732135"/>
    <n v="623732135"/>
    <s v="Kérouane Centre"/>
    <n v="8"/>
    <s v="Labour - uniquement"/>
    <n v="9"/>
    <s v="Samory"/>
    <s v="Samory"/>
    <s v="5 mois"/>
    <d v="2023-05-12T00:00:00"/>
    <m/>
    <s v="Moussa Kadia Camara"/>
    <s v="Riz"/>
    <x v="1"/>
    <n v="9"/>
    <d v="2023-05-12T00:00:00"/>
    <x v="16"/>
    <s v="7KNE006T"/>
    <m/>
    <m/>
    <m/>
    <m/>
    <m/>
    <m/>
    <x v="17"/>
  </r>
  <r>
    <d v="2023-05-11T11:18:31"/>
    <x v="11"/>
    <s v="Centre"/>
    <s v="Individuel"/>
    <s v="Moussa sacko"/>
    <n v="628685171"/>
    <n v="628685171"/>
    <s v="Kérouane Centre"/>
    <n v="5"/>
    <s v="Labour - uniquement"/>
    <n v="3"/>
    <s v="Karosabany"/>
    <s v="Karosabany"/>
    <s v="3 mois"/>
    <d v="2023-05-13T00:00:00"/>
    <m/>
    <s v="Moussa Kadia Camara"/>
    <s v="Maïs"/>
    <x v="1"/>
    <n v="3"/>
    <d v="2023-05-12T00:00:00"/>
    <x v="16"/>
    <s v="7KNE001T"/>
    <m/>
    <m/>
    <m/>
    <m/>
    <m/>
    <m/>
    <x v="17"/>
  </r>
  <r>
    <d v="2023-05-11T11:20:51"/>
    <x v="11"/>
    <s v="Centre"/>
    <s v="Individuel"/>
    <s v="Mory Doumbouya"/>
    <n v="621867404"/>
    <n v="621867404"/>
    <s v="Kérouane Centre"/>
    <n v="1"/>
    <s v="Labour - uniquement"/>
    <n v="1"/>
    <s v="Samory"/>
    <s v="Samory"/>
    <s v="5 mois"/>
    <d v="2023-05-14T00:00:00"/>
    <m/>
    <s v="Moussa Kadia Camara"/>
    <s v="Riz"/>
    <x v="1"/>
    <n v="1"/>
    <d v="2023-05-12T00:00:00"/>
    <x v="16"/>
    <s v="7KNE001T"/>
    <m/>
    <m/>
    <m/>
    <m/>
    <m/>
    <m/>
    <x v="17"/>
  </r>
  <r>
    <d v="2023-05-11T11:23:56"/>
    <x v="11"/>
    <s v="Centre"/>
    <s v="Individuel"/>
    <s v="Fodé Traoré"/>
    <n v="628401231"/>
    <n v="628401231"/>
    <s v="Kérouane Centre"/>
    <n v="55"/>
    <s v="Labour - uniquement"/>
    <n v="10"/>
    <s v="Samory"/>
    <s v="Samory"/>
    <s v="6 mois"/>
    <d v="2023-05-13T00:00:00"/>
    <m/>
    <s v="Moussa Kadia Camara"/>
    <s v="Riz"/>
    <x v="1"/>
    <n v="10"/>
    <d v="2023-05-12T00:00:00"/>
    <x v="16"/>
    <s v="7KNE006T"/>
    <m/>
    <m/>
    <m/>
    <m/>
    <m/>
    <m/>
    <x v="17"/>
  </r>
  <r>
    <d v="2023-05-11T11:26:59"/>
    <x v="11"/>
    <s v="Centre"/>
    <s v="Individuel"/>
    <s v="Lancine Cissé"/>
    <n v="622557752"/>
    <n v="622557752"/>
    <s v="Kérouane Centre"/>
    <n v="1"/>
    <s v="Labour - uniquement"/>
    <n v="1"/>
    <s v="Seka"/>
    <s v="Seka"/>
    <s v="5 mois"/>
    <d v="2023-05-14T00:00:00"/>
    <m/>
    <s v="Moussa Kadia Camara"/>
    <s v="Riz"/>
    <x v="1"/>
    <n v="1"/>
    <d v="2023-05-12T00:00:00"/>
    <x v="16"/>
    <s v="7KNE001T"/>
    <m/>
    <m/>
    <m/>
    <m/>
    <m/>
    <m/>
    <x v="17"/>
  </r>
  <r>
    <d v="2023-05-11T11:29:22"/>
    <x v="17"/>
    <s v="C U"/>
    <s v="Individuel"/>
    <s v="SADOU DIALLO"/>
    <n v="628169348"/>
    <m/>
    <s v="Koumbia"/>
    <n v="5"/>
    <s v="Labour + Pulvérisation"/>
    <n v="4"/>
    <s v="DIOULKÉMÈ"/>
    <s v="Ck98"/>
    <s v="3 mois"/>
    <d v="2023-05-25T00:00:00"/>
    <m/>
    <s v="Soriba Moustapha Camara"/>
    <s v="Riz"/>
    <x v="0"/>
    <m/>
    <m/>
    <x v="19"/>
    <m/>
    <m/>
    <m/>
    <m/>
    <m/>
    <m/>
    <m/>
    <x v="17"/>
  </r>
  <r>
    <d v="2023-05-11T11:30:54"/>
    <x v="11"/>
    <s v="Centre"/>
    <s v="Individuel"/>
    <s v="Mory vice Camara"/>
    <n v="626857580"/>
    <n v="626855780"/>
    <s v="Kérouane Centre"/>
    <n v="3"/>
    <s v="Labour - uniquement"/>
    <n v="1"/>
    <s v="Moussagbe"/>
    <s v="Moussagbe"/>
    <s v="9 mois"/>
    <d v="2023-05-13T00:00:00"/>
    <m/>
    <s v="Moussa Kadia Camara"/>
    <s v="Riz"/>
    <x v="1"/>
    <n v="1"/>
    <d v="2023-05-12T00:00:00"/>
    <x v="16"/>
    <s v="7KNE001T"/>
    <m/>
    <m/>
    <m/>
    <m/>
    <m/>
    <m/>
    <x v="17"/>
  </r>
  <r>
    <d v="2023-05-11T11:33:46"/>
    <x v="11"/>
    <s v="Centre"/>
    <s v="Individuel"/>
    <s v="Amara Camara"/>
    <n v="656766360"/>
    <n v="656767360"/>
    <s v="Kérouane Centre"/>
    <n v="8"/>
    <s v="Labour - uniquement"/>
    <n v="2"/>
    <s v="Sanbadji"/>
    <s v="Sanbadji"/>
    <s v="6 mois"/>
    <d v="2023-05-14T00:00:00"/>
    <m/>
    <s v="Moussa Kadia Camara"/>
    <s v="Riz"/>
    <x v="1"/>
    <n v="2"/>
    <d v="2023-05-12T00:00:00"/>
    <x v="16"/>
    <s v="7KNE007T"/>
    <m/>
    <m/>
    <m/>
    <m/>
    <m/>
    <m/>
    <x v="17"/>
  </r>
  <r>
    <d v="2023-05-11T11:36:19"/>
    <x v="11"/>
    <s v="Centre"/>
    <s v="Individuel"/>
    <s v="Mamadi Camara"/>
    <n v="622605012"/>
    <n v="622605012"/>
    <s v="Kérouane Centre"/>
    <n v="3"/>
    <s v="Labour - uniquement"/>
    <n v="2"/>
    <s v="Samory"/>
    <s v="Samory"/>
    <s v="5 mois"/>
    <d v="2023-05-12T00:00:00"/>
    <m/>
    <s v="Moussa Kadia Camara"/>
    <s v="Riz"/>
    <x v="1"/>
    <n v="2"/>
    <d v="2023-05-12T00:00:00"/>
    <x v="16"/>
    <s v="7KNE002T"/>
    <m/>
    <m/>
    <m/>
    <m/>
    <m/>
    <m/>
    <x v="17"/>
  </r>
  <r>
    <d v="2023-05-11T11:38:37"/>
    <x v="11"/>
    <s v="Centre"/>
    <s v="Individuel"/>
    <s v="Fodé Konaté"/>
    <n v="622900366"/>
    <n v="622900366"/>
    <s v="Kérouane Centre"/>
    <n v="12"/>
    <s v="Labour - uniquement"/>
    <n v="5"/>
    <s v="Moussagbe"/>
    <s v="Moussagbe"/>
    <s v="9 mois"/>
    <d v="2023-05-14T00:00:00"/>
    <m/>
    <s v="Moussa Kadia Camara"/>
    <s v="Riz"/>
    <x v="1"/>
    <n v="5"/>
    <d v="2023-05-12T00:00:00"/>
    <x v="16"/>
    <s v="7KNE007T"/>
    <m/>
    <m/>
    <m/>
    <m/>
    <m/>
    <m/>
    <x v="17"/>
  </r>
  <r>
    <d v="2023-05-11T11:42:16"/>
    <x v="11"/>
    <s v="Centre"/>
    <s v="Individuel"/>
    <s v="Yomba kourouma"/>
    <n v="626834750"/>
    <n v="626834750"/>
    <s v="Kérouane Centre"/>
    <n v="55"/>
    <s v="Labour - uniquement"/>
    <n v="9"/>
    <s v="Samory Djoufini moussagbe"/>
    <s v="Samory Djoufini moussagbe"/>
    <s v="9 mois"/>
    <d v="2023-05-13T00:00:00"/>
    <m/>
    <s v="Moussa Kadia Camara"/>
    <s v="Riz"/>
    <x v="1"/>
    <n v="9"/>
    <d v="2023-05-12T00:00:00"/>
    <x v="16"/>
    <s v="7KNE006T"/>
    <m/>
    <m/>
    <m/>
    <m/>
    <m/>
    <m/>
    <x v="17"/>
  </r>
  <r>
    <d v="2023-05-11T11:44:44"/>
    <x v="11"/>
    <s v="Centre"/>
    <s v="Individuel"/>
    <s v="Sékouba Cissé"/>
    <n v="621598957"/>
    <n v="621598957"/>
    <s v="Kérouane Centre"/>
    <n v="15"/>
    <s v="Labour - uniquement"/>
    <n v="3"/>
    <s v="Samory"/>
    <s v="Samory"/>
    <s v="5 mois"/>
    <d v="2023-05-14T00:00:00"/>
    <m/>
    <s v="Moussa Kadia Camara"/>
    <s v="Riz"/>
    <x v="1"/>
    <n v="3"/>
    <d v="2023-05-12T00:00:00"/>
    <x v="16"/>
    <s v="7KNE001T"/>
    <m/>
    <m/>
    <m/>
    <m/>
    <m/>
    <m/>
    <x v="17"/>
  </r>
  <r>
    <d v="2023-05-11T11:46:36"/>
    <x v="17"/>
    <s v="C U"/>
    <s v="Collectif"/>
    <s v="SADIO KONDJIRA"/>
    <n v="622465274"/>
    <m/>
    <s v="Koumbia"/>
    <n v="14"/>
    <s v="Labour + Pulvérisation"/>
    <n v="10"/>
    <s v="DIOULKÉMÈ"/>
    <s v="Ck 90"/>
    <s v="3 mois"/>
    <d v="2023-05-25T00:00:00"/>
    <m/>
    <s v="Soriba Moustapha Camara"/>
    <s v="Riz"/>
    <x v="0"/>
    <m/>
    <m/>
    <x v="19"/>
    <m/>
    <m/>
    <m/>
    <m/>
    <m/>
    <m/>
    <m/>
    <x v="17"/>
  </r>
  <r>
    <d v="2023-05-11T11:47:32"/>
    <x v="11"/>
    <s v="Centre"/>
    <s v="Individuel"/>
    <s v="Lonceny bamba"/>
    <n v="623925687"/>
    <n v="623925687"/>
    <s v="Kérouane Centre"/>
    <n v="12"/>
    <s v="Labour - uniquement"/>
    <n v="3"/>
    <s v="Sanbadji"/>
    <s v="Sanbadji"/>
    <s v="6 mois"/>
    <d v="2023-05-14T00:00:00"/>
    <m/>
    <s v="Moussa Kadia Camara"/>
    <s v="Riz"/>
    <x v="1"/>
    <n v="3"/>
    <d v="2023-05-12T00:00:00"/>
    <x v="16"/>
    <s v="7KNE001T"/>
    <m/>
    <m/>
    <m/>
    <m/>
    <m/>
    <m/>
    <x v="17"/>
  </r>
  <r>
    <d v="2023-05-11T12:30:42"/>
    <x v="5"/>
    <s v="Guéckédou centre"/>
    <s v="Individuel"/>
    <s v="Fara nitan tolno"/>
    <n v="622427175"/>
    <n v="622427175"/>
    <s v="Nongoa"/>
    <n v="27"/>
    <s v="Labour - uniquement"/>
    <n v="4"/>
    <s v="Ck90"/>
    <s v="Ck90"/>
    <s v="4 mois"/>
    <d v="2023-05-11T00:00:00"/>
    <s v="Ok"/>
    <s v="Lamine Condé"/>
    <s v="Riz"/>
    <x v="1"/>
    <n v="4"/>
    <d v="2023-05-11T00:00:00"/>
    <x v="16"/>
    <s v="8GOU001T"/>
    <m/>
    <m/>
    <m/>
    <m/>
    <m/>
    <m/>
    <x v="17"/>
  </r>
  <r>
    <d v="2023-05-11T13:15:34"/>
    <x v="19"/>
    <s v="Centre ville"/>
    <s v="Individuel"/>
    <s v="Sanoussy Cissé"/>
    <n v="623071025"/>
    <m/>
    <s v="Kouriya"/>
    <n v="17"/>
    <s v="Labour - uniquement"/>
    <n v="2"/>
    <s v="Local"/>
    <s v="Totolaa"/>
    <s v="4 mois"/>
    <d v="2023-05-15T00:00:00"/>
    <m/>
    <s v="Ousmane Tangaly Balde"/>
    <s v="Riz"/>
    <x v="0"/>
    <m/>
    <m/>
    <x v="19"/>
    <m/>
    <m/>
    <m/>
    <m/>
    <m/>
    <m/>
    <m/>
    <x v="17"/>
  </r>
  <r>
    <d v="2023-05-11T13:28:57"/>
    <x v="19"/>
    <s v="Centre ville Coyah"/>
    <s v="Collectif"/>
    <s v="Thierno Mamadou Oury Diallo"/>
    <n v="622373326"/>
    <m/>
    <s v="Wonkifong"/>
    <n v="25"/>
    <s v="Labour - uniquement"/>
    <n v="5"/>
    <s v="Varieté local"/>
    <s v="Yegueti oriza belatima"/>
    <s v="5 mois"/>
    <d v="2023-05-15T00:00:00"/>
    <m/>
    <s v="Ousmane Tangaly Balde"/>
    <s v="Riz"/>
    <x v="0"/>
    <m/>
    <m/>
    <x v="19"/>
    <m/>
    <m/>
    <m/>
    <m/>
    <m/>
    <m/>
    <m/>
    <x v="17"/>
  </r>
  <r>
    <d v="2023-05-11T16:04:35"/>
    <x v="12"/>
    <s v="Ouassou"/>
    <s v="Individuel"/>
    <s v="Mohamed Sylla"/>
    <n v="626118226"/>
    <n v="626118226"/>
    <s v="Koba-Tatema"/>
    <n v="10"/>
    <s v="Labour - uniquement"/>
    <n v="2"/>
    <s v="Massaraka"/>
    <s v="Nereka"/>
    <s v="6 mois"/>
    <d v="2023-05-11T00:00:00"/>
    <s v="Accord"/>
    <s v="Kissi Camara"/>
    <s v="Riz"/>
    <x v="1"/>
    <n v="2"/>
    <d v="2023-05-11T00:00:00"/>
    <x v="16"/>
    <s v="2DKA001T"/>
    <m/>
    <m/>
    <m/>
    <m/>
    <m/>
    <m/>
    <x v="17"/>
  </r>
  <r>
    <d v="2023-05-11T16:08:40"/>
    <x v="16"/>
    <s v="Foundeng 1"/>
    <s v="Individuel"/>
    <s v="Morlaye Kouyaté"/>
    <n v="622080455"/>
    <m/>
    <s v="Dabola Centre"/>
    <n v="6"/>
    <s v="Labour - uniquement"/>
    <n v="3"/>
    <s v="Ck90"/>
    <s v="Ck90"/>
    <s v="4 mois"/>
    <d v="2023-05-12T00:00:00"/>
    <m/>
    <s v="Souleymane Kanté"/>
    <s v="Riz"/>
    <x v="1"/>
    <n v="3"/>
    <d v="2023-05-12T00:00:00"/>
    <x v="16"/>
    <s v="6DLA001T"/>
    <m/>
    <m/>
    <m/>
    <m/>
    <m/>
    <m/>
    <x v="17"/>
  </r>
  <r>
    <d v="2023-05-11T16:14:53"/>
    <x v="3"/>
    <s v="Petel Mamou"/>
    <s v="Individuel"/>
    <s v="Noumez savane"/>
    <n v="621034713"/>
    <m/>
    <s v="Ouré-Kaba"/>
    <n v="55"/>
    <s v="Labour - uniquement"/>
    <n v="1"/>
    <s v="Seydouba"/>
    <s v="CK90"/>
    <s v="4 mois"/>
    <d v="2023-11-14T00:00:00"/>
    <s v="Tout commence bien"/>
    <s v="Mamadouba Camara"/>
    <s v="Riz"/>
    <x v="0"/>
    <m/>
    <m/>
    <x v="19"/>
    <m/>
    <m/>
    <m/>
    <m/>
    <m/>
    <m/>
    <m/>
    <x v="17"/>
  </r>
  <r>
    <d v="2023-05-11T16:20:46"/>
    <x v="6"/>
    <s v="Dinguiraye centre"/>
    <s v="Individuel"/>
    <s v="Kèdjan Keita"/>
    <n v="628990054"/>
    <m/>
    <s v="Banora"/>
    <n v="87"/>
    <s v="Labour - uniquement"/>
    <n v="4"/>
    <s v="Djoukeme"/>
    <s v="Djoukeme"/>
    <s v="4 mois"/>
    <d v="2023-05-12T00:00:00"/>
    <s v="C'est dans village à 6km de Banora mais dans siguiri 100 et quelques kilomètres de centre ville de siguiri."/>
    <s v="Mamadou 1 Diallo"/>
    <s v="Riz"/>
    <x v="1"/>
    <n v="4"/>
    <d v="2023-05-12T00:00:00"/>
    <x v="16"/>
    <s v="6DYE004T"/>
    <m/>
    <m/>
    <m/>
    <m/>
    <m/>
    <m/>
    <x v="17"/>
  </r>
  <r>
    <d v="2023-05-11T16:33:05"/>
    <x v="16"/>
    <s v="Foundeng 1"/>
    <s v="Individuel"/>
    <s v="Mamadi Fofana"/>
    <n v="621477422"/>
    <m/>
    <s v="Dabola Centre"/>
    <n v="6"/>
    <s v="Labour - uniquement"/>
    <n v="1"/>
    <s v="Ck90"/>
    <s v="Ck90"/>
    <s v="4 mois"/>
    <d v="2023-05-12T00:00:00"/>
    <m/>
    <s v="Souleymane Kanté"/>
    <s v="Riz"/>
    <x v="1"/>
    <n v="1"/>
    <d v="2023-05-12T00:00:00"/>
    <x v="16"/>
    <s v="6DLA001T"/>
    <m/>
    <m/>
    <m/>
    <m/>
    <m/>
    <m/>
    <x v="17"/>
  </r>
  <r>
    <d v="2023-05-11T16:58:37"/>
    <x v="1"/>
    <s v="Siguiri"/>
    <s v="Individuel"/>
    <s v="Souleymane Kanté"/>
    <n v="628527904"/>
    <m/>
    <s v="Siguiri Centre"/>
    <n v="3"/>
    <s v="Déchaumage"/>
    <n v="2"/>
    <s v="Nerica19"/>
    <s v="Nerica19"/>
    <s v="4 mois"/>
    <d v="2023-05-12T00:00:00"/>
    <m/>
    <s v="Nanamoudou ll Magassouba"/>
    <s v="Riz"/>
    <x v="1"/>
    <n v="2"/>
    <d v="2023-05-11T00:00:00"/>
    <x v="16"/>
    <s v="7SRI006T"/>
    <m/>
    <m/>
    <m/>
    <m/>
    <m/>
    <m/>
    <x v="17"/>
  </r>
  <r>
    <d v="2023-05-11T17:02:08"/>
    <x v="1"/>
    <s v="Siguiri"/>
    <s v="Individuel"/>
    <s v="Aboubacar Sidiki MAGASSOUBA"/>
    <n v="622515121"/>
    <m/>
    <s v="Kintinian"/>
    <n v="17"/>
    <s v="Déchaumage"/>
    <n v="3"/>
    <s v="Nenkin"/>
    <s v="Nenkin"/>
    <s v="3 mois"/>
    <d v="2023-05-14T00:00:00"/>
    <m/>
    <s v="Nanamoudou ll Magassouba"/>
    <s v="Riz"/>
    <x v="1"/>
    <n v="3"/>
    <d v="2023-05-11T00:00:00"/>
    <x v="16"/>
    <s v="7SRI006T"/>
    <m/>
    <m/>
    <m/>
    <m/>
    <m/>
    <m/>
    <x v="17"/>
  </r>
  <r>
    <d v="2023-05-11T21:44:12"/>
    <x v="21"/>
    <s v="Kouankan centre"/>
    <s v="Individuel"/>
    <s v="Famo camara"/>
    <n v="622833959"/>
    <m/>
    <s v="Kouankan"/>
    <n v="4"/>
    <s v="Labour - uniquement"/>
    <n v="3"/>
    <s v="Ck90"/>
    <s v="Riz"/>
    <s v="4 mois"/>
    <d v="2023-05-08T00:00:00"/>
    <m/>
    <s v="Mohamed Kone"/>
    <s v="Riz"/>
    <x v="0"/>
    <m/>
    <m/>
    <x v="19"/>
    <m/>
    <m/>
    <m/>
    <m/>
    <m/>
    <m/>
    <m/>
    <x v="17"/>
  </r>
  <r>
    <d v="2023-05-11T21:48:21"/>
    <x v="21"/>
    <s v="Kouankan centre"/>
    <s v="Individuel"/>
    <s v="LONCENY CAMARA"/>
    <n v="628601528"/>
    <m/>
    <s v="Kouankan"/>
    <n v="4"/>
    <s v="Labour - uniquement"/>
    <n v="1"/>
    <s v="Ck90"/>
    <s v="Riz"/>
    <s v="4 mois"/>
    <d v="2023-05-07T00:00:00"/>
    <m/>
    <s v="Mohamed Kone"/>
    <s v="Riz"/>
    <x v="0"/>
    <m/>
    <m/>
    <x v="19"/>
    <m/>
    <m/>
    <m/>
    <m/>
    <m/>
    <m/>
    <m/>
    <x v="17"/>
  </r>
  <r>
    <d v="2023-05-11T21:52:21"/>
    <x v="21"/>
    <s v="Kouankan centre"/>
    <s v="Individuel"/>
    <s v="Kassan sidiki"/>
    <n v="620495470"/>
    <m/>
    <s v="Kouankan"/>
    <n v="3"/>
    <s v="Labour - uniquement"/>
    <n v="3"/>
    <s v="Riz"/>
    <s v="Riz"/>
    <s v="5 mois"/>
    <d v="2023-05-13T00:00:00"/>
    <m/>
    <s v="Mohamed Kone"/>
    <s v="Riz"/>
    <x v="0"/>
    <m/>
    <m/>
    <x v="19"/>
    <m/>
    <m/>
    <m/>
    <m/>
    <m/>
    <m/>
    <m/>
    <x v="17"/>
  </r>
  <r>
    <d v="2023-05-12T09:13:35"/>
    <x v="9"/>
    <s v="Forécariah"/>
    <s v="Individuel"/>
    <s v="Idrissa Sylla"/>
    <n v="628518639"/>
    <m/>
    <s v="Sikhourou"/>
    <n v="55"/>
    <s v="Labour - uniquement"/>
    <n v="2"/>
    <s v="Ck-90"/>
    <s v="Ck-90"/>
    <s v="6 mois"/>
    <d v="2023-05-12T00:00:00"/>
    <m/>
    <s v="Diamouré keita"/>
    <s v="Riz"/>
    <x v="1"/>
    <n v="2"/>
    <d v="2023-05-12T00:00:00"/>
    <x v="16"/>
    <s v="2FAH004T"/>
    <m/>
    <m/>
    <m/>
    <m/>
    <m/>
    <m/>
    <x v="17"/>
  </r>
  <r>
    <d v="2023-05-12T10:50:00"/>
    <x v="1"/>
    <s v="Siguiri"/>
    <s v="Individuel"/>
    <s v="Karifa MAGASSOUBA"/>
    <n v="622204917"/>
    <m/>
    <s v="Siguiri Centre"/>
    <n v="3"/>
    <s v="Déchaumage"/>
    <n v="1"/>
    <s v="Nenkin"/>
    <s v="Nenkin"/>
    <s v="3 mois"/>
    <d v="2023-05-13T00:00:00"/>
    <m/>
    <s v="Nanamoudou ll Magassouba"/>
    <s v="Riz"/>
    <x v="1"/>
    <n v="1"/>
    <d v="2023-05-12T00:00:00"/>
    <x v="16"/>
    <s v="7SRI006T"/>
    <m/>
    <m/>
    <m/>
    <m/>
    <m/>
    <m/>
    <x v="17"/>
  </r>
  <r>
    <d v="2023-05-12T15:00:34"/>
    <x v="7"/>
    <s v="Cours du bloc Administratif"/>
    <s v="Collectif"/>
    <s v="Mamadi KOULIBALY"/>
    <n v="621308317"/>
    <m/>
    <s v="Dialakoro"/>
    <n v="121"/>
    <s v="Labour + Pulvérisation"/>
    <n v="37"/>
    <s v="Nerica 19"/>
    <s v="Nerica"/>
    <s v="4 mois"/>
    <d v="2023-06-25T00:00:00"/>
    <s v="Aptes pour la mécanisation"/>
    <s v="Nounkè Doumbouya"/>
    <s v="Riz"/>
    <x v="0"/>
    <m/>
    <m/>
    <x v="19"/>
    <m/>
    <m/>
    <m/>
    <m/>
    <m/>
    <m/>
    <m/>
    <x v="17"/>
  </r>
  <r>
    <d v="2023-05-12T15:03:23"/>
    <x v="7"/>
    <s v="Cours du bloc Administratif"/>
    <s v="Collectif"/>
    <s v="Yaya ouléni KOULIBALY"/>
    <n v="622568113"/>
    <m/>
    <s v="Dialakoro"/>
    <n v="129"/>
    <s v="Labour + Pulvérisation"/>
    <n v="35"/>
    <s v="Dadoumani malo"/>
    <s v="Ne connais pas"/>
    <s v="4 mois"/>
    <d v="2023-06-15T00:00:00"/>
    <s v="Aptes pour la mécanisation"/>
    <s v="Nounkè Doumbouya"/>
    <s v="Riz"/>
    <x v="0"/>
    <m/>
    <m/>
    <x v="19"/>
    <m/>
    <m/>
    <m/>
    <m/>
    <m/>
    <m/>
    <m/>
    <x v="17"/>
  </r>
  <r>
    <d v="2023-05-12T15:07:36"/>
    <x v="7"/>
    <s v="Cours du bloc Administratif"/>
    <s v="Collectif"/>
    <s v="Mamadi SAMAKE"/>
    <n v="622905388"/>
    <m/>
    <s v="Dialakoro"/>
    <n v="125"/>
    <s v="Labour + Pulvérisation"/>
    <n v="50"/>
    <s v="Sweta, nenken, Nerica"/>
    <s v="Sweta, nenken, Nerica 19"/>
    <s v="4 mois"/>
    <d v="2023-06-25T00:00:00"/>
    <s v="Aptes pour la mécanisation"/>
    <s v="Nounkè Doumbouya"/>
    <s v="Riz"/>
    <x v="0"/>
    <m/>
    <m/>
    <x v="19"/>
    <m/>
    <m/>
    <m/>
    <m/>
    <m/>
    <m/>
    <m/>
    <x v="17"/>
  </r>
  <r>
    <d v="2023-05-12T16:41:51"/>
    <x v="0"/>
    <s v="Direction préfectorale de l'agriculture et de l'élevage de macenta"/>
    <s v="Individuel"/>
    <s v="Mohamed Lamine souare"/>
    <n v="623307341"/>
    <m/>
    <s v="Kouankan"/>
    <n v="90"/>
    <s v="Labour - uniquement"/>
    <n v="7"/>
    <s v="Djoukèmè"/>
    <s v="Oriza sativa"/>
    <s v="5 mois"/>
    <d v="2023-05-18T00:00:00"/>
    <s v="Pas"/>
    <s v="Alexandre Kpoghomou"/>
    <s v="Riz"/>
    <x v="1"/>
    <n v="7"/>
    <d v="2023-05-12T00:00:00"/>
    <x v="16"/>
    <s v="8MTA003T"/>
    <m/>
    <m/>
    <m/>
    <m/>
    <m/>
    <m/>
    <x v="17"/>
  </r>
  <r>
    <d v="2023-05-12T16:45:33"/>
    <x v="0"/>
    <s v="Direction préfectorale de l'agriculture et de l'élevage de macenta"/>
    <s v="Individuel"/>
    <s v="Jeanine koivogui"/>
    <n v="624909710"/>
    <m/>
    <s v="Macenta Centre"/>
    <n v="18"/>
    <s v="Labour - uniquement"/>
    <n v="3"/>
    <s v="Chinoiba"/>
    <s v="Oriza sativa"/>
    <s v="5 mois"/>
    <d v="2023-05-17T00:00:00"/>
    <s v="Pas"/>
    <s v="Alexandre Kpoghomou"/>
    <s v="Riz"/>
    <x v="1"/>
    <n v="3"/>
    <d v="2023-05-12T00:00:00"/>
    <x v="16"/>
    <s v="8MTA004T"/>
    <m/>
    <m/>
    <m/>
    <m/>
    <m/>
    <m/>
    <x v="17"/>
  </r>
  <r>
    <d v="2023-05-13T10:13:34"/>
    <x v="1"/>
    <s v="Siguiri"/>
    <s v="Individuel"/>
    <s v="Kabinet KEITA"/>
    <n v="622648983"/>
    <m/>
    <s v="Siguiri Centre"/>
    <n v="25"/>
    <s v="Labour - uniquement"/>
    <n v="10"/>
    <s v="Korônin Kaba"/>
    <s v="MAÏS"/>
    <s v="3 mois"/>
    <d v="2023-05-16T00:00:00"/>
    <m/>
    <s v="Nanamoudou ll Magassouba"/>
    <s v="Maïs"/>
    <x v="1"/>
    <n v="10"/>
    <d v="2023-05-16T00:00:00"/>
    <x v="4"/>
    <s v="7SRI006T"/>
    <m/>
    <m/>
    <m/>
    <m/>
    <m/>
    <m/>
    <x v="17"/>
  </r>
  <r>
    <d v="2023-05-13T12:24:50"/>
    <x v="5"/>
    <s v="Guéckédou centre"/>
    <s v="Individuel"/>
    <s v="Kader Kamano"/>
    <n v="624867158"/>
    <n v="624867158"/>
    <s v="Guéckédou Centre"/>
    <n v="5"/>
    <s v="Labour - uniquement"/>
    <n v="1"/>
    <s v="Ck90"/>
    <s v="Ck90"/>
    <s v="4 mois"/>
    <d v="2023-05-13T00:00:00"/>
    <s v="OK"/>
    <s v="Lamine Condé"/>
    <s v="Riz"/>
    <x v="1"/>
    <n v="1"/>
    <d v="2023-05-15T00:00:00"/>
    <x v="4"/>
    <s v="8GOU003T"/>
    <m/>
    <m/>
    <m/>
    <m/>
    <m/>
    <m/>
    <x v="17"/>
  </r>
  <r>
    <d v="2023-05-13T13:09:36"/>
    <x v="3"/>
    <s v="Petel Mamou"/>
    <s v="Individuel"/>
    <s v="Amadou kade Barry"/>
    <n v="624432376"/>
    <m/>
    <s v="Ouré-Kaba"/>
    <n v="65"/>
    <s v="Labour - uniquement"/>
    <n v="6"/>
    <s v="Seydouba"/>
    <s v="CK90"/>
    <s v="4 mois"/>
    <d v="2023-11-22T00:00:00"/>
    <s v="Tout va bien"/>
    <s v="Mamadouba Camara"/>
    <s v="Riz"/>
    <x v="0"/>
    <m/>
    <m/>
    <x v="19"/>
    <m/>
    <m/>
    <m/>
    <m/>
    <m/>
    <m/>
    <m/>
    <x v="17"/>
  </r>
  <r>
    <d v="2023-05-13T13:42:46"/>
    <x v="16"/>
    <s v="Foundeng 1"/>
    <s v="Individuel"/>
    <s v="Sidiki camara"/>
    <n v="628352013"/>
    <m/>
    <s v="Dabola Centre"/>
    <n v="6"/>
    <s v="Labour - uniquement"/>
    <n v="2"/>
    <s v="Riz flottant"/>
    <s v="Riz flottant"/>
    <s v="6 mois"/>
    <d v="2023-05-15T00:00:00"/>
    <m/>
    <s v="Souleymane Kanté"/>
    <s v="Riz"/>
    <x v="0"/>
    <m/>
    <m/>
    <x v="19"/>
    <m/>
    <m/>
    <m/>
    <m/>
    <m/>
    <m/>
    <m/>
    <x v="17"/>
  </r>
  <r>
    <d v="2023-05-13T14:05:50"/>
    <x v="13"/>
    <s v="Aviation"/>
    <s v="Individuel"/>
    <s v="Moussa sidibé"/>
    <n v="625371313"/>
    <m/>
    <s v="Maréla"/>
    <n v="95"/>
    <s v="Labour - uniquement"/>
    <n v="10"/>
    <s v="Mettre 6"/>
    <s v="Mettre 6"/>
    <s v="6 mois"/>
    <d v="2023-05-14T00:00:00"/>
    <m/>
    <s v="Mohamed Fanta kourouma"/>
    <s v="Riz"/>
    <x v="1"/>
    <n v="10"/>
    <d v="2023-05-15T00:00:00"/>
    <x v="4"/>
    <s v="6FAH002T"/>
    <m/>
    <m/>
    <m/>
    <m/>
    <m/>
    <m/>
    <x v="17"/>
  </r>
  <r>
    <d v="2023-05-14T09:51:06"/>
    <x v="2"/>
    <s v="Bordeaux"/>
    <s v="Individuel"/>
    <s v="Berema 1 Traoré"/>
    <n v="628390161"/>
    <n v="0"/>
    <s v="Sabadou-Baranama"/>
    <n v="80"/>
    <s v="Labour - uniquement"/>
    <n v="2"/>
    <s v="Chinois"/>
    <s v="Variété locale"/>
    <s v="6 mois"/>
    <d v="2023-05-13T00:00:00"/>
    <s v="Petit producteur"/>
    <s v="Moussa Alamako Keita"/>
    <s v="Riz"/>
    <x v="0"/>
    <m/>
    <m/>
    <x v="19"/>
    <m/>
    <m/>
    <m/>
    <m/>
    <m/>
    <m/>
    <m/>
    <x v="18"/>
  </r>
  <r>
    <d v="2023-05-14T09:56:40"/>
    <x v="9"/>
    <s v="Forecariah"/>
    <s v="Individuel"/>
    <s v="Abdoulaye kongo Touré"/>
    <n v="620132400"/>
    <m/>
    <s v="Alassoya"/>
    <n v="20"/>
    <s v="Labour - uniquement"/>
    <n v="10"/>
    <s v="Ck-90"/>
    <s v="Ck-90"/>
    <s v="5 mois"/>
    <d v="2023-05-15T00:00:00"/>
    <m/>
    <s v="Diamouré keita"/>
    <s v="Riz"/>
    <x v="1"/>
    <n v="10"/>
    <d v="2023-05-15T00:00:00"/>
    <x v="4"/>
    <s v="2FAH004T"/>
    <m/>
    <m/>
    <m/>
    <m/>
    <m/>
    <m/>
    <x v="18"/>
  </r>
  <r>
    <d v="2023-05-14T09:56:43"/>
    <x v="2"/>
    <s v="Bordeaux"/>
    <s v="Collectif"/>
    <s v="Kalou Dioubate"/>
    <n v="622238490"/>
    <n v="0"/>
    <s v="Koumban"/>
    <n v="40"/>
    <s v="Labour - uniquement"/>
    <n v="4"/>
    <s v="Nema"/>
    <s v="Variété locale"/>
    <s v="5 mois"/>
    <d v="2023-05-16T00:00:00"/>
    <s v="Petit producteur"/>
    <s v="Moussa Alamako Keita"/>
    <s v="Riz"/>
    <x v="1"/>
    <n v="6"/>
    <d v="2023-05-15T00:00:00"/>
    <x v="4"/>
    <s v="7KAN003T"/>
    <m/>
    <m/>
    <m/>
    <m/>
    <m/>
    <m/>
    <x v="18"/>
  </r>
  <r>
    <d v="2023-05-14T11:06:54"/>
    <x v="16"/>
    <s v="Foundeng 1"/>
    <s v="Individuel"/>
    <s v="Mamadou Aliou Barry"/>
    <n v="621032935"/>
    <m/>
    <s v="Konindou"/>
    <n v="35"/>
    <s v="Labour - uniquement"/>
    <n v="35"/>
    <s v="Ck90"/>
    <s v="Ck90"/>
    <s v="4 mois"/>
    <d v="2023-05-17T00:00:00"/>
    <m/>
    <s v="Souleymane Kanté"/>
    <s v="Riz"/>
    <x v="0"/>
    <m/>
    <m/>
    <x v="19"/>
    <m/>
    <m/>
    <m/>
    <m/>
    <m/>
    <m/>
    <m/>
    <x v="18"/>
  </r>
  <r>
    <d v="2023-05-14T11:14:06"/>
    <x v="9"/>
    <s v="Forecariah"/>
    <s v="Individuel"/>
    <s v="Imam jamil Bamgoura"/>
    <n v="622861653"/>
    <m/>
    <s v="Sikhourou"/>
    <n v="65"/>
    <s v="Labour - uniquement"/>
    <n v="15"/>
    <s v="Ck-90 et Tokombo"/>
    <s v="Ck-90 et Tokombo"/>
    <s v="9 mois"/>
    <d v="2023-05-15T00:00:00"/>
    <m/>
    <s v="Diamouré keita"/>
    <s v="Riz et manioc"/>
    <x v="1"/>
    <n v="15"/>
    <d v="2023-05-15T00:00:00"/>
    <x v="4"/>
    <s v="2FAH005T"/>
    <m/>
    <m/>
    <m/>
    <m/>
    <m/>
    <m/>
    <x v="18"/>
  </r>
  <r>
    <d v="2023-05-14T11:15:59"/>
    <x v="16"/>
    <s v="Foundeng 1"/>
    <s v="Individuel"/>
    <s v="Aliou Barry"/>
    <n v="621032935"/>
    <m/>
    <s v="Konindou"/>
    <n v="35"/>
    <s v="Pulvérisation - uniquement"/>
    <n v="20"/>
    <s v="Ck90"/>
    <s v="Ck90"/>
    <s v="4 mois"/>
    <d v="2023-05-16T00:00:00"/>
    <m/>
    <s v="Souleymane Kanté"/>
    <s v="Riz"/>
    <x v="0"/>
    <m/>
    <m/>
    <x v="19"/>
    <m/>
    <m/>
    <m/>
    <m/>
    <m/>
    <m/>
    <m/>
    <x v="18"/>
  </r>
  <r>
    <d v="2023-05-14T11:43:41"/>
    <x v="5"/>
    <s v="Guéckédou centre"/>
    <s v="Individuel"/>
    <s v="Facely Condé"/>
    <n v="621858667"/>
    <n v="621858667"/>
    <s v="Guéckédou Centre"/>
    <n v="3"/>
    <s v="Labour - uniquement"/>
    <n v="1"/>
    <s v="Ck90"/>
    <s v="Ck90"/>
    <s v="4 mois"/>
    <d v="2023-05-14T00:00:00"/>
    <s v="OK"/>
    <s v="Lamine Condé"/>
    <s v="Riz"/>
    <x v="1"/>
    <n v="1.5"/>
    <d v="2023-05-15T00:00:00"/>
    <x v="4"/>
    <s v="8GOU003T"/>
    <m/>
    <m/>
    <m/>
    <m/>
    <m/>
    <m/>
    <x v="18"/>
  </r>
  <r>
    <d v="2023-05-14T12:07:38"/>
    <x v="1"/>
    <s v="Siguiri"/>
    <s v="Collectif"/>
    <s v="Mamadi CAMARA"/>
    <n v="628845822"/>
    <m/>
    <s v="Maléa"/>
    <n v="100"/>
    <s v="Pulvérisation - uniquement"/>
    <n v="30"/>
    <s v="Dioukémé"/>
    <s v="Riz"/>
    <s v="5 mois"/>
    <d v="2023-05-20T00:00:00"/>
    <s v="Pulvérisage"/>
    <s v="Nanamoudou ll Magassouba"/>
    <s v="Riz"/>
    <x v="1"/>
    <n v="30"/>
    <d v="2023-05-15T00:00:00"/>
    <x v="4"/>
    <s v="7SRI006T"/>
    <m/>
    <m/>
    <m/>
    <m/>
    <m/>
    <m/>
    <x v="18"/>
  </r>
  <r>
    <d v="2023-05-14T13:10:00"/>
    <x v="4"/>
    <s v="Boké centre"/>
    <s v="Individuel"/>
    <s v="Sény Camara"/>
    <n v="620138754"/>
    <n v="0"/>
    <s v="Kolaboui"/>
    <n v="46"/>
    <s v="Labour + Pulvérisation"/>
    <n v="5"/>
    <s v="non"/>
    <s v="non"/>
    <s v="4 mois"/>
    <d v="2023-05-15T00:00:00"/>
    <s v="C'est dans la zone de kolaboui"/>
    <s v="Elhadj Souaré Mamadou Dian"/>
    <s v="Riz"/>
    <x v="1"/>
    <n v="5"/>
    <d v="2023-05-15T00:00:00"/>
    <x v="4"/>
    <s v="3BKE002T"/>
    <m/>
    <m/>
    <m/>
    <m/>
    <m/>
    <m/>
    <x v="18"/>
  </r>
  <r>
    <d v="2023-05-14T14:52:14"/>
    <x v="16"/>
    <s v="Foundeng 1"/>
    <s v="Individuel"/>
    <s v="Amara cherif"/>
    <n v="622681371"/>
    <m/>
    <s v="Bissikrima"/>
    <n v="45"/>
    <s v="Labour - uniquement"/>
    <n v="12"/>
    <s v="Ck90"/>
    <s v="Ck90"/>
    <s v="4 mois"/>
    <d v="2023-05-20T00:00:00"/>
    <m/>
    <s v="Souleymane Kanté"/>
    <s v="Riz"/>
    <x v="0"/>
    <m/>
    <m/>
    <x v="0"/>
    <m/>
    <m/>
    <m/>
    <m/>
    <m/>
    <m/>
    <m/>
    <x v="18"/>
  </r>
  <r>
    <d v="2023-05-14T17:06:24"/>
    <x v="6"/>
    <s v="Dinguiraye centre"/>
    <s v="Individuel"/>
    <s v="Alpha traore"/>
    <n v="626064603"/>
    <m/>
    <s v="Banora"/>
    <n v="67"/>
    <s v="Labour - uniquement"/>
    <n v="5"/>
    <s v="Dissiba-oulén"/>
    <s v="Dissiba-oulén"/>
    <s v="4 mois"/>
    <d v="2023-05-16T00:00:00"/>
    <m/>
    <s v="Mamadou 1 Diallo"/>
    <s v="Riz"/>
    <x v="1"/>
    <n v="5"/>
    <d v="2023-05-15T00:00:00"/>
    <x v="4"/>
    <s v="6DYE004T"/>
    <m/>
    <m/>
    <m/>
    <m/>
    <m/>
    <m/>
    <x v="18"/>
  </r>
  <r>
    <d v="2023-05-14T18:22:49"/>
    <x v="22"/>
    <s v="Yomou"/>
    <s v="Individuel"/>
    <s v="Sidiki Camara"/>
    <n v="620351445"/>
    <m/>
    <s v="Péla"/>
    <n v="25"/>
    <s v="Labour + Pulvérisation"/>
    <n v="1"/>
    <s v="Ck90"/>
    <s v="Oriza S/p"/>
    <s v="3 mois"/>
    <d v="2023-05-20T00:00:00"/>
    <m/>
    <s v="Nyankoye Edouard Balamou"/>
    <s v="Riz"/>
    <x v="0"/>
    <m/>
    <m/>
    <x v="19"/>
    <m/>
    <m/>
    <m/>
    <m/>
    <m/>
    <m/>
    <m/>
    <x v="18"/>
  </r>
  <r>
    <d v="2023-05-14T18:31:11"/>
    <x v="22"/>
    <s v="Yomou"/>
    <s v="Individuel"/>
    <s v="Céwa Delamou"/>
    <n v="626348491"/>
    <m/>
    <s v="Bowé"/>
    <n v="50"/>
    <s v="Labour + Pulvérisation"/>
    <n v="2"/>
    <s v="Ck90"/>
    <s v="Oriza S/p"/>
    <s v="3 mois"/>
    <d v="2023-05-31T00:00:00"/>
    <m/>
    <s v="Nyankoye Edouard Balamou"/>
    <s v="Riz"/>
    <x v="0"/>
    <m/>
    <m/>
    <x v="19"/>
    <m/>
    <m/>
    <m/>
    <m/>
    <m/>
    <m/>
    <m/>
    <x v="18"/>
  </r>
  <r>
    <d v="2023-05-14T19:15:32"/>
    <x v="23"/>
    <s v="Fatako"/>
    <s v="Individuel"/>
    <s v="Groupement agr..Santa"/>
    <n v="628184118"/>
    <m/>
    <s v="Fatako"/>
    <n v="4"/>
    <s v="Labour - uniquement"/>
    <n v="7"/>
    <s v="M6"/>
    <s v="Konko"/>
    <s v="6 mois"/>
    <d v="2023-05-06T00:00:00"/>
    <s v="Bafon à hydrmorphie permanente"/>
    <s v="Mamadou Aliou Balde"/>
    <s v="Riz"/>
    <x v="1"/>
    <n v="7"/>
    <d v="2023-05-16T00:00:00"/>
    <x v="4"/>
    <s v="5TUE001T"/>
    <m/>
    <m/>
    <m/>
    <m/>
    <m/>
    <m/>
    <x v="18"/>
  </r>
  <r>
    <d v="2023-05-14T19:23:25"/>
    <x v="23"/>
    <s v="Fatako"/>
    <s v="Individuel"/>
    <s v="Abdourahmane Balde"/>
    <n v="622480221"/>
    <m/>
    <s v="Fatako"/>
    <n v="4"/>
    <s v="Labour - uniquement"/>
    <n v="2"/>
    <s v="Konko"/>
    <s v="M6"/>
    <s v="6 mois"/>
    <d v="2023-05-06T00:00:00"/>
    <s v="Sol à hydromorphie permanente ( bafon )"/>
    <s v="Mamadou Aliou Balde"/>
    <s v="Riz"/>
    <x v="1"/>
    <n v="2"/>
    <d v="2023-05-16T00:00:00"/>
    <x v="4"/>
    <s v="5TUE001T"/>
    <m/>
    <m/>
    <m/>
    <m/>
    <m/>
    <m/>
    <x v="18"/>
  </r>
  <r>
    <d v="2023-05-14T19:28:47"/>
    <x v="23"/>
    <s v="Fatako"/>
    <s v="Individuel"/>
    <s v="Thierno Talibé Balde"/>
    <n v="628155908"/>
    <m/>
    <s v="Fatako"/>
    <n v="4"/>
    <s v="Labour - uniquement"/>
    <n v="2"/>
    <s v="Konko"/>
    <s v="M6"/>
    <s v="6 mois"/>
    <d v="2023-05-06T00:00:00"/>
    <s v="Sol hydrmorphie permanente ( bafon )"/>
    <s v="Mamadou Aliou Balde"/>
    <s v="Riz"/>
    <x v="1"/>
    <n v="2"/>
    <d v="2023-05-16T00:00:00"/>
    <x v="4"/>
    <s v="5TUE001T"/>
    <m/>
    <m/>
    <m/>
    <m/>
    <m/>
    <m/>
    <x v="18"/>
  </r>
  <r>
    <d v="2023-05-14T19:35:10"/>
    <x v="23"/>
    <s v="Fatako"/>
    <s v="Individuel"/>
    <s v="El.Mamadou Baillo Balde"/>
    <n v="622426656"/>
    <m/>
    <s v="Fatako"/>
    <n v="4"/>
    <s v="Labour - uniquement"/>
    <n v="3"/>
    <s v="Konko"/>
    <s v="M6"/>
    <s v="6 mois"/>
    <d v="2023-05-06T00:00:00"/>
    <s v="Sol hydrmorphie permanente (bafon)"/>
    <s v="Mamadou Aliou Balde"/>
    <s v="Riz"/>
    <x v="1"/>
    <n v="3"/>
    <d v="2023-05-16T00:00:00"/>
    <x v="4"/>
    <s v="5TUE001T"/>
    <m/>
    <m/>
    <m/>
    <m/>
    <m/>
    <m/>
    <x v="18"/>
  </r>
  <r>
    <d v="2023-05-14T19:40:16"/>
    <x v="23"/>
    <s v="Fatako"/>
    <s v="Individuel"/>
    <s v="Mamadou Samba Keita"/>
    <n v="622045513"/>
    <n v="669461548"/>
    <s v="Fatako"/>
    <n v="4"/>
    <s v="Labour - uniquement"/>
    <n v="2"/>
    <s v="Konko"/>
    <s v="M6"/>
    <s v="6 mois"/>
    <d v="2023-05-06T00:00:00"/>
    <s v="Sol hydrmorphie permanente ( bafon )"/>
    <s v="Mamadou Aliou Balde"/>
    <s v="Riz"/>
    <x v="1"/>
    <n v="2"/>
    <d v="2023-05-16T00:00:00"/>
    <x v="4"/>
    <s v="5TUE001T"/>
    <m/>
    <m/>
    <m/>
    <m/>
    <m/>
    <m/>
    <x v="18"/>
  </r>
  <r>
    <d v="2023-05-15T00:35:32"/>
    <x v="7"/>
    <s v="Cours du bloc Administratif"/>
    <s v="Individuel"/>
    <s v="Daouda Diallo"/>
    <n v="622878973"/>
    <m/>
    <s v="Faralako"/>
    <n v="11"/>
    <s v="Labour + Pulvérisation"/>
    <n v="7"/>
    <s v="Tambakelè"/>
    <s v="Ne connais pas"/>
    <s v="4 mois"/>
    <d v="2023-05-16T00:00:00"/>
    <s v="Aptes pour la mécanisation"/>
    <s v="Nounkè Doumbouya"/>
    <s v="Riz"/>
    <x v="1"/>
    <n v="3"/>
    <d v="2023-05-15T00:00:00"/>
    <x v="4"/>
    <s v="7MNA008T"/>
    <m/>
    <m/>
    <m/>
    <m/>
    <m/>
    <m/>
    <x v="18"/>
  </r>
  <r>
    <d v="2023-05-15T07:30:24"/>
    <x v="0"/>
    <s v="Direction préfectorale de l'agriculture et de l'élevage de macenta"/>
    <s v="Collectif"/>
    <s v="Groupement de femmes Représenté par Dorcas onivogui"/>
    <n v="620279911"/>
    <m/>
    <s v="Daro"/>
    <n v="18"/>
    <s v="Labour - uniquement"/>
    <n v="5"/>
    <s v="Djoukèmè"/>
    <s v="Oriza sativa"/>
    <s v="5 mois"/>
    <d v="2023-05-25T00:00:00"/>
    <s v="Pas"/>
    <s v="Alexandre Kpoghomou"/>
    <s v="Riz"/>
    <x v="1"/>
    <n v="5"/>
    <d v="2023-05-15T00:00:00"/>
    <x v="4"/>
    <s v="8MTA004T"/>
    <m/>
    <m/>
    <m/>
    <m/>
    <m/>
    <m/>
    <x v="18"/>
  </r>
  <r>
    <d v="2023-05-15T07:55:55"/>
    <x v="18"/>
    <s v="Wassabada"/>
    <s v="Individuel"/>
    <s v="Nounké Keita"/>
    <n v="620310360"/>
    <m/>
    <s v="Kouroussa Centre"/>
    <n v="12"/>
    <s v="Labour - uniquement"/>
    <n v="2"/>
    <s v="Bagnain"/>
    <s v="Bagnain"/>
    <s v="4 mois"/>
    <d v="2023-05-20T00:00:00"/>
    <m/>
    <s v="Ibrahima Kalil Fofana"/>
    <s v="Riz"/>
    <x v="0"/>
    <m/>
    <m/>
    <x v="19"/>
    <m/>
    <m/>
    <m/>
    <m/>
    <m/>
    <m/>
    <m/>
    <x v="18"/>
  </r>
  <r>
    <d v="2023-05-15T08:00:34"/>
    <x v="18"/>
    <s v="Wassabada"/>
    <s v="Individuel"/>
    <s v="Lanceï Diabaté"/>
    <n v="624052378"/>
    <m/>
    <s v="Banfélé"/>
    <n v="42"/>
    <s v="Labour - uniquement"/>
    <n v="40"/>
    <s v="Manian"/>
    <s v="Manian"/>
    <s v="4 mois"/>
    <d v="2023-05-20T00:00:00"/>
    <m/>
    <s v="Ibrahima Kalil Fofana"/>
    <s v="Riz"/>
    <x v="0"/>
    <m/>
    <m/>
    <x v="19"/>
    <m/>
    <m/>
    <m/>
    <m/>
    <m/>
    <m/>
    <m/>
    <x v="18"/>
  </r>
  <r>
    <d v="2023-05-15T08:07:29"/>
    <x v="18"/>
    <s v="Wassabada"/>
    <s v="Individuel"/>
    <s v="Noch doussou siné trare"/>
    <n v="621307794"/>
    <m/>
    <s v="Balato"/>
    <n v="40"/>
    <s v="Labour - uniquement"/>
    <n v="100"/>
    <s v="Bintoubala"/>
    <s v="Bintoubala"/>
    <s v="4 mois"/>
    <d v="2023-06-10T00:00:00"/>
    <m/>
    <s v="Ibrahima Kalil Fofana"/>
    <s v="Riz"/>
    <x v="0"/>
    <m/>
    <m/>
    <x v="19"/>
    <m/>
    <m/>
    <m/>
    <m/>
    <m/>
    <m/>
    <m/>
    <x v="18"/>
  </r>
  <r>
    <d v="2023-05-15T08:11:40"/>
    <x v="18"/>
    <s v="Wassabada"/>
    <s v="Collectif"/>
    <s v="Noh doussou siné trore"/>
    <n v="621307794"/>
    <m/>
    <s v="Balato"/>
    <n v="40"/>
    <s v="Labour - uniquement"/>
    <n v="100"/>
    <s v="Bagnain"/>
    <s v="Bagnain"/>
    <s v="4 mois"/>
    <d v="2023-06-10T00:00:00"/>
    <m/>
    <s v="Ibrahima Kalil Fofana"/>
    <s v="Riz"/>
    <x v="0"/>
    <m/>
    <m/>
    <x v="19"/>
    <m/>
    <m/>
    <m/>
    <m/>
    <m/>
    <m/>
    <m/>
    <x v="18"/>
  </r>
  <r>
    <d v="2023-05-15T09:10:54"/>
    <x v="8"/>
    <s v="Beyla centre"/>
    <s v="Individuel"/>
    <s v="Yakou Bayo"/>
    <n v="611664469"/>
    <m/>
    <s v="Gbéssoba"/>
    <n v="10"/>
    <s v="Labour - uniquement"/>
    <n v="7"/>
    <s v="kounvini"/>
    <s v="Riz"/>
    <s v="6 mois"/>
    <d v="2023-05-15T00:00:00"/>
    <m/>
    <s v="Moussa Conde"/>
    <s v="Riz"/>
    <x v="1"/>
    <n v="7"/>
    <d v="2023-05-15T00:00:00"/>
    <x v="4"/>
    <s v="8BLA010T"/>
    <m/>
    <m/>
    <m/>
    <m/>
    <m/>
    <m/>
    <x v="18"/>
  </r>
  <r>
    <d v="2023-05-15T09:23:40"/>
    <x v="12"/>
    <s v="Ouassou"/>
    <s v="Individuel"/>
    <s v="Mixalou Toure"/>
    <n v="621962157"/>
    <n v="621962157"/>
    <s v="Koba-Tatema"/>
    <n v="6"/>
    <s v="Labour - uniquement"/>
    <n v="2"/>
    <s v="Massaraka"/>
    <s v="Nereka"/>
    <s v="6 mois"/>
    <d v="2023-05-13T00:00:00"/>
    <s v="Accord"/>
    <s v="Kissi Camara"/>
    <s v="Riz"/>
    <x v="1"/>
    <n v="2"/>
    <d v="2023-05-15T00:00:00"/>
    <x v="4"/>
    <s v="2DKA001T"/>
    <m/>
    <m/>
    <m/>
    <m/>
    <m/>
    <m/>
    <x v="18"/>
  </r>
  <r>
    <d v="2023-05-15T09:39:43"/>
    <x v="8"/>
    <s v="Beyla Centre"/>
    <s v="Individuel"/>
    <s v="Kemo magasin"/>
    <n v="626530039"/>
    <m/>
    <s v="Sinko"/>
    <n v="30"/>
    <s v="Labour - uniquement"/>
    <n v="8"/>
    <s v="Riz blanc"/>
    <s v="Riz Blanc"/>
    <s v="5 mois"/>
    <d v="2023-05-15T00:00:00"/>
    <m/>
    <s v="Moussa Conde"/>
    <s v="Riz"/>
    <x v="1"/>
    <n v="8"/>
    <d v="2023-05-15T00:00:00"/>
    <x v="4"/>
    <s v="8BLA013T"/>
    <m/>
    <m/>
    <m/>
    <m/>
    <m/>
    <m/>
    <x v="18"/>
  </r>
  <r>
    <d v="2023-05-15T10:49:15"/>
    <x v="16"/>
    <s v="Foundeng 1"/>
    <s v="Individuel"/>
    <s v="Mody Majin Barry"/>
    <n v="622300912"/>
    <m/>
    <s v="Dabola Centre"/>
    <n v="10"/>
    <s v="Labour - uniquement"/>
    <n v="10"/>
    <s v="Ck90"/>
    <s v="Ck90"/>
    <s v="4 mois"/>
    <d v="2023-05-15T00:00:00"/>
    <m/>
    <s v="Souleymane Kanté"/>
    <s v="Riz"/>
    <x v="1"/>
    <n v="10"/>
    <d v="2023-05-15T00:00:00"/>
    <x v="4"/>
    <s v="6DLA001T"/>
    <m/>
    <m/>
    <m/>
    <m/>
    <m/>
    <m/>
    <x v="18"/>
  </r>
  <r>
    <d v="2023-05-15T11:08:33"/>
    <x v="18"/>
    <s v="Wassabada"/>
    <s v="Collectif"/>
    <s v="Sidiki Condé"/>
    <n v="622642326"/>
    <m/>
    <s v="Kiniéro"/>
    <n v="65"/>
    <s v="Labour - uniquement"/>
    <n v="30"/>
    <s v="Samiakonko"/>
    <s v="Samiakonko"/>
    <s v="5 mois"/>
    <d v="2023-05-16T00:00:00"/>
    <m/>
    <s v="Ibrahima Kalil Fofana"/>
    <s v="Riz"/>
    <x v="1"/>
    <n v="30"/>
    <d v="2023-05-15T00:00:00"/>
    <x v="4"/>
    <s v="7KSA005T"/>
    <m/>
    <m/>
    <m/>
    <m/>
    <m/>
    <m/>
    <x v="18"/>
  </r>
  <r>
    <d v="2023-05-15T11:18:46"/>
    <x v="18"/>
    <s v="Wassabada"/>
    <s v="Individuel"/>
    <s v="Saran mamoudou Traoré"/>
    <n v="623522351"/>
    <m/>
    <s v="Kouroussa Centre"/>
    <n v="8"/>
    <s v="Labour - uniquement"/>
    <n v="6"/>
    <s v="Bagnain"/>
    <s v="Bagnain"/>
    <s v="4 mois"/>
    <d v="2023-06-01T00:00:00"/>
    <m/>
    <s v="Ibrahima Kalil Fofana"/>
    <s v="Riz"/>
    <x v="0"/>
    <m/>
    <m/>
    <x v="19"/>
    <m/>
    <m/>
    <m/>
    <m/>
    <m/>
    <m/>
    <m/>
    <x v="18"/>
  </r>
  <r>
    <d v="2023-05-15T11:19:37"/>
    <x v="16"/>
    <s v="Foundeng 1"/>
    <s v="Individuel"/>
    <s v="Amara cherif"/>
    <n v="622681371"/>
    <m/>
    <s v="Bissikrima"/>
    <n v="55"/>
    <s v="Labour - uniquement"/>
    <n v="2"/>
    <s v="Ck90"/>
    <s v="Ck90"/>
    <s v="4 mois"/>
    <d v="2023-05-15T00:00:00"/>
    <m/>
    <s v="Souleymane Kanté"/>
    <s v="Riz"/>
    <x v="1"/>
    <n v="2"/>
    <d v="2023-05-15T00:00:00"/>
    <x v="4"/>
    <s v="6DLA002T"/>
    <m/>
    <m/>
    <m/>
    <m/>
    <m/>
    <m/>
    <x v="18"/>
  </r>
  <r>
    <d v="2023-05-15T11:35:07"/>
    <x v="5"/>
    <s v="Guéckédou centre"/>
    <s v="Individuel"/>
    <s v="Moriba sossoidouno"/>
    <n v="623652019"/>
    <n v="623652019"/>
    <s v="Terméssadou Djibo"/>
    <n v="31"/>
    <s v="Labour - uniquement"/>
    <n v="10"/>
    <s v="Ck90"/>
    <s v="Ck90"/>
    <s v="4 mois"/>
    <d v="2023-05-17T00:00:00"/>
    <s v="Ok"/>
    <s v="Lamine Condé"/>
    <s v="Riz"/>
    <x v="0"/>
    <m/>
    <m/>
    <x v="19"/>
    <m/>
    <m/>
    <m/>
    <m/>
    <m/>
    <m/>
    <m/>
    <x v="18"/>
  </r>
  <r>
    <d v="2023-05-15T11:40:53"/>
    <x v="5"/>
    <s v="Guéckédou centre"/>
    <s v="Individuel"/>
    <s v="Tamba Kamano"/>
    <n v="656127202"/>
    <n v="656127202"/>
    <s v="Guéckédou Centre"/>
    <n v="3"/>
    <s v="Labour - uniquement"/>
    <n v="1"/>
    <s v="Ck90"/>
    <s v="Ck90"/>
    <s v="4 mois"/>
    <d v="2023-05-15T00:00:00"/>
    <s v="Ok"/>
    <s v="Lamine Condé"/>
    <s v="Riz"/>
    <x v="1"/>
    <n v="1"/>
    <d v="2023-05-15T00:00:00"/>
    <x v="4"/>
    <s v="8GOU003T"/>
    <m/>
    <m/>
    <m/>
    <m/>
    <m/>
    <m/>
    <x v="18"/>
  </r>
  <r>
    <d v="2023-05-15T12:57:24"/>
    <x v="17"/>
    <s v="C U"/>
    <s v="Collectif"/>
    <s v="COL. ABDOULAYE CAMARA"/>
    <n v="628231428"/>
    <m/>
    <s v="Koumbia"/>
    <n v="15"/>
    <s v="Labour + Pulvérisation"/>
    <n v="20"/>
    <s v="Ck 90"/>
    <s v="Ck90"/>
    <s v="3 mois"/>
    <d v="2023-05-26T00:00:00"/>
    <m/>
    <s v="Soriba Moustapha Camara"/>
    <s v="Riz"/>
    <x v="0"/>
    <m/>
    <m/>
    <x v="19"/>
    <m/>
    <m/>
    <m/>
    <m/>
    <m/>
    <m/>
    <m/>
    <x v="18"/>
  </r>
  <r>
    <d v="2023-05-15T13:07:45"/>
    <x v="11"/>
    <s v="Centre"/>
    <s v="Individuel"/>
    <s v="Amara soumaro"/>
    <n v="620769912"/>
    <n v="620769912"/>
    <s v="Kérouane Centre"/>
    <n v="3"/>
    <s v="Labour - uniquement"/>
    <n v="1"/>
    <s v="Samory"/>
    <s v="Samory"/>
    <s v="5 mois"/>
    <d v="2023-05-18T00:00:00"/>
    <m/>
    <s v="Moussa Kadia Camara"/>
    <s v="Riz"/>
    <x v="1"/>
    <n v="1"/>
    <d v="2023-05-16T00:00:00"/>
    <x v="4"/>
    <s v="7KNE003T"/>
    <m/>
    <m/>
    <m/>
    <m/>
    <m/>
    <m/>
    <x v="18"/>
  </r>
  <r>
    <d v="2023-05-15T13:10:06"/>
    <x v="11"/>
    <s v="Centre"/>
    <s v="Individuel"/>
    <s v="Soumaila Traoré"/>
    <n v="623039062"/>
    <n v="623039062"/>
    <s v="Kérouane Centre"/>
    <n v="3"/>
    <s v="Labour - uniquement"/>
    <n v="2"/>
    <s v="Djoufini"/>
    <s v="Djoufini"/>
    <s v="6 mois"/>
    <d v="2023-05-18T00:00:00"/>
    <m/>
    <s v="Moussa Kadia Camara"/>
    <s v="Riz"/>
    <x v="1"/>
    <n v="2"/>
    <d v="2023-05-16T00:00:00"/>
    <x v="4"/>
    <s v="7KNE003T"/>
    <m/>
    <m/>
    <m/>
    <m/>
    <m/>
    <m/>
    <x v="18"/>
  </r>
  <r>
    <d v="2023-05-15T13:12:42"/>
    <x v="11"/>
    <s v="Centre"/>
    <s v="Individuel"/>
    <s v="Lonceny Traoré"/>
    <n v="624268775"/>
    <n v="624268775"/>
    <s v="Kérouane Centre"/>
    <n v="5"/>
    <s v="Labour - uniquement"/>
    <n v="2"/>
    <s v="Samory"/>
    <s v="Samory"/>
    <s v="5 mois"/>
    <d v="2023-05-19T00:00:00"/>
    <m/>
    <s v="Moussa Kadia Camara"/>
    <s v="Riz"/>
    <x v="1"/>
    <n v="2"/>
    <d v="2023-05-16T00:00:00"/>
    <x v="4"/>
    <s v="7KNE001T"/>
    <m/>
    <m/>
    <m/>
    <m/>
    <m/>
    <m/>
    <x v="18"/>
  </r>
  <r>
    <d v="2023-05-15T13:15:30"/>
    <x v="11"/>
    <s v="Centre"/>
    <s v="Individuel"/>
    <s v="Moustapha Diallo"/>
    <n v="627935149"/>
    <n v="627935149"/>
    <s v="Kérouane Centre"/>
    <n v="3"/>
    <s v="Labour - uniquement"/>
    <n v="2"/>
    <s v="Samory"/>
    <s v="Samory"/>
    <s v="5 mois"/>
    <d v="2023-05-19T00:00:00"/>
    <m/>
    <s v="Moussa Kadia Camara"/>
    <s v="Riz"/>
    <x v="1"/>
    <n v="2"/>
    <d v="2023-05-16T00:00:00"/>
    <x v="4"/>
    <s v="7KNE002T"/>
    <m/>
    <m/>
    <m/>
    <m/>
    <m/>
    <m/>
    <x v="18"/>
  </r>
  <r>
    <d v="2023-05-15T13:17:55"/>
    <x v="11"/>
    <s v="Centre"/>
    <s v="Individuel"/>
    <s v="Sékou Cissé"/>
    <n v="628821714"/>
    <n v="628821714"/>
    <s v="Kérouane Centre"/>
    <n v="5"/>
    <s v="Labour - uniquement"/>
    <n v="2"/>
    <s v="Seka 93"/>
    <s v="Seka 93"/>
    <s v="5 mois"/>
    <d v="2023-05-19T00:00:00"/>
    <m/>
    <s v="Moussa Kadia Camara"/>
    <s v="Riz"/>
    <x v="1"/>
    <n v="2"/>
    <d v="2023-05-16T00:00:00"/>
    <x v="4"/>
    <s v="7KNE003T"/>
    <m/>
    <m/>
    <m/>
    <m/>
    <m/>
    <m/>
    <x v="18"/>
  </r>
  <r>
    <d v="2023-05-15T13:20:55"/>
    <x v="11"/>
    <s v="Centre"/>
    <s v="Individuel"/>
    <s v="Soumana Camara"/>
    <n v="625342400"/>
    <n v="625342400"/>
    <s v="Kérouane Centre"/>
    <n v="8"/>
    <s v="Labour - uniquement"/>
    <n v="2"/>
    <s v="Djoufini"/>
    <s v="Djoufini"/>
    <s v="6 mois"/>
    <d v="2023-05-20T00:00:00"/>
    <m/>
    <s v="Moussa Kadia Camara"/>
    <s v="Riz"/>
    <x v="1"/>
    <n v="2"/>
    <d v="2023-05-16T00:00:00"/>
    <x v="4"/>
    <s v="7MNA007T"/>
    <m/>
    <m/>
    <m/>
    <m/>
    <m/>
    <m/>
    <x v="18"/>
  </r>
  <r>
    <d v="2023-05-15T13:24:43"/>
    <x v="11"/>
    <s v="Centre"/>
    <s v="Individuel"/>
    <s v="Mamadi Camara"/>
    <n v="610712706"/>
    <n v="610712706"/>
    <s v="Kérouane Centre"/>
    <n v="7"/>
    <s v="Labour - uniquement"/>
    <n v="3"/>
    <s v="Djoufini"/>
    <s v="Djoufini"/>
    <s v="6 mois"/>
    <d v="2023-05-21T00:00:00"/>
    <m/>
    <s v="Moussa Kadia Camara"/>
    <s v="Riz"/>
    <x v="1"/>
    <n v="3"/>
    <d v="2023-05-16T00:00:00"/>
    <x v="4"/>
    <s v="7MNA006T"/>
    <m/>
    <m/>
    <m/>
    <m/>
    <m/>
    <m/>
    <x v="18"/>
  </r>
  <r>
    <d v="2023-05-15T13:27:26"/>
    <x v="11"/>
    <s v="Centre"/>
    <s v="Individuel"/>
    <s v="Ibrahima Kalou Magassouba"/>
    <n v="620013765"/>
    <n v="620013765"/>
    <s v="Kérouane Centre"/>
    <n v="3"/>
    <s v="Labour - uniquement"/>
    <n v="2"/>
    <s v="Samory"/>
    <s v="Samory"/>
    <s v="5 mois"/>
    <d v="2023-05-21T00:00:00"/>
    <m/>
    <s v="Moussa Kadia Camara"/>
    <s v="Riz"/>
    <x v="1"/>
    <n v="2"/>
    <d v="2023-05-16T00:00:00"/>
    <x v="4"/>
    <s v="7KNE001T"/>
    <m/>
    <m/>
    <m/>
    <m/>
    <m/>
    <m/>
    <x v="18"/>
  </r>
  <r>
    <d v="2023-05-15T13:30:07"/>
    <x v="11"/>
    <s v="Centre"/>
    <s v="Individuel"/>
    <s v="Sory Dabo"/>
    <n v="622067506"/>
    <n v="622067506"/>
    <s v="Kérouane Centre"/>
    <n v="8"/>
    <s v="Labour - uniquement"/>
    <n v="2"/>
    <s v="Samory"/>
    <s v="Samory"/>
    <s v="5 mois"/>
    <d v="2023-05-22T00:00:00"/>
    <m/>
    <s v="Moussa Kadia Camara"/>
    <s v="Riz"/>
    <x v="1"/>
    <n v="2"/>
    <d v="2023-05-16T00:00:00"/>
    <x v="4"/>
    <s v="7MNA006T"/>
    <m/>
    <m/>
    <m/>
    <m/>
    <m/>
    <m/>
    <x v="18"/>
  </r>
  <r>
    <d v="2023-05-15T13:32:47"/>
    <x v="11"/>
    <s v="C"/>
    <s v="Individuel"/>
    <s v="Kaba Keita"/>
    <n v="627330235"/>
    <n v="627330235"/>
    <s v="Kérouane Centre"/>
    <n v="12"/>
    <s v="Labour - uniquement"/>
    <n v="1"/>
    <s v="Samory"/>
    <s v="Samory"/>
    <s v="5 mois"/>
    <d v="2023-05-22T00:00:00"/>
    <m/>
    <s v="Moussa Kadia Camara"/>
    <s v="Riz"/>
    <x v="1"/>
    <n v="1"/>
    <d v="2023-05-16T00:00:00"/>
    <x v="4"/>
    <s v="7MNA006T"/>
    <m/>
    <m/>
    <m/>
    <m/>
    <m/>
    <m/>
    <x v="18"/>
  </r>
  <r>
    <d v="2023-05-15T13:34:49"/>
    <x v="11"/>
    <s v="Centre"/>
    <s v="Individuel"/>
    <s v="Kalou Touré"/>
    <n v="629777011"/>
    <n v="629777011"/>
    <s v="Kérouane Centre"/>
    <n v="2"/>
    <s v="Labour - uniquement"/>
    <n v="2"/>
    <s v="Samory"/>
    <s v="Samory"/>
    <s v="5 mois"/>
    <d v="2023-05-22T00:00:00"/>
    <m/>
    <s v="Moussa Kadia Camara"/>
    <s v="Riz"/>
    <x v="1"/>
    <n v="2"/>
    <d v="2023-05-16T00:00:00"/>
    <x v="4"/>
    <s v="7KNE001T"/>
    <m/>
    <m/>
    <m/>
    <m/>
    <m/>
    <m/>
    <x v="18"/>
  </r>
  <r>
    <d v="2023-05-15T13:37:16"/>
    <x v="11"/>
    <s v="Centre"/>
    <s v="Individuel"/>
    <s v="Solo Camara"/>
    <n v="622721370"/>
    <n v="622721370"/>
    <s v="Kérouane Centre"/>
    <n v="2"/>
    <s v="Labour - uniquement"/>
    <n v="3"/>
    <s v="Samory"/>
    <s v="Samory"/>
    <s v="5 mois"/>
    <d v="2023-05-22T00:00:00"/>
    <m/>
    <s v="Moussa Kadia Camara"/>
    <s v="Riz"/>
    <x v="1"/>
    <n v="3"/>
    <d v="2023-05-16T00:00:00"/>
    <x v="4"/>
    <s v="7KNE002T"/>
    <m/>
    <m/>
    <m/>
    <m/>
    <m/>
    <m/>
    <x v="18"/>
  </r>
  <r>
    <d v="2023-05-15T13:38:51"/>
    <x v="20"/>
    <s v="Kindia"/>
    <s v="Collectif"/>
    <s v="DIALLO Mamadou Sanoussy"/>
    <n v="628334356"/>
    <n v="664334356"/>
    <s v="Madina Oula"/>
    <n v="88"/>
    <s v="Labour - uniquement"/>
    <n v="20"/>
    <s v="Coyady"/>
    <s v="Rien"/>
    <s v="5 mois"/>
    <d v="2023-05-16T00:00:00"/>
    <s v="Faisable"/>
    <s v="Boubacar Gueme Bah"/>
    <s v="Riz"/>
    <x v="0"/>
    <m/>
    <m/>
    <x v="19"/>
    <m/>
    <m/>
    <m/>
    <m/>
    <m/>
    <m/>
    <m/>
    <x v="18"/>
  </r>
  <r>
    <d v="2023-05-15T13:46:37"/>
    <x v="13"/>
    <s v="Aviation"/>
    <s v="Individuel"/>
    <s v="Karifa camara"/>
    <n v="627209323"/>
    <m/>
    <s v="Faranah Centre"/>
    <n v="16"/>
    <s v="Labour - uniquement"/>
    <n v="2"/>
    <s v="Kissina"/>
    <s v="Kissina"/>
    <s v="6 mois"/>
    <d v="2023-05-16T00:00:00"/>
    <m/>
    <s v="Mohamed Fanta kourouma"/>
    <s v="Riz"/>
    <x v="1"/>
    <n v="2"/>
    <d v="2023-05-16T00:00:00"/>
    <x v="4"/>
    <s v="6FAH005T"/>
    <m/>
    <m/>
    <m/>
    <m/>
    <m/>
    <m/>
    <x v="18"/>
  </r>
  <r>
    <d v="2023-05-15T14:06:00"/>
    <x v="18"/>
    <s v="Wassabada"/>
    <s v="Collectif"/>
    <s v="Diaty condé"/>
    <n v="628205979"/>
    <m/>
    <s v="Kiniéro"/>
    <n v="48"/>
    <s v="Labour - uniquement"/>
    <n v="50"/>
    <s v="Bagnain"/>
    <s v="Bagnain"/>
    <s v="4 mois"/>
    <d v="2023-05-20T00:00:00"/>
    <m/>
    <s v="Ibrahima Kalil Fofana"/>
    <s v="Riz"/>
    <x v="1"/>
    <n v="31"/>
    <d v="2023-05-15T00:00:00"/>
    <x v="4"/>
    <s v="7KSA006T"/>
    <m/>
    <m/>
    <m/>
    <m/>
    <m/>
    <m/>
    <x v="18"/>
  </r>
  <r>
    <d v="2023-05-15T15:26:26"/>
    <x v="5"/>
    <s v="Guéckédou centre"/>
    <s v="Individuel"/>
    <s v="Moriba sossoidouno"/>
    <n v="623652019"/>
    <n v="623652019"/>
    <s v="Terméssadou Djibo"/>
    <n v="32"/>
    <s v="Labour - uniquement"/>
    <n v="10"/>
    <s v="Ck90"/>
    <s v="Ck90"/>
    <s v="4 mois"/>
    <d v="2023-05-17T00:00:00"/>
    <s v="Ok"/>
    <s v="Lamine Condé"/>
    <s v="Riz"/>
    <x v="1"/>
    <n v="10"/>
    <d v="2023-05-15T00:00:00"/>
    <x v="4"/>
    <s v="8GOU003T"/>
    <m/>
    <m/>
    <m/>
    <m/>
    <m/>
    <m/>
    <x v="18"/>
  </r>
  <r>
    <d v="2023-05-15T15:44:05"/>
    <x v="21"/>
    <s v="Kouankan centre"/>
    <s v="Individuel"/>
    <s v="LONCENY CAMARA"/>
    <n v="628601528"/>
    <m/>
    <s v="Kouankan"/>
    <n v="3"/>
    <s v="Labour - uniquement"/>
    <n v="1"/>
    <s v="haricot rouge"/>
    <s v="haricot"/>
    <s v="5 mois"/>
    <d v="2023-05-07T00:00:00"/>
    <m/>
    <s v="Mohamed Kone"/>
    <s v="Haricot"/>
    <x v="0"/>
    <m/>
    <m/>
    <x v="19"/>
    <m/>
    <m/>
    <m/>
    <m/>
    <m/>
    <m/>
    <m/>
    <x v="18"/>
  </r>
  <r>
    <d v="2023-05-15T15:48:24"/>
    <x v="21"/>
    <s v="Kouankan centre"/>
    <s v="Individuel"/>
    <s v="Famo camara"/>
    <n v="622833959"/>
    <m/>
    <s v="Kouankan"/>
    <n v="4"/>
    <s v="Labour - uniquement"/>
    <n v="3"/>
    <s v="Riz"/>
    <s v="riz"/>
    <s v="4 mois"/>
    <d v="2023-05-09T00:00:00"/>
    <m/>
    <s v="Mohamed Kone"/>
    <s v="Riz"/>
    <x v="0"/>
    <m/>
    <m/>
    <x v="19"/>
    <m/>
    <m/>
    <m/>
    <m/>
    <m/>
    <m/>
    <m/>
    <x v="18"/>
  </r>
  <r>
    <d v="2023-05-15T15:53:33"/>
    <x v="21"/>
    <s v="Kouankan centre"/>
    <s v="Individuel"/>
    <s v="kassan sidiki"/>
    <n v="620495470"/>
    <m/>
    <s v="Kouankan"/>
    <n v="5"/>
    <s v="Labour - uniquement"/>
    <n v="3"/>
    <s v="Riz"/>
    <s v="riz"/>
    <s v="4 mois"/>
    <d v="2023-05-16T00:00:00"/>
    <m/>
    <s v="Mohamed Kone"/>
    <s v="Riz"/>
    <x v="0"/>
    <m/>
    <m/>
    <x v="19"/>
    <m/>
    <m/>
    <m/>
    <m/>
    <m/>
    <m/>
    <m/>
    <x v="18"/>
  </r>
  <r>
    <d v="2023-05-15T17:05:55"/>
    <x v="7"/>
    <s v="Cours du bloc Administratif"/>
    <s v="Individuel"/>
    <s v="Kanina Abou Diallo"/>
    <n v="622661297"/>
    <m/>
    <s v="Mandiana Centre"/>
    <n v="9"/>
    <s v="Labour + Pulvérisation"/>
    <n v="4"/>
    <s v="Bourley diaby"/>
    <s v="Ne connais pas"/>
    <s v="4 mois"/>
    <d v="2023-05-16T00:00:00"/>
    <s v="Aptes pour la mécanisation"/>
    <s v="Nounkè Doumbouya"/>
    <s v="Riz"/>
    <x v="0"/>
    <m/>
    <m/>
    <x v="19"/>
    <m/>
    <m/>
    <m/>
    <m/>
    <m/>
    <m/>
    <m/>
    <x v="18"/>
  </r>
  <r>
    <d v="2023-05-15T19:14:13"/>
    <x v="7"/>
    <s v="Cours du bloc Administratif"/>
    <s v="Collectif"/>
    <s v="Ibrahima DIAKITÉ"/>
    <n v="622103945"/>
    <m/>
    <s v="Morodou"/>
    <n v="28"/>
    <s v="Labour + Pulvérisation"/>
    <n v="115"/>
    <s v="Billimalo, Dissiba"/>
    <s v="Ne connais pas"/>
    <s v="5 mois"/>
    <d v="2023-05-18T00:00:00"/>
    <s v="Aptes pour la mécanisation"/>
    <s v="Nounkè Doumbouya"/>
    <s v="Riz"/>
    <x v="0"/>
    <m/>
    <m/>
    <x v="19"/>
    <m/>
    <m/>
    <m/>
    <m/>
    <m/>
    <m/>
    <m/>
    <x v="18"/>
  </r>
  <r>
    <d v="2023-05-15T19:16:35"/>
    <x v="7"/>
    <s v="Cours du bloc Administratif"/>
    <s v="Collectif"/>
    <s v="Sekouba DIAKITÉ"/>
    <n v="628925165"/>
    <m/>
    <s v="Morodou"/>
    <n v="40"/>
    <s v="Labour + Pulvérisation"/>
    <n v="45"/>
    <s v="Billimalo, Nerica 19"/>
    <s v="Nerica"/>
    <s v="4 mois"/>
    <d v="2023-05-30T00:00:00"/>
    <s v="Aptes pour la mécanisation"/>
    <s v="Nounkè Doumbouya"/>
    <s v="Riz"/>
    <x v="0"/>
    <m/>
    <m/>
    <x v="19"/>
    <m/>
    <m/>
    <m/>
    <m/>
    <m/>
    <m/>
    <m/>
    <x v="18"/>
  </r>
  <r>
    <d v="2023-05-15T19:18:59"/>
    <x v="7"/>
    <s v="Cours du bloc Administratif"/>
    <s v="Collectif"/>
    <s v="Elhadj Kaly Diakité"/>
    <n v="6284199966"/>
    <m/>
    <s v="Morodou"/>
    <n v="35"/>
    <s v="Labour + Pulvérisation"/>
    <n v="55"/>
    <s v="Ck90, sweta"/>
    <s v="Ck"/>
    <s v="5 mois"/>
    <d v="2023-05-20T00:00:00"/>
    <s v="Aptes pour la mécanisation"/>
    <s v="Nounkè Doumbouya"/>
    <s v="Riz"/>
    <x v="0"/>
    <m/>
    <m/>
    <x v="19"/>
    <m/>
    <m/>
    <m/>
    <m/>
    <m/>
    <m/>
    <m/>
    <x v="18"/>
  </r>
  <r>
    <d v="2023-05-15T19:22:13"/>
    <x v="7"/>
    <s v="Cours du bloc Administratif"/>
    <s v="Collectif"/>
    <s v="Fanta madi Sacko"/>
    <n v="628487583"/>
    <m/>
    <s v="Morodou"/>
    <n v="28"/>
    <s v="Labour + Pulvérisation"/>
    <n v="125"/>
    <s v="Nenken, Billimalo, Ck90"/>
    <s v="Ck"/>
    <s v="5 mois"/>
    <d v="2023-05-31T00:00:00"/>
    <s v="Aptes pour la mécanisation"/>
    <s v="Nounkè Doumbouya"/>
    <s v="Riz"/>
    <x v="0"/>
    <m/>
    <m/>
    <x v="19"/>
    <m/>
    <m/>
    <m/>
    <m/>
    <m/>
    <m/>
    <m/>
    <x v="18"/>
  </r>
  <r>
    <d v="2023-05-16T06:48:25"/>
    <x v="8"/>
    <s v="Beyla centre"/>
    <s v="Individuel"/>
    <s v="Moussa Conde"/>
    <n v="621618541"/>
    <m/>
    <s v="Sokourala"/>
    <n v="30"/>
    <s v="Labour - uniquement"/>
    <n v="5"/>
    <s v="Tchocho"/>
    <s v="Riz"/>
    <s v="6 mois"/>
    <d v="2023-05-16T00:00:00"/>
    <m/>
    <s v="Moussa Conde"/>
    <s v="Riz"/>
    <x v="1"/>
    <n v="5"/>
    <d v="2023-05-16T00:00:00"/>
    <x v="4"/>
    <s v="8BLA012T"/>
    <m/>
    <m/>
    <m/>
    <m/>
    <m/>
    <m/>
    <x v="18"/>
  </r>
  <r>
    <d v="2023-05-16T07:00:08"/>
    <x v="8"/>
    <s v="Beyla Centre"/>
    <s v="Individuel"/>
    <s v="Sekou Conde"/>
    <n v="629086697"/>
    <m/>
    <s v="Diarraguerela"/>
    <n v="30"/>
    <s v="Labour - uniquement"/>
    <n v="10"/>
    <s v="Djoufini"/>
    <s v="Riz"/>
    <s v="4 mois"/>
    <d v="2023-05-16T00:00:00"/>
    <m/>
    <s v="Moussa Conde"/>
    <s v="Riz"/>
    <x v="1"/>
    <n v="10"/>
    <d v="2023-05-16T00:00:00"/>
    <x v="4"/>
    <s v="8BLA014T"/>
    <m/>
    <m/>
    <m/>
    <m/>
    <m/>
    <m/>
    <x v="18"/>
  </r>
  <r>
    <d v="2023-05-16T07:05:32"/>
    <x v="8"/>
    <s v="Beyla centre"/>
    <s v="Individuel"/>
    <s v="Moussa Traore"/>
    <n v="620453004"/>
    <m/>
    <s v="Boola"/>
    <n v="20"/>
    <s v="Labour - uniquement"/>
    <n v="5"/>
    <s v="Malogbeni"/>
    <s v="Riz"/>
    <s v="6 mois"/>
    <d v="2023-05-16T00:00:00"/>
    <m/>
    <s v="Moussa Conde"/>
    <s v="Riz"/>
    <x v="1"/>
    <n v="5"/>
    <d v="2023-05-16T00:00:00"/>
    <x v="4"/>
    <s v="8BLA005T"/>
    <m/>
    <m/>
    <m/>
    <m/>
    <m/>
    <m/>
    <x v="18"/>
  </r>
  <r>
    <d v="2023-05-16T07:13:05"/>
    <x v="8"/>
    <s v="Beyla Centre"/>
    <s v="Individuel"/>
    <s v="Ousmane Camara"/>
    <n v="621636457"/>
    <m/>
    <s v="Samana"/>
    <n v="30"/>
    <s v="Labour - uniquement"/>
    <n v="10"/>
    <s v="Tchocho"/>
    <s v="Riz"/>
    <s v="6 mois"/>
    <d v="2023-05-16T00:00:00"/>
    <m/>
    <s v="Moussa Conde"/>
    <s v="Riz"/>
    <x v="1"/>
    <n v="10"/>
    <d v="2023-05-16T00:00:00"/>
    <x v="4"/>
    <s v="8BLA008T"/>
    <m/>
    <m/>
    <m/>
    <m/>
    <m/>
    <m/>
    <x v="18"/>
  </r>
  <r>
    <d v="2023-05-16T10:16:46"/>
    <x v="15"/>
    <s v="Direction Préfectorale de l'Agriculture et de l'Élevage de Lola"/>
    <s v="Individuel"/>
    <s v="Joël Goumou"/>
    <n v="610308767"/>
    <m/>
    <s v="Lainé"/>
    <n v="15"/>
    <s v="Labour - uniquement"/>
    <n v="3"/>
    <s v="Pèta"/>
    <s v="Zea Mays"/>
    <s v="3 mois"/>
    <d v="2023-05-20T00:00:00"/>
    <m/>
    <s v="Pokpa Delamou"/>
    <s v="Maïs"/>
    <x v="1"/>
    <n v="3"/>
    <d v="2023-05-16T00:00:00"/>
    <x v="4"/>
    <s v="8LLA002T"/>
    <m/>
    <m/>
    <m/>
    <m/>
    <m/>
    <m/>
    <x v="18"/>
  </r>
  <r>
    <d v="2023-05-16T11:48:54"/>
    <x v="16"/>
    <s v="Foundeng 1"/>
    <s v="Individuel"/>
    <s v="Moussa Camara"/>
    <n v="622740045"/>
    <m/>
    <s v="Bissikrima"/>
    <n v="55"/>
    <s v="Labour - uniquement"/>
    <n v="10"/>
    <s v="Mètre 6"/>
    <s v="Mètre 6"/>
    <s v="6 mois"/>
    <d v="2023-05-18T00:00:00"/>
    <m/>
    <s v="Souleymane Kanté"/>
    <s v="Riz"/>
    <x v="1"/>
    <n v="8"/>
    <d v="2023-05-18T00:00:00"/>
    <x v="4"/>
    <s v="6DLA002T"/>
    <m/>
    <m/>
    <m/>
    <m/>
    <m/>
    <m/>
    <x v="18"/>
  </r>
  <r>
    <d v="2023-05-16T12:10:10"/>
    <x v="12"/>
    <s v="Ouassou"/>
    <s v="Individuel"/>
    <s v="Ibrahima camara"/>
    <n v="622334085"/>
    <n v="622334085"/>
    <s v="Koba-Tatema"/>
    <n v="7"/>
    <s v="Labour - uniquement"/>
    <n v="2"/>
    <s v="Balenta"/>
    <s v="Rock5"/>
    <s v="6 mois"/>
    <d v="2023-05-15T00:00:00"/>
    <s v="Accord"/>
    <s v="Kissi Camara"/>
    <s v="Riz"/>
    <x v="1"/>
    <n v="2"/>
    <d v="2023-05-16T00:00:00"/>
    <x v="4"/>
    <s v="2DKA001T"/>
    <m/>
    <m/>
    <m/>
    <m/>
    <m/>
    <m/>
    <x v="18"/>
  </r>
  <r>
    <d v="2023-05-16T12:26:03"/>
    <x v="12"/>
    <s v="Ouassou"/>
    <s v="Individuel"/>
    <s v="Mohamed Diane"/>
    <n v="624357406"/>
    <n v="624357406"/>
    <s v="Koba-Tatema"/>
    <n v="9"/>
    <s v="Labour - uniquement"/>
    <n v="1"/>
    <s v="Massaraka"/>
    <s v="Nereka"/>
    <s v="6 mois"/>
    <d v="2023-05-16T00:00:00"/>
    <s v="Accord"/>
    <s v="Kissi Camara"/>
    <s v="Riz"/>
    <x v="1"/>
    <n v="1"/>
    <d v="2023-05-16T00:00:00"/>
    <x v="4"/>
    <s v="2DKA001T"/>
    <m/>
    <m/>
    <m/>
    <m/>
    <m/>
    <m/>
    <x v="18"/>
  </r>
  <r>
    <d v="2023-05-16T13:13:56"/>
    <x v="13"/>
    <s v="Aviation"/>
    <s v="Individuel"/>
    <s v="Djiba doumbouya"/>
    <n v="628225978"/>
    <m/>
    <s v="Banfélé"/>
    <n v="150"/>
    <s v="Labour - uniquement"/>
    <n v="14"/>
    <s v="Mettre 6"/>
    <s v="Mettre 6"/>
    <s v="6 mois"/>
    <d v="2023-05-17T00:00:00"/>
    <m/>
    <s v="Mohamed Fanta kourouma"/>
    <s v="Riz"/>
    <x v="1"/>
    <n v="14"/>
    <d v="2023-05-16T00:00:00"/>
    <x v="4"/>
    <s v="6FAH008T"/>
    <m/>
    <m/>
    <m/>
    <m/>
    <m/>
    <m/>
    <x v="18"/>
  </r>
  <r>
    <d v="2023-05-16T14:22:29"/>
    <x v="5"/>
    <s v="Guéckédou centre"/>
    <s v="Individuel"/>
    <s v="Alpha saliou Diallo"/>
    <n v="626952233"/>
    <n v="626952233"/>
    <s v="Guéckédou Centre"/>
    <n v="4"/>
    <s v="Labour - uniquement"/>
    <n v="1"/>
    <s v="Ck90"/>
    <s v="Ck90"/>
    <s v="4 mois"/>
    <d v="2023-05-16T00:00:00"/>
    <s v="Ok"/>
    <s v="Lamine Condé"/>
    <s v="Riz"/>
    <x v="1"/>
    <n v="1.5"/>
    <d v="2023-05-16T00:00:00"/>
    <x v="4"/>
    <s v="8GOU003T"/>
    <m/>
    <m/>
    <m/>
    <m/>
    <m/>
    <m/>
    <x v="18"/>
  </r>
  <r>
    <d v="2023-05-16T14:27:50"/>
    <x v="19"/>
    <s v="Commune Urbaine"/>
    <s v="Individuel"/>
    <s v="Issagha kaba"/>
    <n v="610211215"/>
    <m/>
    <s v="Mankountan"/>
    <n v="42"/>
    <s v="Labour - uniquement"/>
    <n v="5"/>
    <s v="Kakossa"/>
    <s v="Oriza glaberima"/>
    <s v="5 mois"/>
    <d v="2023-05-18T00:00:00"/>
    <m/>
    <s v="Ousmane Tangaly Balde"/>
    <s v="Riz"/>
    <x v="1"/>
    <n v="5"/>
    <d v="2023-05-23T00:00:00"/>
    <x v="18"/>
    <s v="2CAH001T"/>
    <m/>
    <m/>
    <m/>
    <m/>
    <m/>
    <m/>
    <x v="18"/>
  </r>
  <r>
    <d v="2023-05-16T16:17:24"/>
    <x v="3"/>
    <s v="Petel Mamou"/>
    <s v="Individuel"/>
    <s v="Mohamed kaba"/>
    <n v="621278650"/>
    <m/>
    <s v="Ouré-Kaba"/>
    <n v="80"/>
    <s v="Labour - uniquement"/>
    <n v="2"/>
    <s v="Seydouba"/>
    <s v="CK90"/>
    <s v="4 mois"/>
    <d v="2023-11-18T00:00:00"/>
    <s v="Tout va bien"/>
    <s v="Mamadouba Camara"/>
    <s v="Riz"/>
    <x v="0"/>
    <m/>
    <m/>
    <x v="19"/>
    <m/>
    <m/>
    <m/>
    <m/>
    <m/>
    <m/>
    <m/>
    <x v="18"/>
  </r>
  <r>
    <d v="2023-05-17T05:51:33"/>
    <x v="7"/>
    <s v="Cours du bloc Administratif"/>
    <s v="Individuel"/>
    <s v="Kaly Diakité"/>
    <n v="628155244"/>
    <m/>
    <s v="Morodou"/>
    <n v="27"/>
    <s v="Labour + Pulvérisation"/>
    <n v="35"/>
    <s v="Dissiba, nenken"/>
    <s v="Ne connais pas"/>
    <s v="5 mois"/>
    <d v="2023-05-31T00:00:00"/>
    <s v="Aptes pour la mécanisation"/>
    <s v="Nounkè Doumbouya"/>
    <s v="Riz"/>
    <x v="0"/>
    <m/>
    <m/>
    <x v="19"/>
    <m/>
    <m/>
    <m/>
    <m/>
    <m/>
    <m/>
    <m/>
    <x v="18"/>
  </r>
  <r>
    <d v="2023-05-17T08:01:57"/>
    <x v="5"/>
    <s v="Guéckédou centre"/>
    <s v="Individuel"/>
    <s v="Faya Léon bongono"/>
    <n v="629447171"/>
    <n v="629447171"/>
    <s v="Guendembou"/>
    <n v="20"/>
    <s v="Labour - uniquement"/>
    <n v="4"/>
    <s v="Ck90"/>
    <s v="Ck90"/>
    <s v="4 mois"/>
    <d v="2023-05-17T00:00:00"/>
    <s v="Ok"/>
    <s v="Antoine Teliano"/>
    <s v="Riz"/>
    <x v="1"/>
    <n v="4"/>
    <d v="2023-05-17T00:00:00"/>
    <x v="4"/>
    <s v="8GOU002T"/>
    <m/>
    <m/>
    <m/>
    <m/>
    <m/>
    <m/>
    <x v="18"/>
  </r>
  <r>
    <d v="2023-05-17T08:59:52"/>
    <x v="12"/>
    <s v="Ouassou"/>
    <s v="Individuel"/>
    <s v="Cherif Bah"/>
    <n v="622564290"/>
    <n v="622564290"/>
    <s v="Koba-Tatema"/>
    <n v="7"/>
    <s v="Labour - uniquement"/>
    <n v="3"/>
    <s v="Massaraka"/>
    <s v="Nereka"/>
    <s v="6 mois"/>
    <d v="2023-05-17T00:00:00"/>
    <s v="Accord"/>
    <s v="Kissi Camara"/>
    <s v="Riz"/>
    <x v="1"/>
    <n v="3"/>
    <d v="2023-05-17T00:00:00"/>
    <x v="4"/>
    <s v="2DKA001T"/>
    <m/>
    <m/>
    <m/>
    <m/>
    <m/>
    <m/>
    <x v="18"/>
  </r>
  <r>
    <d v="2023-05-17T11:33:43"/>
    <x v="1"/>
    <s v="Siguiri"/>
    <s v="Collectif"/>
    <s v="Sindian TRAORE"/>
    <n v="628729355"/>
    <m/>
    <s v="Kiniébakoura"/>
    <n v="15"/>
    <s v="Labour - uniquement"/>
    <n v="30"/>
    <s v="Nenkin, Nerica19..."/>
    <s v="Nenkin, Nerica19..."/>
    <s v="4 mois"/>
    <d v="2023-05-19T00:00:00"/>
    <m/>
    <s v="Nanamoudou ll Magassouba"/>
    <s v="Riz"/>
    <x v="1"/>
    <n v="30"/>
    <d v="2023-05-18T00:00:00"/>
    <x v="4"/>
    <s v="7SRI002T"/>
    <m/>
    <m/>
    <m/>
    <m/>
    <m/>
    <m/>
    <x v="18"/>
  </r>
  <r>
    <d v="2023-05-17T12:08:10"/>
    <x v="8"/>
    <s v="Beyla centre"/>
    <s v="Individuel"/>
    <s v="Moussa Conde"/>
    <n v="621618541"/>
    <m/>
    <s v="Sokourala"/>
    <n v="30"/>
    <s v="Labour - uniquement"/>
    <n v="10"/>
    <s v="Tchocho"/>
    <s v="Riz"/>
    <s v="6 mois"/>
    <d v="2023-05-17T00:00:00"/>
    <m/>
    <s v="Moussa Conde"/>
    <s v="Riz"/>
    <x v="1"/>
    <n v="10"/>
    <d v="2023-05-17T00:00:00"/>
    <x v="4"/>
    <s v="8BLA009T"/>
    <m/>
    <m/>
    <m/>
    <m/>
    <m/>
    <m/>
    <x v="18"/>
  </r>
  <r>
    <d v="2023-05-17T14:37:12"/>
    <x v="13"/>
    <s v="Aviation"/>
    <s v="Individuel"/>
    <s v="Mohamed lansana camara"/>
    <n v="620755506"/>
    <m/>
    <s v="Faranah Centre"/>
    <n v="3"/>
    <s v="Labour - uniquement"/>
    <n v="3"/>
    <s v="Porotokolo"/>
    <s v="Porotokolo"/>
    <s v="6 mois"/>
    <d v="2023-05-17T00:00:00"/>
    <m/>
    <s v="Mohamed Fanta kourouma"/>
    <s v="Riz"/>
    <x v="1"/>
    <n v="3"/>
    <d v="2023-05-18T00:00:00"/>
    <x v="4"/>
    <s v="6FAH005T"/>
    <m/>
    <m/>
    <m/>
    <m/>
    <m/>
    <m/>
    <x v="18"/>
  </r>
  <r>
    <d v="2023-05-18T06:20:49"/>
    <x v="15"/>
    <s v="Direction Préfectorale de l'Agriculture et de l'Élevage de Lola"/>
    <s v="Collectif"/>
    <s v="Gertrude Lamah"/>
    <n v="624910129"/>
    <m/>
    <s v="Lainé"/>
    <n v="12"/>
    <s v="Pulvérisation - uniquement"/>
    <n v="27"/>
    <s v="Jaune_jaune"/>
    <s v="zea Mays"/>
    <s v="3 mois"/>
    <d v="2023-05-19T00:00:00"/>
    <m/>
    <s v="Pokpa Delamou"/>
    <s v="Maïs"/>
    <x v="0"/>
    <m/>
    <d v="2023-05-18T00:00:00"/>
    <x v="4"/>
    <s v="8LLA001T"/>
    <m/>
    <m/>
    <m/>
    <m/>
    <m/>
    <m/>
    <x v="18"/>
  </r>
  <r>
    <d v="2023-05-18T08:54:16"/>
    <x v="16"/>
    <s v="Foundeng 1"/>
    <s v="Individuel"/>
    <s v="Elhadj AbdoulSamad Camara"/>
    <n v="628153800"/>
    <m/>
    <s v="Dabola Centre"/>
    <n v="10"/>
    <s v="Pulvérisation - uniquement"/>
    <n v="3"/>
    <s v="Ck90"/>
    <s v="Ck90"/>
    <s v="4 mois"/>
    <d v="2023-05-20T00:00:00"/>
    <m/>
    <s v="Souleymane Kanté"/>
    <s v="Riz"/>
    <x v="1"/>
    <n v="27"/>
    <d v="2023-05-18T00:00:00"/>
    <x v="4"/>
    <m/>
    <m/>
    <m/>
    <m/>
    <m/>
    <m/>
    <m/>
    <x v="18"/>
  </r>
  <r>
    <d v="2023-05-18T09:45:19"/>
    <x v="15"/>
    <s v="Direction Préfectorale de l'Agriculture et de l'Élevage de Lola"/>
    <s v="Collectif"/>
    <s v="Gertrude Lamah"/>
    <n v="624910129"/>
    <m/>
    <s v="Lainé"/>
    <n v="15"/>
    <s v="Labour - uniquement"/>
    <n v="27"/>
    <s v="Jaune_jaune"/>
    <s v="Zea Mays"/>
    <s v="3 mois"/>
    <d v="2023-05-19T00:00:00"/>
    <m/>
    <s v="Pokpa Delamou"/>
    <s v="Maïs"/>
    <x v="0"/>
    <m/>
    <d v="2023-05-18T00:00:00"/>
    <x v="4"/>
    <m/>
    <m/>
    <m/>
    <m/>
    <m/>
    <m/>
    <m/>
    <x v="18"/>
  </r>
  <r>
    <d v="2023-05-18T10:12:58"/>
    <x v="7"/>
    <s v="Cours du bloc Administratif"/>
    <s v="Individuel"/>
    <s v="Mamadi koroko DIALLO"/>
    <n v="629219069"/>
    <m/>
    <s v="Mandiana Centre"/>
    <n v="11"/>
    <s v="Labour + Pulvérisation"/>
    <n v="8"/>
    <s v="Tambakelè"/>
    <s v="Ne connais pas"/>
    <s v="4 mois"/>
    <d v="2023-05-19T00:00:00"/>
    <s v="Aptes pour la mécanisation"/>
    <s v="Nounkè Doumbouya"/>
    <s v="Riz"/>
    <x v="1"/>
    <n v="4"/>
    <d v="2023-05-19T00:00:00"/>
    <x v="4"/>
    <s v="7MNA005T"/>
    <m/>
    <m/>
    <m/>
    <m/>
    <m/>
    <m/>
    <x v="18"/>
  </r>
  <r>
    <d v="2023-05-18T10:35:41"/>
    <x v="1"/>
    <s v="Siguiri"/>
    <s v="Individuel"/>
    <s v="Elhdj Bamba TRAORE"/>
    <n v="628962191"/>
    <m/>
    <s v="Siguiri Centre"/>
    <n v="2"/>
    <s v="Labour - uniquement"/>
    <n v="2"/>
    <s v="Fra Nenkin"/>
    <s v="Fra Nenkin"/>
    <s v="4 mois"/>
    <d v="2023-05-18T00:00:00"/>
    <m/>
    <s v="Nanamoudou ll Magassouba"/>
    <s v="Riz"/>
    <x v="1"/>
    <n v="2.5"/>
    <d v="2023-05-18T00:00:00"/>
    <x v="4"/>
    <s v="7SRI002T"/>
    <m/>
    <m/>
    <m/>
    <m/>
    <m/>
    <m/>
    <x v="18"/>
  </r>
  <r>
    <d v="2023-05-18T11:34:20"/>
    <x v="9"/>
    <s v="Forecariah"/>
    <s v="Collectif"/>
    <s v="Alsény Camara"/>
    <n v="628067765"/>
    <m/>
    <s v="Kakossa"/>
    <n v="5"/>
    <s v="Labour - uniquement"/>
    <n v="5"/>
    <s v="Ck-90"/>
    <s v="Ck-90"/>
    <s v="5 mois"/>
    <d v="2023-05-19T00:00:00"/>
    <m/>
    <s v="Diamouré keita"/>
    <s v="Riz"/>
    <x v="1"/>
    <n v="5"/>
    <d v="2023-05-18T00:00:00"/>
    <x v="4"/>
    <s v="2FAH002T"/>
    <m/>
    <m/>
    <m/>
    <m/>
    <m/>
    <m/>
    <x v="18"/>
  </r>
  <r>
    <d v="2023-05-18T11:37:42"/>
    <x v="9"/>
    <s v="Forecariah"/>
    <s v="Individuel"/>
    <s v="Imam ahmed soumah"/>
    <n v="623597802"/>
    <m/>
    <s v="Moussaya"/>
    <n v="63"/>
    <s v="Pulvérisation - uniquement"/>
    <n v="3"/>
    <s v="Ck-90"/>
    <s v="Ck-90"/>
    <s v="5 mois"/>
    <d v="2023-05-19T00:00:00"/>
    <m/>
    <s v="Diamouré keita"/>
    <s v="Riz"/>
    <x v="1"/>
    <n v="3"/>
    <d v="2023-05-18T00:00:00"/>
    <x v="4"/>
    <s v="2FAH005T"/>
    <m/>
    <m/>
    <m/>
    <m/>
    <m/>
    <m/>
    <x v="18"/>
  </r>
  <r>
    <d v="2023-05-18T12:03:11"/>
    <x v="17"/>
    <s v="C U"/>
    <s v="Collectif"/>
    <s v="ALSENY BARRY"/>
    <n v="624429142"/>
    <m/>
    <s v="Wendou M'Bour"/>
    <n v="85"/>
    <s v="Labour - uniquement"/>
    <n v="8"/>
    <s v="DIOULKÉMÈ"/>
    <s v="CK90"/>
    <s v="3 mois"/>
    <d v="2023-05-21T00:00:00"/>
    <m/>
    <s v="Soriba Moustapha Camara"/>
    <s v="Riz"/>
    <x v="1"/>
    <n v="8"/>
    <d v="2023-05-18T00:00:00"/>
    <x v="4"/>
    <s v="3GAL004T"/>
    <m/>
    <m/>
    <m/>
    <m/>
    <m/>
    <m/>
    <x v="18"/>
  </r>
  <r>
    <d v="2023-05-18T13:25:24"/>
    <x v="4"/>
    <s v="Boké centre"/>
    <s v="Collectif"/>
    <s v="ARIES FARMS SARL a Yongoro"/>
    <n v="629007465"/>
    <n v="0"/>
    <s v="Kolaboui"/>
    <n v="34"/>
    <s v="Labour + Pulvérisation"/>
    <n v="37.5"/>
    <s v="bagamalé"/>
    <s v="non"/>
    <s v="6 mois"/>
    <d v="2023-05-19T00:00:00"/>
    <s v="la société ARIES FARMS SARL a versé au total pour le 1er labour 50 hectares. hier pour 12,5 ha et aujourd'hui elle a versé pour 37,5 ha soit pour unt"/>
    <s v="Elhadj Souaré Mamadou Dian"/>
    <s v="Riz"/>
    <x v="1"/>
    <n v="37.5"/>
    <d v="2023-05-23T00:00:00"/>
    <x v="18"/>
    <s v="3BKE002T"/>
    <m/>
    <m/>
    <m/>
    <m/>
    <m/>
    <m/>
    <x v="18"/>
  </r>
  <r>
    <d v="2023-05-18T13:43:06"/>
    <x v="15"/>
    <s v="Direction Préfectorale de l'Agriculture et de l'Élevage de Lola"/>
    <s v="Individuel"/>
    <s v="Blaise Goumou"/>
    <n v="611238914"/>
    <m/>
    <s v="Lainé"/>
    <n v="10"/>
    <s v="Labour - uniquement"/>
    <n v="3"/>
    <s v="Kélékai"/>
    <s v="Oryza Sativa"/>
    <s v="4 mois"/>
    <d v="2023-05-21T00:00:00"/>
    <m/>
    <s v="Pokpa Delamou"/>
    <s v="Riz"/>
    <x v="1"/>
    <n v="7.5"/>
    <d v="2023-05-18T00:00:00"/>
    <x v="4"/>
    <s v="8LLA002T"/>
    <m/>
    <m/>
    <m/>
    <m/>
    <m/>
    <m/>
    <x v="18"/>
  </r>
  <r>
    <d v="2023-05-18T14:29:48"/>
    <x v="11"/>
    <s v="Centre"/>
    <s v="Individuel"/>
    <s v="Assetou Traoré"/>
    <n v="624958161"/>
    <n v="624958161"/>
    <s v="Kérouane Centre"/>
    <n v="7"/>
    <s v="Labour - uniquement"/>
    <n v="1"/>
    <s v="Samory"/>
    <s v="Samory"/>
    <s v="5 mois"/>
    <d v="2023-05-21T00:00:00"/>
    <m/>
    <s v="Moussa Kadia Camara"/>
    <s v="Riz"/>
    <x v="1"/>
    <n v="1"/>
    <d v="2023-05-19T00:00:00"/>
    <x v="4"/>
    <s v="KNE001T"/>
    <m/>
    <m/>
    <m/>
    <m/>
    <m/>
    <m/>
    <x v="18"/>
  </r>
  <r>
    <d v="2023-05-18T14:32:22"/>
    <x v="11"/>
    <s v="Centre"/>
    <s v="Individuel"/>
    <s v="Moussa Camara"/>
    <n v="622240942"/>
    <n v="622240942"/>
    <s v="Kérouane Centre"/>
    <n v="35"/>
    <s v="Labour - uniquement"/>
    <n v="30"/>
    <s v="Seka, moussagbe"/>
    <s v="Seka, moussagbe"/>
    <s v="9 mois"/>
    <d v="2023-05-22T00:00:00"/>
    <m/>
    <s v="Moussa Kadia Camara"/>
    <s v="Riz"/>
    <x v="1"/>
    <n v="30"/>
    <d v="2023-05-19T00:00:00"/>
    <x v="4"/>
    <s v="7MNA007T"/>
    <m/>
    <m/>
    <m/>
    <m/>
    <m/>
    <m/>
    <x v="18"/>
  </r>
  <r>
    <d v="2023-05-18T14:37:35"/>
    <x v="11"/>
    <s v="Centre"/>
    <s v="Individuel"/>
    <s v="Sékouba oulen Mara"/>
    <n v="624539690"/>
    <n v="624539690"/>
    <s v="Kérouane Centre"/>
    <n v="70"/>
    <s v="Labour - uniquement"/>
    <n v="18"/>
    <s v="Seka 93, djoufini,bangaliba,"/>
    <s v="Seka 93, djoufini, bangaliba"/>
    <s v="9 mois"/>
    <d v="2023-05-23T00:00:00"/>
    <m/>
    <s v="Moussa Kadia Camara"/>
    <s v="Riz"/>
    <x v="1"/>
    <n v="18"/>
    <d v="2023-05-19T00:00:00"/>
    <x v="4"/>
    <s v="7MNA006T"/>
    <m/>
    <m/>
    <m/>
    <m/>
    <m/>
    <m/>
    <x v="18"/>
  </r>
  <r>
    <d v="2023-05-18T14:41:45"/>
    <x v="11"/>
    <s v="Centre"/>
    <s v="Individuel"/>
    <s v="Billo Kante"/>
    <n v="621107684"/>
    <n v="621107684"/>
    <s v="Soromaya"/>
    <n v="70"/>
    <s v="Labour - uniquement"/>
    <n v="29"/>
    <s v="Djoufini, moussagbe"/>
    <s v="Djoufini, moussagbe"/>
    <s v="9 mois"/>
    <d v="2023-05-23T00:00:00"/>
    <m/>
    <s v="Moussa Kadia Camara"/>
    <s v="Riz"/>
    <x v="1"/>
    <n v="29"/>
    <d v="2023-05-19T00:00:00"/>
    <x v="4"/>
    <s v="7MNA006T"/>
    <m/>
    <m/>
    <m/>
    <m/>
    <m/>
    <m/>
    <x v="18"/>
  </r>
  <r>
    <d v="2023-05-18T14:44:14"/>
    <x v="11"/>
    <s v="Centre"/>
    <s v="Individuel"/>
    <s v="N'faly Fofana"/>
    <n v="621802097"/>
    <n v="621802097"/>
    <s v="Kérouane Centre"/>
    <n v="12"/>
    <s v="Labour - uniquement"/>
    <n v="3"/>
    <s v="Sanbadji"/>
    <s v="Sanbadji"/>
    <s v="6 mois"/>
    <d v="2023-05-22T00:00:00"/>
    <m/>
    <s v="Moussa Kadia Camara"/>
    <s v="Riz"/>
    <x v="1"/>
    <n v="3"/>
    <d v="2023-05-19T00:00:00"/>
    <x v="4"/>
    <s v="7MNA003T"/>
    <m/>
    <m/>
    <m/>
    <m/>
    <m/>
    <m/>
    <x v="18"/>
  </r>
  <r>
    <d v="2023-05-18T14:46:32"/>
    <x v="11"/>
    <s v="Centre"/>
    <s v="Individuel"/>
    <s v="Laye Keita"/>
    <n v="622129932"/>
    <n v="622129932"/>
    <s v="Kérouane Centre"/>
    <n v="7"/>
    <s v="Labour - uniquement"/>
    <n v="5"/>
    <s v="Samory"/>
    <s v="Samory"/>
    <s v="5 mois"/>
    <d v="2023-05-21T00:00:00"/>
    <m/>
    <s v="Moussa Kadia Camara"/>
    <s v="Riz"/>
    <x v="1"/>
    <n v="5"/>
    <d v="2023-05-19T00:00:00"/>
    <x v="4"/>
    <s v="7KNE001T"/>
    <m/>
    <m/>
    <m/>
    <m/>
    <m/>
    <m/>
    <x v="18"/>
  </r>
  <r>
    <d v="2023-05-18T14:50:14"/>
    <x v="11"/>
    <s v="Centre"/>
    <s v="Individuel"/>
    <s v="Sindiano"/>
    <n v="623697128"/>
    <n v="623697128"/>
    <s v="Kérouane Centre"/>
    <n v="3"/>
    <s v="Labour - uniquement"/>
    <n v="2"/>
    <s v="Samory"/>
    <s v="Samory"/>
    <s v="5 mois"/>
    <d v="2023-06-01T00:00:00"/>
    <m/>
    <s v="Moussa Kadia Camara"/>
    <s v="Riz"/>
    <x v="1"/>
    <n v="2"/>
    <d v="2023-05-19T00:00:00"/>
    <x v="4"/>
    <s v="7KNE001T"/>
    <m/>
    <m/>
    <m/>
    <m/>
    <m/>
    <m/>
    <x v="18"/>
  </r>
  <r>
    <d v="2023-05-18T15:23:21"/>
    <x v="13"/>
    <s v="Aviation"/>
    <s v="Individuel"/>
    <s v="Mohamed sidibé"/>
    <n v="625414814"/>
    <m/>
    <s v="Faranah Centre"/>
    <n v="1"/>
    <s v="Labour - uniquement"/>
    <n v="1"/>
    <s v="Porotokolo"/>
    <s v="Porotokolo"/>
    <s v="6 mois"/>
    <d v="2023-05-18T00:00:00"/>
    <m/>
    <s v="Mohamed Fanta kourouma"/>
    <s v="Riz"/>
    <x v="0"/>
    <m/>
    <m/>
    <x v="0"/>
    <m/>
    <m/>
    <m/>
    <m/>
    <m/>
    <m/>
    <m/>
    <x v="18"/>
  </r>
  <r>
    <d v="2023-05-18T15:30:28"/>
    <x v="13"/>
    <s v="Aviation"/>
    <s v="Individuel"/>
    <s v="Sori camara"/>
    <n v="620344951"/>
    <m/>
    <s v="Faranah Centre"/>
    <n v="1"/>
    <s v="Labour - uniquement"/>
    <n v="1"/>
    <s v="Ck90"/>
    <s v="Ck90"/>
    <s v="4 mois"/>
    <d v="2023-05-18T00:00:00"/>
    <m/>
    <s v="Mohamed Fanta kourouma"/>
    <s v="Riz"/>
    <x v="0"/>
    <m/>
    <m/>
    <x v="0"/>
    <m/>
    <m/>
    <m/>
    <m/>
    <m/>
    <m/>
    <m/>
    <x v="18"/>
  </r>
  <r>
    <d v="2023-05-18T17:15:35"/>
    <x v="1"/>
    <s v="Siguiri"/>
    <s v="Individuel"/>
    <s v="Elhdj Fode Barry"/>
    <n v="628305638"/>
    <m/>
    <s v="Siguiri Centre"/>
    <n v="2"/>
    <s v="Labour - uniquement"/>
    <n v="2"/>
    <s v="Chinois"/>
    <s v="Chinois"/>
    <s v="5 mois"/>
    <d v="2023-05-19T00:00:00"/>
    <m/>
    <s v="Nanamoudou ll Magassouba"/>
    <s v="Riz"/>
    <x v="0"/>
    <m/>
    <m/>
    <x v="19"/>
    <m/>
    <m/>
    <m/>
    <m/>
    <m/>
    <m/>
    <m/>
    <x v="18"/>
  </r>
  <r>
    <d v="2023-05-18T21:44:56"/>
    <x v="14"/>
    <s v="Kaba"/>
    <s v="Individuel"/>
    <s v="Moussa Sangaré"/>
    <n v="621044012"/>
    <m/>
    <s v="Mankountan"/>
    <n v="175"/>
    <s v="Pulvérisation - uniquement"/>
    <n v="21"/>
    <s v="Baga Malé"/>
    <s v="J'ignore"/>
    <s v="9 mois"/>
    <d v="2023-05-19T00:00:00"/>
    <s v="Manque de tracteur"/>
    <s v="Alya Foulématou Camara"/>
    <s v="Riz"/>
    <x v="0"/>
    <m/>
    <m/>
    <x v="19"/>
    <m/>
    <m/>
    <m/>
    <m/>
    <m/>
    <m/>
    <m/>
    <x v="18"/>
  </r>
  <r>
    <d v="2023-05-19T02:19:14"/>
    <x v="6"/>
    <s v="Dinguiraye centre"/>
    <s v="Individuel"/>
    <s v="Fanta mady oulare"/>
    <n v="622064066"/>
    <m/>
    <s v="Banora"/>
    <n v="67"/>
    <s v="Pulvérisation - uniquement"/>
    <n v="16"/>
    <s v="Dissiba-oulén"/>
    <s v="Dissiba-oulén"/>
    <s v="4 mois"/>
    <d v="2023-05-23T00:00:00"/>
    <m/>
    <s v="Mamadou 1 Diallo"/>
    <s v="Riz"/>
    <x v="0"/>
    <m/>
    <m/>
    <x v="0"/>
    <m/>
    <m/>
    <m/>
    <m/>
    <m/>
    <m/>
    <m/>
    <x v="18"/>
  </r>
  <r>
    <d v="2023-05-19T08:18:14"/>
    <x v="2"/>
    <s v="Bordeaux"/>
    <s v="Collectif"/>
    <s v="Mory Keita"/>
    <n v="623430001"/>
    <n v="0"/>
    <s v="Koumban"/>
    <n v="40"/>
    <s v="Labour - uniquement"/>
    <n v="8"/>
    <s v="Tchotcho"/>
    <s v="Variété locale"/>
    <s v="6 mois"/>
    <d v="2023-05-19T00:00:00"/>
    <s v="Petits producteurs"/>
    <s v="Moussa Alamako Keita"/>
    <s v="Riz"/>
    <x v="1"/>
    <n v="8"/>
    <d v="2023-05-19T00:00:00"/>
    <x v="4"/>
    <s v="7KAN003T"/>
    <m/>
    <m/>
    <m/>
    <m/>
    <m/>
    <m/>
    <x v="18"/>
  </r>
  <r>
    <d v="2023-05-19T08:23:05"/>
    <x v="2"/>
    <s v="Bordeaux"/>
    <s v="Individuel"/>
    <s v="Sidiki Kourouma"/>
    <n v="624337750"/>
    <n v="0"/>
    <s v="Sabadou-Baranama"/>
    <n v="80"/>
    <s v="Labour - uniquement"/>
    <n v="4"/>
    <s v="Tchotcho"/>
    <s v="Variété locale"/>
    <s v="6 mois"/>
    <d v="2023-05-19T00:00:00"/>
    <s v="Petit producteur"/>
    <s v="Moussa Alamako Keita"/>
    <s v="Riz"/>
    <x v="1"/>
    <n v="4"/>
    <d v="2023-05-19T00:00:00"/>
    <x v="4"/>
    <s v="7KAN004T"/>
    <m/>
    <m/>
    <m/>
    <m/>
    <m/>
    <m/>
    <x v="18"/>
  </r>
  <r>
    <d v="2023-05-19T09:58:16"/>
    <x v="20"/>
    <s v="Kindia"/>
    <s v="Individuel"/>
    <s v="DIALLO Mamadou Sanoussy"/>
    <n v="628334356"/>
    <m/>
    <s v="Madina Oula"/>
    <n v="88"/>
    <s v="Labour - uniquement"/>
    <n v="20"/>
    <s v="CK"/>
    <s v="CK"/>
    <s v="5 mois"/>
    <d v="2023-05-20T00:00:00"/>
    <s v="Realisable"/>
    <s v="Boubacar Gueme Bah"/>
    <s v="Riz"/>
    <x v="0"/>
    <m/>
    <m/>
    <x v="19"/>
    <m/>
    <m/>
    <m/>
    <m/>
    <m/>
    <m/>
    <m/>
    <x v="18"/>
  </r>
  <r>
    <d v="2023-05-19T10:05:24"/>
    <x v="20"/>
    <s v="Kindia"/>
    <s v="Individuel"/>
    <s v="BAH Hadja Laouratou"/>
    <n v="628065504"/>
    <m/>
    <s v="Madina Oula"/>
    <n v="80"/>
    <s v="Labour - uniquement"/>
    <n v="5"/>
    <s v="Haricot"/>
    <s v="Harico"/>
    <s v="3 mois"/>
    <d v="2023-05-23T00:00:00"/>
    <s v="Realisable"/>
    <s v="Boubacar Gueme Bah"/>
    <s v="Haricot"/>
    <x v="0"/>
    <m/>
    <m/>
    <x v="19"/>
    <m/>
    <m/>
    <m/>
    <m/>
    <m/>
    <m/>
    <m/>
    <x v="18"/>
  </r>
  <r>
    <d v="2023-05-19T10:13:13"/>
    <x v="20"/>
    <s v="Kindia"/>
    <s v="Individuel"/>
    <s v="BAH Mohamed"/>
    <n v="622815817"/>
    <m/>
    <s v="Friguiagbé"/>
    <n v="12"/>
    <s v="Labour - uniquement"/>
    <n v="1"/>
    <s v="Baronne"/>
    <s v="Baronne"/>
    <s v="3 mois"/>
    <d v="2023-05-24T00:00:00"/>
    <s v="Realisable"/>
    <s v="Boubacar Gueme Bah"/>
    <s v="Ananas"/>
    <x v="0"/>
    <m/>
    <m/>
    <x v="19"/>
    <m/>
    <m/>
    <m/>
    <m/>
    <m/>
    <m/>
    <m/>
    <x v="18"/>
  </r>
  <r>
    <d v="2023-05-19T10:17:59"/>
    <x v="2"/>
    <s v="Bordeaux"/>
    <s v="Individuel"/>
    <s v="Kabine condé"/>
    <n v="622949344"/>
    <n v="0"/>
    <s v="Tinti-Oulen"/>
    <n v="25"/>
    <s v="Labour - uniquement"/>
    <n v="20"/>
    <s v="Ck90"/>
    <s v="Variété améliorée"/>
    <s v="4 mois"/>
    <d v="2023-05-20T00:00:00"/>
    <s v="Grand producteur"/>
    <s v="Moussa Alamako Keita"/>
    <s v="Riz"/>
    <x v="0"/>
    <m/>
    <m/>
    <x v="19"/>
    <m/>
    <m/>
    <m/>
    <m/>
    <m/>
    <m/>
    <m/>
    <x v="18"/>
  </r>
  <r>
    <d v="2023-05-19T11:29:01"/>
    <x v="1"/>
    <s v="Siguiri"/>
    <s v="Individuel"/>
    <s v="Dr Kanaoussou Guilavogui"/>
    <n v="623574677"/>
    <m/>
    <s v="Siguiri Centre"/>
    <n v="4"/>
    <s v="Labour - uniquement"/>
    <n v="1"/>
    <s v="Nerica19"/>
    <s v="Nerica19"/>
    <s v="4 mois"/>
    <d v="2023-05-20T00:00:00"/>
    <m/>
    <s v="Nanamoudou ll Magassouba"/>
    <s v="Riz"/>
    <x v="0"/>
    <m/>
    <m/>
    <x v="19"/>
    <m/>
    <m/>
    <m/>
    <m/>
    <m/>
    <m/>
    <m/>
    <x v="18"/>
  </r>
  <r>
    <d v="2023-05-19T11:35:30"/>
    <x v="1"/>
    <s v="Siguiri"/>
    <s v="Collectif"/>
    <s v="Fanta Mady MAGASSOUBA"/>
    <n v="623875187"/>
    <m/>
    <s v="Doko"/>
    <n v="60"/>
    <s v="Labour - uniquement"/>
    <n v="17"/>
    <s v="Nenken, koroninkaba...."/>
    <s v="Nenkin, koroninkaba..."/>
    <s v="3 mois"/>
    <d v="2023-05-23T00:00:00"/>
    <m/>
    <s v="Nanamoudou ll Magassouba"/>
    <s v="Riz et Maïs"/>
    <x v="1"/>
    <n v="17.5"/>
    <d v="2023-05-23T00:00:00"/>
    <x v="18"/>
    <s v="7SRI002T"/>
    <m/>
    <m/>
    <m/>
    <m/>
    <m/>
    <m/>
    <x v="18"/>
  </r>
  <r>
    <d v="2023-05-19T12:19:29"/>
    <x v="1"/>
    <s v="Siguiri"/>
    <s v="Individuel"/>
    <s v="Moussa DOUMBOUYA"/>
    <n v="622390014"/>
    <m/>
    <s v="Siguiri Centre"/>
    <n v="3"/>
    <s v="Labour - uniquement"/>
    <n v="1.5"/>
    <s v="Nerica19"/>
    <s v="Nerica19"/>
    <s v="4 mois"/>
    <d v="2023-05-20T00:00:00"/>
    <m/>
    <s v="Nanamoudou ll Magassouba"/>
    <s v="Riz"/>
    <x v="1"/>
    <n v="1.5"/>
    <d v="2023-05-23T00:00:00"/>
    <x v="18"/>
    <s v="7SRI002T"/>
    <m/>
    <m/>
    <m/>
    <m/>
    <m/>
    <m/>
    <x v="18"/>
  </r>
  <r>
    <d v="2023-05-19T13:09:21"/>
    <x v="22"/>
    <s v="À yomou"/>
    <s v="Individuel"/>
    <s v="Sidiki Camara"/>
    <n v="620351445"/>
    <m/>
    <s v="Péla"/>
    <n v="25"/>
    <s v="Labour + Pulvérisation"/>
    <n v="1"/>
    <s v="CK 90"/>
    <s v="Oriza S/P"/>
    <s v="3 mois"/>
    <d v="2023-05-20T00:00:00"/>
    <m/>
    <s v="Nyankoye Edouard Balamou"/>
    <s v="Riz"/>
    <x v="1"/>
    <n v="1"/>
    <d v="2023-05-19T00:00:00"/>
    <x v="4"/>
    <s v="6YOU001T"/>
    <m/>
    <m/>
    <m/>
    <m/>
    <m/>
    <m/>
    <x v="18"/>
  </r>
  <r>
    <d v="2023-05-19T15:41:35"/>
    <x v="2"/>
    <s v="Bordeaux"/>
    <s v="Individuel"/>
    <s v="Kabine condé"/>
    <n v="622949344"/>
    <n v="0"/>
    <s v="Tinti-Oulen"/>
    <n v="25"/>
    <s v="Labour - uniquement"/>
    <n v="20"/>
    <s v="Ck90"/>
    <s v="Variété améliorée"/>
    <s v="4 mois"/>
    <d v="2023-05-20T00:00:00"/>
    <s v="Enregistrement répété par faute de connexion de même producteur"/>
    <s v="Moussa Alamako Keita"/>
    <s v="Riz"/>
    <x v="0"/>
    <m/>
    <m/>
    <x v="0"/>
    <m/>
    <m/>
    <m/>
    <m/>
    <m/>
    <m/>
    <m/>
    <x v="18"/>
  </r>
  <r>
    <d v="2023-05-19T16:22:44"/>
    <x v="21"/>
    <s v="Nzérékoré centre"/>
    <s v="Individuel"/>
    <s v="MOUSSA LOUA"/>
    <n v="623366894"/>
    <m/>
    <s v="Gouécké"/>
    <n v="45"/>
    <s v="Labour - uniquement"/>
    <n v="8"/>
    <s v="riz"/>
    <s v="riz"/>
    <s v="5 mois"/>
    <d v="2023-05-20T00:00:00"/>
    <m/>
    <s v="Mohamed Kone"/>
    <s v="Riz"/>
    <x v="0"/>
    <m/>
    <m/>
    <x v="0"/>
    <m/>
    <m/>
    <m/>
    <m/>
    <m/>
    <m/>
    <m/>
    <x v="18"/>
  </r>
  <r>
    <d v="2023-05-19T16:29:40"/>
    <x v="7"/>
    <s v="Cours du bloc Administratif"/>
    <s v="Collectif"/>
    <s v="Karamo Amadou DIALLO"/>
    <n v="621112991"/>
    <m/>
    <s v="Kondianakoro"/>
    <n v="95"/>
    <s v="Labour + Pulvérisation"/>
    <n v="105"/>
    <s v="R19, flottant"/>
    <s v="Ne connais pas"/>
    <s v="6 mois"/>
    <d v="2023-05-22T00:00:00"/>
    <s v="Aptes pour la mécanisation"/>
    <s v="Nounkè Doumbouya"/>
    <s v="Riz"/>
    <x v="0"/>
    <m/>
    <m/>
    <x v="0"/>
    <m/>
    <m/>
    <m/>
    <m/>
    <m/>
    <m/>
    <m/>
    <x v="18"/>
  </r>
  <r>
    <d v="2023-05-19T16:31:54"/>
    <x v="7"/>
    <s v="Cours du bloc Administratif"/>
    <s v="Individuel"/>
    <s v="Mory Diakite"/>
    <n v="622005537"/>
    <m/>
    <s v="Mandiana Centre"/>
    <n v="11"/>
    <s v="Labour - uniquement"/>
    <n v="15"/>
    <s v="Chinois"/>
    <s v="Oriza sativa"/>
    <s v="6 mois"/>
    <d v="2023-05-18T00:00:00"/>
    <s v="Aptes pour la mécanisation"/>
    <s v="Nounkè Doumbouya"/>
    <s v="Riz"/>
    <x v="0"/>
    <m/>
    <m/>
    <x v="0"/>
    <m/>
    <m/>
    <m/>
    <m/>
    <m/>
    <m/>
    <m/>
    <x v="18"/>
  </r>
  <r>
    <d v="2023-05-19T17:37:45"/>
    <x v="6"/>
    <s v="Dinguiraye centre"/>
    <s v="Individuel"/>
    <s v="Fallou Barry"/>
    <n v="622310074"/>
    <m/>
    <s v="Kalinko"/>
    <n v="75"/>
    <s v="Labour - uniquement"/>
    <n v="8"/>
    <s v="Dissiba-oulén"/>
    <s v="Dissiba-oulén"/>
    <s v="4 mois"/>
    <d v="2023-05-20T00:00:00"/>
    <m/>
    <s v="Mamadou 1 Diallo"/>
    <s v="Riz"/>
    <x v="0"/>
    <m/>
    <m/>
    <x v="0"/>
    <m/>
    <m/>
    <m/>
    <m/>
    <m/>
    <m/>
    <m/>
    <x v="18"/>
  </r>
  <r>
    <d v="2023-05-19T18:53:18"/>
    <x v="13"/>
    <s v="Aviation"/>
    <s v="Individuel"/>
    <s v="Oumar fofana"/>
    <n v="626537287"/>
    <m/>
    <s v="Tiro"/>
    <n v="45"/>
    <s v="Labour - uniquement"/>
    <n v="6"/>
    <s v="Porotokolo"/>
    <s v="Porotokolo"/>
    <s v="6 mois"/>
    <d v="2023-05-20T00:00:00"/>
    <m/>
    <s v="Mohamed Fanta kourouma"/>
    <s v="Riz"/>
    <x v="0"/>
    <m/>
    <m/>
    <x v="0"/>
    <m/>
    <m/>
    <m/>
    <m/>
    <m/>
    <m/>
    <m/>
    <x v="18"/>
  </r>
  <r>
    <d v="2023-05-19T20:01:04"/>
    <x v="16"/>
    <s v="Foundeng 1"/>
    <s v="Individuel"/>
    <s v="Mamadou Hardy Sow"/>
    <n v="622499417"/>
    <m/>
    <s v="Dabola Centre"/>
    <n v="10"/>
    <s v="Labour - uniquement"/>
    <n v="3"/>
    <s v="Kaniye"/>
    <s v="Kaniye"/>
    <s v="5 mois"/>
    <d v="2023-05-19T00:00:00"/>
    <m/>
    <s v="Souleymane Kanté"/>
    <s v="Riz"/>
    <x v="1"/>
    <n v="5"/>
    <d v="2023-05-22T00:00:00"/>
    <x v="18"/>
    <s v="6DLA001T"/>
    <m/>
    <m/>
    <m/>
    <m/>
    <m/>
    <m/>
    <x v="18"/>
  </r>
  <r>
    <d v="2023-05-20T09:04:36"/>
    <x v="16"/>
    <s v="Foundeng 1"/>
    <s v="Individuel"/>
    <s v="Daouda kourouma"/>
    <n v="628136248"/>
    <m/>
    <s v="Dabola Centre"/>
    <n v="12"/>
    <s v="Labour - uniquement"/>
    <n v="5"/>
    <s v="Ck90"/>
    <s v="Ck90"/>
    <s v="4 mois"/>
    <d v="2023-05-21T00:00:00"/>
    <m/>
    <s v="Souleymane Kanté"/>
    <s v="Riz"/>
    <x v="0"/>
    <m/>
    <m/>
    <x v="19"/>
    <m/>
    <m/>
    <m/>
    <m/>
    <m/>
    <m/>
    <m/>
    <x v="18"/>
  </r>
  <r>
    <d v="2023-05-20T13:46:09"/>
    <x v="6"/>
    <s v="Dinguiraye centre"/>
    <s v="Individuel"/>
    <s v="Djiby sylla"/>
    <n v="622299749"/>
    <m/>
    <s v="Kalinko"/>
    <n v="67"/>
    <s v="Labour - uniquement"/>
    <n v="11"/>
    <s v="Malogbèdian"/>
    <s v="Malogbèdian"/>
    <s v="5 mois"/>
    <d v="2023-05-23T00:00:00"/>
    <m/>
    <s v="Mamadou 1 Diallo"/>
    <s v="Riz"/>
    <x v="0"/>
    <m/>
    <m/>
    <x v="19"/>
    <m/>
    <m/>
    <m/>
    <m/>
    <m/>
    <m/>
    <m/>
    <x v="18"/>
  </r>
  <r>
    <d v="2023-05-20T15:18:21"/>
    <x v="7"/>
    <s v="Cours du bloc Administratif"/>
    <s v="Individuel"/>
    <s v="Youssouf Bayo"/>
    <n v="622110835"/>
    <m/>
    <s v="Mandiana Centre"/>
    <n v="6"/>
    <s v="Labour + Pulvérisation"/>
    <n v="10"/>
    <s v="Tambakelè"/>
    <s v="Ne connais pas"/>
    <s v="4 mois"/>
    <d v="2023-05-22T00:00:00"/>
    <s v="Aptes pour la mécanisation"/>
    <s v="Nounkè Doumbouya"/>
    <s v="Riz"/>
    <x v="0"/>
    <m/>
    <m/>
    <x v="19"/>
    <m/>
    <m/>
    <m/>
    <m/>
    <m/>
    <m/>
    <m/>
    <x v="18"/>
  </r>
  <r>
    <d v="2023-05-20T15:28:02"/>
    <x v="7"/>
    <s v="Cours du bloc Administratif"/>
    <s v="Individuel"/>
    <s v="Seydou Traoré"/>
    <n v="621138813"/>
    <m/>
    <s v="Mandiana Centre"/>
    <n v="11"/>
    <s v="Labour - uniquement"/>
    <n v="6"/>
    <s v="Maïs parta"/>
    <s v="Perta"/>
    <s v="4 mois"/>
    <d v="2023-05-21T00:00:00"/>
    <s v="Aptes pour la mécanisation"/>
    <s v="Nounkè Doumbouya"/>
    <s v="Maïs"/>
    <x v="0"/>
    <m/>
    <m/>
    <x v="19"/>
    <m/>
    <m/>
    <m/>
    <m/>
    <m/>
    <m/>
    <m/>
    <x v="18"/>
  </r>
  <r>
    <d v="2023-05-20T15:32:17"/>
    <x v="7"/>
    <s v="Cours du bloc Administratif"/>
    <s v="Individuel"/>
    <s v="Elhadj toumany Diallo"/>
    <n v="624838407"/>
    <m/>
    <s v="Saladou"/>
    <n v="92"/>
    <s v="Labour + Pulvérisation"/>
    <n v="80"/>
    <s v="Ck90"/>
    <s v="Ck"/>
    <s v="5 mois"/>
    <d v="2023-05-25T00:00:00"/>
    <s v="Aptes pour la mécanisation"/>
    <s v="Nounkè Doumbouya"/>
    <s v="Riz"/>
    <x v="0"/>
    <m/>
    <m/>
    <x v="19"/>
    <m/>
    <m/>
    <m/>
    <m/>
    <m/>
    <m/>
    <m/>
    <x v="18"/>
  </r>
  <r>
    <d v="2023-05-20T15:35:57"/>
    <x v="7"/>
    <s v="Cours du bloc Administratif"/>
    <s v="Collectif"/>
    <s v="Kaly DIAKITÉ"/>
    <n v="628155244"/>
    <m/>
    <s v="Morodou"/>
    <n v="28"/>
    <s v="Labour + Pulvérisation"/>
    <n v="35"/>
    <s v="Billy malo"/>
    <s v="Ne connais pas"/>
    <s v="4 mois"/>
    <d v="2023-05-30T00:00:00"/>
    <s v="Aptes pour la mécanisation"/>
    <s v="Nounkè Doumbouya"/>
    <s v="Riz"/>
    <x v="0"/>
    <m/>
    <m/>
    <x v="19"/>
    <m/>
    <m/>
    <m/>
    <m/>
    <m/>
    <m/>
    <m/>
    <x v="18"/>
  </r>
  <r>
    <d v="2023-05-20T15:40:34"/>
    <x v="7"/>
    <s v="Cours du bloc Administratif"/>
    <s v="Collectif"/>
    <s v="Kabinè Diakité"/>
    <n v="628949604"/>
    <m/>
    <s v="Morodou"/>
    <n v="27"/>
    <s v="Labour + Pulvérisation"/>
    <n v="32"/>
    <s v="Nerica 19"/>
    <s v="Nerica"/>
    <s v="4 mois"/>
    <d v="2023-06-03T00:00:00"/>
    <s v="Aptes pour la mécanisation"/>
    <s v="Nounkè Doumbouya"/>
    <s v="Riz"/>
    <x v="0"/>
    <m/>
    <m/>
    <x v="19"/>
    <m/>
    <m/>
    <m/>
    <m/>
    <m/>
    <m/>
    <m/>
    <x v="18"/>
  </r>
  <r>
    <d v="2023-05-20T15:46:11"/>
    <x v="7"/>
    <s v="Cours du bloc Administratif"/>
    <s v="Collectif"/>
    <s v="Karamo Diakité"/>
    <n v="621037560"/>
    <m/>
    <s v="Morodou"/>
    <n v="31"/>
    <s v="Labour + Pulvérisation"/>
    <n v="53"/>
    <s v="Nerica 19 et 4, Ck90"/>
    <s v="Nerica et ck"/>
    <s v="5 mois"/>
    <d v="2023-06-01T00:00:00"/>
    <s v="Aptes pour la mécanisation"/>
    <s v="Nounkè Doumbouya"/>
    <s v="Riz"/>
    <x v="0"/>
    <m/>
    <m/>
    <x v="19"/>
    <m/>
    <m/>
    <m/>
    <m/>
    <m/>
    <m/>
    <m/>
    <x v="18"/>
  </r>
  <r>
    <d v="2023-05-20T15:48:32"/>
    <x v="7"/>
    <s v="Cours du bloc Administratif"/>
    <s v="Collectif"/>
    <s v="Daouda gbèman DIAKITÉ"/>
    <n v="628773068"/>
    <m/>
    <s v="Morodou"/>
    <n v="28"/>
    <s v="Labour + Pulvérisation"/>
    <n v="65"/>
    <s v="Sweta, Ck90"/>
    <s v="Ck"/>
    <s v="5 mois"/>
    <d v="2023-05-31T00:00:00"/>
    <s v="Aptes à la mécanisation"/>
    <s v="Nounkè Doumbouya"/>
    <s v="Riz"/>
    <x v="0"/>
    <m/>
    <m/>
    <x v="19"/>
    <m/>
    <m/>
    <m/>
    <m/>
    <m/>
    <m/>
    <m/>
    <x v="18"/>
  </r>
  <r>
    <d v="2023-05-20T15:52:26"/>
    <x v="7"/>
    <s v="Cours du bloc Administratif"/>
    <s v="Collectif"/>
    <s v="Amadou boss Diakité"/>
    <n v="628653697"/>
    <m/>
    <s v="Morodou"/>
    <n v="23"/>
    <s v="Labour + Pulvérisation"/>
    <n v="34"/>
    <s v="Billy malo, dissiba"/>
    <s v="Ne connais pas"/>
    <s v="5 mois"/>
    <d v="2023-05-28T00:00:00"/>
    <s v="Aptes pour la mécanisation"/>
    <s v="Nounkè Doumbouya"/>
    <s v="Riz"/>
    <x v="0"/>
    <m/>
    <m/>
    <x v="19"/>
    <m/>
    <m/>
    <m/>
    <m/>
    <m/>
    <m/>
    <m/>
    <x v="18"/>
  </r>
  <r>
    <d v="2023-05-20T18:25:48"/>
    <x v="13"/>
    <s v="Aviation"/>
    <s v="Individuel"/>
    <s v="Fodé keita"/>
    <n v="624490725"/>
    <m/>
    <s v="Beindou"/>
    <n v="50"/>
    <s v="Labour - uniquement"/>
    <n v="10"/>
    <s v="Samaka,sonssompolo"/>
    <s v="Samaka,sonsssompolo"/>
    <s v="5 mois"/>
    <d v="2023-05-21T00:00:00"/>
    <m/>
    <s v="Mohamed Fanta kourouma"/>
    <s v="Riz"/>
    <x v="0"/>
    <m/>
    <m/>
    <x v="19"/>
    <m/>
    <m/>
    <m/>
    <m/>
    <m/>
    <m/>
    <m/>
    <x v="18"/>
  </r>
  <r>
    <d v="2023-05-21T09:47:23"/>
    <x v="16"/>
    <s v="Foundeng 1"/>
    <s v="Individuel"/>
    <s v="Mody mahin Barry"/>
    <n v="628789436"/>
    <m/>
    <s v="Dabola Centre"/>
    <n v="11"/>
    <s v="Labour - uniquement"/>
    <n v="2"/>
    <s v="Ck90"/>
    <s v="Ck90"/>
    <s v="4 mois"/>
    <d v="2023-05-28T00:00:00"/>
    <m/>
    <s v="Souleymane Kanté"/>
    <s v="Riz"/>
    <x v="0"/>
    <m/>
    <m/>
    <x v="19"/>
    <m/>
    <m/>
    <m/>
    <m/>
    <m/>
    <m/>
    <m/>
    <x v="19"/>
  </r>
  <r>
    <d v="2023-05-22T09:45:01"/>
    <x v="15"/>
    <s v="Direction Préfectorale de l'Agriculture et de l'Élevage de Lola"/>
    <s v="Individuel"/>
    <s v="Gertrude Lamah"/>
    <n v="624910129"/>
    <m/>
    <s v="Lainé"/>
    <n v="10"/>
    <s v="Labour - uniquement"/>
    <n v="64"/>
    <s v="Jaune_jaune"/>
    <s v="Zea mays"/>
    <s v="3 mois"/>
    <d v="2023-05-23T00:00:00"/>
    <m/>
    <s v="Pokpa Delamou"/>
    <s v="Maïs"/>
    <x v="1"/>
    <n v="12"/>
    <d v="2023-05-22T00:00:00"/>
    <x v="18"/>
    <s v="8LLA001T"/>
    <m/>
    <m/>
    <m/>
    <m/>
    <m/>
    <m/>
    <x v="19"/>
  </r>
  <r>
    <d v="2023-05-22T09:53:58"/>
    <x v="15"/>
    <s v="Direction Préfectorale de l'Agriculture et de l'Élevage de Lola"/>
    <s v="Individuel"/>
    <s v="Laurent pé"/>
    <n v="610609397"/>
    <m/>
    <s v="Lainé"/>
    <n v="8"/>
    <s v="Labour - uniquement"/>
    <n v="4"/>
    <s v="Roki ta"/>
    <s v="Oryza Sativa"/>
    <s v="5 mois"/>
    <d v="2023-05-22T00:00:00"/>
    <m/>
    <s v="Pokpa Delamou"/>
    <s v="Riz"/>
    <x v="1"/>
    <n v="2"/>
    <d v="2023-05-22T00:00:00"/>
    <x v="18"/>
    <s v="8LLA001T"/>
    <m/>
    <m/>
    <m/>
    <m/>
    <m/>
    <m/>
    <x v="19"/>
  </r>
  <r>
    <d v="2023-05-22T10:00:07"/>
    <x v="17"/>
    <s v="CU"/>
    <s v="Collectif"/>
    <s v="SADIO KONDJIRA"/>
    <n v="622465274"/>
    <m/>
    <s v="Koumbia"/>
    <n v="32"/>
    <s v="Labour - uniquement"/>
    <n v="5"/>
    <s v="DIOULKÉMÈ"/>
    <s v="CK 90"/>
    <s v="4 mois"/>
    <d v="2023-05-23T00:00:00"/>
    <m/>
    <s v="Soriba Moustapha Camara"/>
    <s v="Riz"/>
    <x v="1"/>
    <n v="5"/>
    <d v="2023-05-22T00:00:00"/>
    <x v="18"/>
    <s v="3GAL004T"/>
    <m/>
    <m/>
    <m/>
    <m/>
    <m/>
    <m/>
    <x v="19"/>
  </r>
  <r>
    <d v="2023-05-22T10:13:11"/>
    <x v="15"/>
    <s v="Direction Préfectorale de l'Agriculture et de l'Élevage de Lola"/>
    <s v="Individuel"/>
    <s v="Eugène Delamou"/>
    <n v="620165590"/>
    <m/>
    <s v="Lainé"/>
    <n v="15"/>
    <s v="Labour - uniquement"/>
    <n v="5"/>
    <s v="Roki ta"/>
    <s v="Oryza Sativa"/>
    <s v="5 mois"/>
    <d v="2023-05-24T00:00:00"/>
    <m/>
    <s v="Pokpa Delamou"/>
    <s v="Riz"/>
    <x v="1"/>
    <n v="5"/>
    <d v="2023-05-22T00:00:00"/>
    <x v="18"/>
    <s v="8LLA001T"/>
    <m/>
    <m/>
    <m/>
    <m/>
    <m/>
    <m/>
    <x v="19"/>
  </r>
  <r>
    <d v="2023-05-22T10:15:45"/>
    <x v="1"/>
    <s v="Siguiri"/>
    <s v="Collectif"/>
    <s v="Elhadj fodé barry"/>
    <n v="628305638"/>
    <m/>
    <s v="Siguiri Centre"/>
    <n v="3"/>
    <s v="Labour - uniquement"/>
    <n v="2"/>
    <s v="Chinois"/>
    <s v="Chinois"/>
    <s v="5 mois"/>
    <d v="2023-05-19T00:00:00"/>
    <m/>
    <s v="Nanamoudou ll Magassouba"/>
    <s v="Riz"/>
    <x v="1"/>
    <n v="2"/>
    <d v="2023-05-23T00:00:00"/>
    <x v="18"/>
    <s v="7SRI005T"/>
    <m/>
    <m/>
    <m/>
    <m/>
    <m/>
    <m/>
    <x v="19"/>
  </r>
  <r>
    <d v="2023-05-22T10:19:43"/>
    <x v="1"/>
    <s v="Siguiri"/>
    <s v="Individuel"/>
    <s v="Docteur kana woussou guilavogui"/>
    <n v="623574677"/>
    <m/>
    <s v="Siguiri Centre"/>
    <n v="2"/>
    <s v="Labour - uniquement"/>
    <n v="1"/>
    <s v="Nerica"/>
    <s v="Nerica"/>
    <s v="4 mois"/>
    <d v="2023-05-19T00:00:00"/>
    <m/>
    <s v="Nanamoudou ll Magassouba"/>
    <s v="Riz"/>
    <x v="1"/>
    <n v="1"/>
    <d v="2023-05-23T00:00:00"/>
    <x v="18"/>
    <s v="7SRI002T"/>
    <m/>
    <m/>
    <m/>
    <m/>
    <m/>
    <m/>
    <x v="19"/>
  </r>
  <r>
    <d v="2023-05-22T10:28:58"/>
    <x v="1"/>
    <s v="Siguiri"/>
    <s v="Collectif"/>
    <s v="Fanta Mady magassouba"/>
    <n v="623875187"/>
    <m/>
    <s v="Doko"/>
    <n v="60"/>
    <s v="Labour - uniquement"/>
    <n v="17.5"/>
    <s v="Nerica19"/>
    <s v="Nerica 19"/>
    <s v="4 mois"/>
    <d v="2023-05-19T00:00:00"/>
    <m/>
    <s v="Nanamoudou ll Magassouba"/>
    <s v="Riz"/>
    <x v="0"/>
    <m/>
    <m/>
    <x v="19"/>
    <m/>
    <m/>
    <m/>
    <m/>
    <m/>
    <m/>
    <m/>
    <x v="19"/>
  </r>
  <r>
    <d v="2023-05-22T10:46:42"/>
    <x v="12"/>
    <s v="Ouassou"/>
    <s v="Individuel"/>
    <s v="Bembeya camara"/>
    <n v="622423797"/>
    <n v="622423797"/>
    <s v="Koba-Tatema"/>
    <n v="7"/>
    <s v="Labour - uniquement"/>
    <n v="2"/>
    <s v="Massaraka"/>
    <s v="Nereka"/>
    <s v="6 mois"/>
    <d v="2023-05-21T00:00:00"/>
    <s v="Accord"/>
    <s v="Kissi Camara"/>
    <s v="Riz"/>
    <x v="1"/>
    <n v="2"/>
    <d v="2023-05-23T00:00:00"/>
    <x v="18"/>
    <s v="2DKA001T"/>
    <m/>
    <m/>
    <m/>
    <m/>
    <m/>
    <m/>
    <x v="19"/>
  </r>
  <r>
    <d v="2023-05-22T11:00:47"/>
    <x v="1"/>
    <s v="Siguiri"/>
    <s v="Individuel"/>
    <s v="Moussa doumbouya"/>
    <n v="622390014"/>
    <m/>
    <s v="Siguiri Centre"/>
    <n v="3"/>
    <s v="Labour - uniquement"/>
    <n v="1"/>
    <s v="Menkè"/>
    <s v="Menkè"/>
    <s v="3 mois"/>
    <d v="2023-05-19T00:00:00"/>
    <m/>
    <s v="Nanamoudou ll Magassouba"/>
    <s v="Riz"/>
    <x v="0"/>
    <m/>
    <m/>
    <x v="19"/>
    <m/>
    <m/>
    <m/>
    <m/>
    <m/>
    <m/>
    <m/>
    <x v="19"/>
  </r>
  <r>
    <d v="2023-05-22T11:45:32"/>
    <x v="6"/>
    <s v="Dinguiraye"/>
    <s v="Individuel"/>
    <s v="Fallou barry"/>
    <n v="622310074"/>
    <m/>
    <s v="Kalinko"/>
    <n v="75"/>
    <s v="Labour - uniquement"/>
    <n v="8"/>
    <s v="Dissiba-oulen"/>
    <s v="Dissiba-oulen"/>
    <s v="4 mois"/>
    <d v="2023-05-21T00:00:00"/>
    <m/>
    <s v="Mamadou 1 Diallo"/>
    <s v="Riz"/>
    <x v="1"/>
    <n v="8"/>
    <d v="2023-05-22T00:00:00"/>
    <x v="18"/>
    <s v="6DYE002T"/>
    <m/>
    <m/>
    <m/>
    <m/>
    <m/>
    <m/>
    <x v="19"/>
  </r>
  <r>
    <d v="2023-05-22T11:51:26"/>
    <x v="6"/>
    <s v="Dinguiraye"/>
    <s v="Individuel"/>
    <s v="Saran Mady sanoh"/>
    <n v="621421610"/>
    <m/>
    <s v="Banora"/>
    <n v="67"/>
    <s v="Labour - uniquement"/>
    <n v="11"/>
    <s v="Tontifo"/>
    <s v="Tontifo"/>
    <s v="4 mois"/>
    <d v="2023-05-22T00:00:00"/>
    <m/>
    <s v="Mamadou 1 Diallo"/>
    <s v="Riz"/>
    <x v="1"/>
    <n v="11"/>
    <d v="2023-05-22T00:00:00"/>
    <x v="18"/>
    <s v="6DYE004T"/>
    <m/>
    <m/>
    <m/>
    <m/>
    <m/>
    <m/>
    <x v="19"/>
  </r>
  <r>
    <d v="2023-05-22T11:53:18"/>
    <x v="18"/>
    <s v="Wassabada"/>
    <s v="Individuel"/>
    <s v="Assa Fanta Camara"/>
    <n v="628075754"/>
    <m/>
    <s v="Kouroussa Centre"/>
    <n v="5"/>
    <s v="Labour - uniquement"/>
    <n v="3"/>
    <s v="Bagnain"/>
    <s v="Bagnain"/>
    <s v="4 mois"/>
    <d v="2023-05-22T00:00:00"/>
    <m/>
    <s v="Ibrahima Kalil Fofana"/>
    <s v="Riz"/>
    <x v="0"/>
    <m/>
    <m/>
    <x v="0"/>
    <m/>
    <m/>
    <m/>
    <m/>
    <m/>
    <m/>
    <m/>
    <x v="19"/>
  </r>
  <r>
    <d v="2023-05-22T11:56:47"/>
    <x v="19"/>
    <s v="Commune Urbaine"/>
    <s v="Individuel"/>
    <s v="Elh Mamadou bobo Diallo"/>
    <n v="628003222"/>
    <m/>
    <s v="Wonkifong"/>
    <n v="18"/>
    <s v="Labour - uniquement"/>
    <n v="6"/>
    <s v="Tin samba"/>
    <s v="Oriza Sativa"/>
    <s v="5 mois"/>
    <d v="2023-05-24T00:00:00"/>
    <m/>
    <s v="Ousmane Tangaly Balde"/>
    <s v="Riz"/>
    <x v="1"/>
    <n v="6"/>
    <d v="2023-05-23T00:00:00"/>
    <x v="18"/>
    <s v="2CAH001T"/>
    <m/>
    <m/>
    <m/>
    <m/>
    <m/>
    <m/>
    <x v="19"/>
  </r>
  <r>
    <d v="2023-05-22T11:58:20"/>
    <x v="18"/>
    <s v="Wassabada"/>
    <s v="Individuel"/>
    <s v="Balla djouméssy"/>
    <n v="620091714"/>
    <m/>
    <s v="Kouroussa Centre"/>
    <n v="8"/>
    <s v="Labour - uniquement"/>
    <n v="3"/>
    <s v="Bagnain"/>
    <s v="Bagnain"/>
    <s v="4 mois"/>
    <d v="2023-05-25T00:00:00"/>
    <m/>
    <s v="Ibrahima Kalil Fofana"/>
    <s v="Riz"/>
    <x v="0"/>
    <m/>
    <m/>
    <x v="0"/>
    <m/>
    <m/>
    <m/>
    <m/>
    <m/>
    <m/>
    <m/>
    <x v="19"/>
  </r>
  <r>
    <d v="2023-05-22T12:14:55"/>
    <x v="7"/>
    <s v="Cour du bloc administratif de"/>
    <s v="Collectif"/>
    <s v="Sékou touraby koulibaly"/>
    <n v="622239722"/>
    <m/>
    <s v="Kiniéran"/>
    <n v="79"/>
    <s v="Labour + Pulvérisation"/>
    <n v="30"/>
    <s v="Adrao"/>
    <s v="Adrao"/>
    <s v="5 mois"/>
    <d v="2023-05-21T00:00:00"/>
    <m/>
    <s v="Nounkè Doumbouya"/>
    <s v="Riz"/>
    <x v="1"/>
    <n v="30"/>
    <d v="2023-05-22T00:00:00"/>
    <x v="18"/>
    <s v="7MNA001T"/>
    <m/>
    <m/>
    <m/>
    <m/>
    <m/>
    <m/>
    <x v="19"/>
  </r>
  <r>
    <d v="2023-05-22T12:18:11"/>
    <x v="7"/>
    <s v="Cour du bloc administratif"/>
    <s v="Individuel"/>
    <s v="Mory Diakité"/>
    <n v="622005537"/>
    <m/>
    <s v="Mandiana Centre"/>
    <n v="11"/>
    <s v="Labour - uniquement"/>
    <n v="7"/>
    <s v="Chinois"/>
    <s v="Chinois"/>
    <s v="6 mois"/>
    <d v="2023-05-20T00:00:00"/>
    <m/>
    <s v="Nounkè Doumbouya"/>
    <s v="Riz"/>
    <x v="1"/>
    <n v="7"/>
    <d v="2023-05-22T00:00:00"/>
    <x v="18"/>
    <s v="7MNA001T"/>
    <m/>
    <m/>
    <m/>
    <m/>
    <m/>
    <m/>
    <x v="19"/>
  </r>
  <r>
    <d v="2023-05-22T12:25:15"/>
    <x v="7"/>
    <s v="Cour du bloc administratif"/>
    <s v="Individuel"/>
    <s v="Youssouf bayo"/>
    <n v="622110835"/>
    <m/>
    <s v="Mandiana Centre"/>
    <n v="11"/>
    <s v="Labour - uniquement"/>
    <n v="2"/>
    <s v="Tamba kêlê"/>
    <s v="Tamba kêlê"/>
    <s v="4 mois"/>
    <d v="2023-05-22T00:00:00"/>
    <m/>
    <s v="Nounkè Doumbouya"/>
    <s v="Riz"/>
    <x v="1"/>
    <n v="2"/>
    <d v="2023-05-22T00:00:00"/>
    <x v="18"/>
    <s v="7MNA005T"/>
    <m/>
    <m/>
    <m/>
    <m/>
    <m/>
    <m/>
    <x v="19"/>
  </r>
  <r>
    <d v="2023-05-22T12:29:03"/>
    <x v="7"/>
    <s v="Cour du bloc administratif"/>
    <s v="Individuel"/>
    <s v="Elhadj Toumani Diallo"/>
    <n v="624838473"/>
    <m/>
    <s v="Saladou"/>
    <n v="92"/>
    <s v="Pulvérisation - uniquement"/>
    <n v="35"/>
    <s v="Ck90"/>
    <s v="Ck90"/>
    <s v="5 mois"/>
    <d v="2023-05-23T00:00:00"/>
    <m/>
    <s v="Nounkè Doumbouya"/>
    <s v="Riz"/>
    <x v="1"/>
    <n v="35"/>
    <d v="2023-05-22T00:00:00"/>
    <x v="18"/>
    <s v="7MNA008T"/>
    <m/>
    <m/>
    <m/>
    <m/>
    <m/>
    <m/>
    <x v="19"/>
  </r>
  <r>
    <d v="2023-05-22T12:33:27"/>
    <x v="7"/>
    <s v="Cour du bloc administratif"/>
    <s v="Collectif"/>
    <s v="Fassiriman konaté"/>
    <n v="622722909"/>
    <m/>
    <s v="Mandiana Centre"/>
    <n v="28"/>
    <s v="Labour + Pulvérisation"/>
    <n v="30"/>
    <s v="Nerica19"/>
    <s v="Nerica19"/>
    <s v="4 mois"/>
    <d v="2023-05-23T00:00:00"/>
    <m/>
    <s v="Nounkè Doumbouya"/>
    <s v="Riz"/>
    <x v="1"/>
    <n v="30"/>
    <d v="2023-05-22T00:00:00"/>
    <x v="18"/>
    <s v="7MNA002T"/>
    <m/>
    <m/>
    <m/>
    <m/>
    <m/>
    <m/>
    <x v="19"/>
  </r>
  <r>
    <d v="2023-05-22T13:39:04"/>
    <x v="2"/>
    <s v="Bordeaux"/>
    <s v="Individuel"/>
    <s v="Kabinet condé"/>
    <n v="622949344"/>
    <m/>
    <s v="Tinti-Oulen"/>
    <n v="25"/>
    <s v="Labour - uniquement"/>
    <n v="20"/>
    <s v="Ck90"/>
    <s v="Ck90"/>
    <s v="4 mois"/>
    <d v="2023-05-20T00:00:00"/>
    <m/>
    <s v="Moussa Alamako Keita"/>
    <s v="Riz"/>
    <x v="1"/>
    <n v="20"/>
    <d v="2023-05-22T00:00:00"/>
    <x v="18"/>
    <s v="7KAN006T"/>
    <m/>
    <m/>
    <m/>
    <m/>
    <m/>
    <m/>
    <x v="19"/>
  </r>
  <r>
    <d v="2023-05-22T13:42:27"/>
    <x v="2"/>
    <s v="Bordeaux"/>
    <s v="Individuel"/>
    <s v="Mamadi 2 condé"/>
    <n v="620227830"/>
    <m/>
    <s v="Sabadou-Baranama"/>
    <n v="85"/>
    <s v="Labour - uniquement"/>
    <n v="5"/>
    <s v="Thouthou"/>
    <s v="Variété locale"/>
    <s v="6 mois"/>
    <d v="2023-05-21T00:00:00"/>
    <m/>
    <s v="Moussa Alamako Keita"/>
    <s v="Riz"/>
    <x v="1"/>
    <n v="5"/>
    <d v="2023-05-22T00:00:00"/>
    <x v="18"/>
    <s v="7KAN004T"/>
    <m/>
    <m/>
    <m/>
    <m/>
    <m/>
    <m/>
    <x v="19"/>
  </r>
  <r>
    <d v="2023-05-22T13:45:37"/>
    <x v="2"/>
    <s v="Bordeaux"/>
    <s v="Collectif"/>
    <s v="Oury konaté"/>
    <n v="622041972"/>
    <m/>
    <s v="Missamana"/>
    <n v="50"/>
    <s v="Labour - uniquement"/>
    <n v="20"/>
    <s v="Soïta"/>
    <s v="Variété locale"/>
    <s v="6 mois"/>
    <d v="2023-05-22T00:00:00"/>
    <m/>
    <s v="Moussa Alamako Keita"/>
    <s v="Riz"/>
    <x v="1"/>
    <n v="7"/>
    <d v="2023-05-22T00:00:00"/>
    <x v="18"/>
    <s v="7KAN006T"/>
    <m/>
    <m/>
    <m/>
    <m/>
    <m/>
    <m/>
    <x v="19"/>
  </r>
  <r>
    <d v="2023-05-22T14:31:49"/>
    <x v="5"/>
    <s v="Gueckedou centre"/>
    <s v="Individuel"/>
    <s v="Moriba sossoidouno"/>
    <n v="623652019"/>
    <m/>
    <s v="Terméssadou Djibo"/>
    <n v="33"/>
    <s v="Labour - uniquement"/>
    <n v="10"/>
    <s v="Ck90"/>
    <s v="Ck90"/>
    <s v="4 mois"/>
    <d v="2023-05-22T00:00:00"/>
    <m/>
    <s v="Antoine Teliano"/>
    <s v="Riz"/>
    <x v="1"/>
    <n v="10"/>
    <d v="2023-05-22T00:00:00"/>
    <x v="18"/>
    <s v="8GOU003T"/>
    <m/>
    <m/>
    <m/>
    <m/>
    <m/>
    <m/>
    <x v="19"/>
  </r>
  <r>
    <d v="2023-05-22T14:36:08"/>
    <x v="5"/>
    <s v="Gueckedou centre"/>
    <s v="Individuel"/>
    <s v="Alexandre moussa temedouno"/>
    <n v="622039475"/>
    <m/>
    <s v="Guéckédou Centre"/>
    <n v="3"/>
    <s v="Labour - uniquement"/>
    <n v="1"/>
    <s v="Ck90"/>
    <s v="Ck90"/>
    <s v="4 mois"/>
    <d v="2023-05-17T00:00:00"/>
    <m/>
    <s v="Antoine Teliano"/>
    <s v="Riz"/>
    <x v="1"/>
    <n v="1"/>
    <d v="2023-05-22T00:00:00"/>
    <x v="18"/>
    <s v="8GOU002T"/>
    <m/>
    <m/>
    <m/>
    <m/>
    <m/>
    <m/>
    <x v="19"/>
  </r>
  <r>
    <d v="2023-05-22T15:14:51"/>
    <x v="9"/>
    <s v="Forecariah"/>
    <s v="Individuel"/>
    <s v="Aboubacar Traoré"/>
    <n v="623222900"/>
    <m/>
    <s v="Alassoya"/>
    <n v="7"/>
    <s v="Pulvérisation - uniquement"/>
    <n v="3"/>
    <s v="Ck90"/>
    <s v="Ck90"/>
    <s v="4 mois"/>
    <d v="2023-05-22T00:00:00"/>
    <m/>
    <s v="Diamouré keita"/>
    <s v="Riz"/>
    <x v="0"/>
    <m/>
    <m/>
    <x v="19"/>
    <m/>
    <m/>
    <m/>
    <m/>
    <m/>
    <m/>
    <m/>
    <x v="19"/>
  </r>
  <r>
    <d v="2023-05-22T15:20:46"/>
    <x v="9"/>
    <s v="Forécariah"/>
    <s v="Individuel"/>
    <s v="Sédiba sylla"/>
    <n v="628142078"/>
    <m/>
    <s v="Sikhourou"/>
    <n v="57"/>
    <s v="Labour - uniquement"/>
    <n v="2"/>
    <s v="Ck90"/>
    <s v="Ck90"/>
    <s v="4 mois"/>
    <d v="2022-05-22T00:00:00"/>
    <m/>
    <s v="Diamouré keita"/>
    <s v="Riz"/>
    <x v="0"/>
    <m/>
    <m/>
    <x v="19"/>
    <m/>
    <m/>
    <m/>
    <m/>
    <m/>
    <m/>
    <m/>
    <x v="19"/>
  </r>
  <r>
    <d v="2023-05-22T15:28:59"/>
    <x v="9"/>
    <s v="Forecariah"/>
    <s v="Individuel"/>
    <s v="Aboubacar Traoré"/>
    <n v="623222900"/>
    <m/>
    <s v="Alassoya"/>
    <n v="7"/>
    <s v="Pulvérisation - uniquement"/>
    <n v="3"/>
    <s v="Ck90"/>
    <s v="Ck90"/>
    <s v="4 mois"/>
    <d v="2023-05-22T00:00:00"/>
    <m/>
    <s v="Diamouré keita"/>
    <s v="Riz"/>
    <x v="1"/>
    <n v="3"/>
    <d v="2023-05-22T00:00:00"/>
    <x v="18"/>
    <s v="2FA005T"/>
    <m/>
    <m/>
    <m/>
    <m/>
    <m/>
    <m/>
    <x v="19"/>
  </r>
  <r>
    <d v="2023-05-22T15:35:39"/>
    <x v="9"/>
    <s v="Forecariah"/>
    <s v="Individuel"/>
    <s v="Sédiba sylla"/>
    <n v="628142078"/>
    <m/>
    <s v="Sikhourou"/>
    <n v="57"/>
    <s v="Labour - uniquement"/>
    <n v="2"/>
    <s v="Ck90"/>
    <s v="Ck90"/>
    <s v="4 mois"/>
    <d v="2023-05-22T00:00:00"/>
    <m/>
    <s v="Diamouré keita"/>
    <s v="Riz"/>
    <x v="1"/>
    <n v="2"/>
    <d v="2023-05-22T00:00:00"/>
    <x v="18"/>
    <s v="2FA004T"/>
    <m/>
    <m/>
    <m/>
    <m/>
    <m/>
    <m/>
    <x v="19"/>
  </r>
  <r>
    <d v="2023-05-23T08:14:55"/>
    <x v="8"/>
    <s v="Beyla centre"/>
    <s v="Individuel"/>
    <s v="Laye Sangare"/>
    <n v="628458946"/>
    <m/>
    <s v="Sokourala"/>
    <n v="30"/>
    <s v="Labour - uniquement"/>
    <n v="8"/>
    <s v="Malogbeni"/>
    <s v="Riz"/>
    <s v="6 mois"/>
    <d v="2023-05-23T00:00:00"/>
    <m/>
    <s v="Moussa Conde"/>
    <s v="Riz"/>
    <x v="0"/>
    <m/>
    <m/>
    <x v="0"/>
    <m/>
    <m/>
    <m/>
    <m/>
    <m/>
    <m/>
    <m/>
    <x v="19"/>
  </r>
  <r>
    <d v="2023-05-23T08:32:44"/>
    <x v="8"/>
    <s v="Beyla"/>
    <s v="Individuel"/>
    <s v="Kanvaly Doumbouya"/>
    <n v="622852937"/>
    <m/>
    <s v="Samana"/>
    <n v="50"/>
    <s v="Labour - uniquement"/>
    <n v="20"/>
    <s v="Tchocho"/>
    <s v="Riz"/>
    <s v="6 mois"/>
    <d v="2023-05-23T00:00:00"/>
    <m/>
    <s v="Moussa Conde"/>
    <s v="Riz"/>
    <x v="1"/>
    <n v="20"/>
    <d v="2023-05-23T00:00:00"/>
    <x v="18"/>
    <s v="8BLA008T"/>
    <m/>
    <m/>
    <m/>
    <m/>
    <m/>
    <m/>
    <x v="19"/>
  </r>
  <r>
    <d v="2023-05-23T10:17:17"/>
    <x v="18"/>
    <s v="Wassabada"/>
    <s v="Individuel"/>
    <s v="Mohamed Wattara"/>
    <n v="628108397"/>
    <m/>
    <s v="Kouroussa Centre"/>
    <n v="2"/>
    <s v="Labour - uniquement"/>
    <n v="1"/>
    <s v="Bouréma malo ni"/>
    <s v="Oriza sativa"/>
    <s v="4 mois"/>
    <d v="2023-05-23T00:00:00"/>
    <m/>
    <s v="Ibrahima Kalil Fofana"/>
    <s v="Riz"/>
    <x v="0"/>
    <m/>
    <m/>
    <x v="19"/>
    <m/>
    <m/>
    <m/>
    <m/>
    <m/>
    <m/>
    <m/>
    <x v="19"/>
  </r>
  <r>
    <d v="2023-05-23T10:24:07"/>
    <x v="18"/>
    <s v="Wassabada"/>
    <s v="Individuel"/>
    <s v="Balla djouméssy"/>
    <n v="620091714"/>
    <m/>
    <s v="Kouroussa Centre"/>
    <n v="8"/>
    <s v="Labour - uniquement"/>
    <n v="3"/>
    <s v="Bagnè"/>
    <s v="Ck"/>
    <s v="4 mois"/>
    <d v="2023-05-25T00:00:00"/>
    <m/>
    <s v="Ibrahima Kalil Fofana"/>
    <s v="Riz"/>
    <x v="0"/>
    <m/>
    <m/>
    <x v="19"/>
    <m/>
    <m/>
    <m/>
    <m/>
    <m/>
    <m/>
    <m/>
    <x v="19"/>
  </r>
  <r>
    <d v="2023-05-23T10:27:55"/>
    <x v="18"/>
    <s v="Wassabada"/>
    <s v="Individuel"/>
    <s v="Assa Fanta Camara"/>
    <n v="628075754"/>
    <m/>
    <s v="Kouroussa Centre"/>
    <n v="5"/>
    <s v="Labour - uniquement"/>
    <n v="3"/>
    <s v="Bagnè"/>
    <s v="Ck"/>
    <s v="4 mois"/>
    <d v="2023-05-22T00:00:00"/>
    <m/>
    <s v="Ibrahima Kalil Fofana"/>
    <s v="Riz"/>
    <x v="0"/>
    <m/>
    <m/>
    <x v="19"/>
    <m/>
    <m/>
    <m/>
    <m/>
    <m/>
    <m/>
    <m/>
    <x v="19"/>
  </r>
  <r>
    <d v="2023-05-23T11:37:02"/>
    <x v="18"/>
    <s v="Wassabada"/>
    <s v="Individuel"/>
    <s v="Fodé keita"/>
    <n v="621219567"/>
    <m/>
    <s v="Kouroussa Centre"/>
    <n v="8"/>
    <s v="Labour - uniquement"/>
    <n v="10"/>
    <s v="Brema-malony"/>
    <s v="Kaoulaka"/>
    <s v="4 mois"/>
    <d v="2023-05-26T00:00:00"/>
    <m/>
    <s v="Ibrahima Kalil Fofana"/>
    <s v="Riz"/>
    <x v="0"/>
    <m/>
    <m/>
    <x v="19"/>
    <m/>
    <m/>
    <m/>
    <m/>
    <m/>
    <m/>
    <m/>
    <x v="19"/>
  </r>
  <r>
    <d v="2023-05-23T11:41:46"/>
    <x v="18"/>
    <s v="Wassabada"/>
    <s v="Individuel"/>
    <s v="Kansereba Conde"/>
    <n v="628839757"/>
    <m/>
    <s v="Kouroussa Centre"/>
    <n v="2"/>
    <s v="Labour - uniquement"/>
    <n v="1"/>
    <s v="Bagnain"/>
    <s v="CEKA"/>
    <s v="4 mois"/>
    <d v="2023-05-25T00:00:00"/>
    <m/>
    <s v="Ibrahima Kalil Fofana"/>
    <s v="Riz"/>
    <x v="0"/>
    <m/>
    <m/>
    <x v="19"/>
    <m/>
    <m/>
    <m/>
    <m/>
    <m/>
    <m/>
    <m/>
    <x v="19"/>
  </r>
  <r>
    <d v="2023-05-23T11:52:28"/>
    <x v="1"/>
    <s v="Siguiri"/>
    <s v="Individuel"/>
    <s v="Kansireba Magassouba"/>
    <n v="626503906"/>
    <m/>
    <s v="Siguiri Centre"/>
    <n v="2"/>
    <s v="Labour - uniquement"/>
    <n v="1"/>
    <s v="Nenken"/>
    <s v="Nenken"/>
    <s v="3 mois"/>
    <d v="2023-05-23T00:00:00"/>
    <m/>
    <s v="Nanamoudou ll Magassouba"/>
    <s v="Riz"/>
    <x v="1"/>
    <n v="1"/>
    <d v="2023-05-23T00:00:00"/>
    <x v="18"/>
    <s v="7SRI005T"/>
    <m/>
    <m/>
    <m/>
    <m/>
    <m/>
    <m/>
    <x v="19"/>
  </r>
  <r>
    <d v="2023-05-23T11:57:22"/>
    <x v="1"/>
    <s v="Siguiri"/>
    <s v="Collectif"/>
    <s v="Fanta Mady Magassouba"/>
    <n v="623875187"/>
    <m/>
    <s v="Doko"/>
    <n v="60"/>
    <s v="Labour - uniquement"/>
    <n v="8"/>
    <s v="Nenkin"/>
    <s v="Nenkin"/>
    <s v="3 mois"/>
    <d v="2023-05-23T00:00:00"/>
    <m/>
    <s v="Nanamoudou ll Magassouba"/>
    <s v="Riz"/>
    <x v="1"/>
    <n v="8"/>
    <d v="2023-05-23T00:00:00"/>
    <x v="18"/>
    <s v="7SRI005T"/>
    <m/>
    <m/>
    <m/>
    <m/>
    <m/>
    <m/>
    <x v="19"/>
  </r>
  <r>
    <d v="2023-05-23T12:01:02"/>
    <x v="1"/>
    <s v="Siguiri"/>
    <s v="Individuel"/>
    <s v="Kassim Sylla"/>
    <n v="625723444"/>
    <m/>
    <s v="Siguiri Centre"/>
    <n v="4"/>
    <s v="Labour - uniquement"/>
    <n v="5"/>
    <s v="Nenkin"/>
    <s v="Nenkin"/>
    <s v="3 mois"/>
    <d v="2023-05-23T00:00:00"/>
    <m/>
    <s v="Nanamoudou ll Magassouba"/>
    <s v="Riz"/>
    <x v="1"/>
    <n v="5"/>
    <d v="2023-05-23T00:00:00"/>
    <x v="18"/>
    <s v="7SRI004T"/>
    <m/>
    <m/>
    <m/>
    <m/>
    <m/>
    <m/>
    <x v="19"/>
  </r>
  <r>
    <d v="2023-05-23T12:07:06"/>
    <x v="1"/>
    <s v="Siguiri"/>
    <s v="Individuel"/>
    <s v="Almamy Traore"/>
    <n v="622977919"/>
    <m/>
    <s v="Siguiri Centre"/>
    <n v="3"/>
    <s v="Labour - uniquement"/>
    <n v="3"/>
    <s v="Nerica19"/>
    <s v="Nerica19"/>
    <s v="4 mois"/>
    <d v="2023-05-23T00:00:00"/>
    <m/>
    <s v="Nanamoudou ll Magassouba"/>
    <s v="Riz"/>
    <x v="1"/>
    <n v="3"/>
    <d v="2023-05-23T00:00:00"/>
    <x v="18"/>
    <s v="7SRI004T"/>
    <m/>
    <m/>
    <m/>
    <m/>
    <m/>
    <m/>
    <x v="19"/>
  </r>
  <r>
    <d v="2023-05-23T12:10:22"/>
    <x v="1"/>
    <s v="Siguiri"/>
    <s v="Collectif"/>
    <s v="Amara Camara"/>
    <n v="621196192"/>
    <m/>
    <s v="Maléa"/>
    <n v="70"/>
    <s v="Labour - uniquement"/>
    <n v="30"/>
    <s v="Nerica19"/>
    <s v="Nerica19"/>
    <s v="4 mois"/>
    <d v="2023-05-23T00:00:00"/>
    <m/>
    <s v="Nanamoudou ll Magassouba"/>
    <s v="Riz"/>
    <x v="1"/>
    <n v="30"/>
    <d v="2023-05-23T00:00:00"/>
    <x v="18"/>
    <s v="7SRI007T"/>
    <m/>
    <m/>
    <m/>
    <m/>
    <m/>
    <m/>
    <x v="19"/>
  </r>
  <r>
    <d v="2023-05-23T12:25:35"/>
    <x v="0"/>
    <s v="Direction préfectorale de l’agriculture"/>
    <s v="Individuel"/>
    <s v="Elhadj Mohamed bignè camara"/>
    <n v="622091928"/>
    <m/>
    <s v="Macenta Centre"/>
    <n v="8"/>
    <s v="Pulvérisation - uniquement"/>
    <n v="30"/>
    <s v="Ck90"/>
    <s v="Ck90"/>
    <s v="5 mois"/>
    <d v="2023-05-24T00:00:00"/>
    <s v="Pulvérisage"/>
    <s v="Alexandre Kpoghomou"/>
    <s v="Riz"/>
    <x v="1"/>
    <n v="30"/>
    <d v="2023-05-23T00:00:00"/>
    <x v="18"/>
    <s v="8GOU002T"/>
    <m/>
    <m/>
    <m/>
    <m/>
    <m/>
    <m/>
    <x v="19"/>
  </r>
  <r>
    <d v="2023-05-23T12:29:11"/>
    <x v="0"/>
    <s v="Direction préfectorale de l’agriculture"/>
    <s v="Individuel"/>
    <s v="Aissata Camara"/>
    <n v="628161267"/>
    <m/>
    <s v="Macenta Centre"/>
    <n v="12"/>
    <s v="Labour + Pulvérisation"/>
    <n v="6"/>
    <s v="Djoukèmè"/>
    <s v="Oriza sativa"/>
    <s v="5 mois"/>
    <d v="2023-05-27T00:00:00"/>
    <m/>
    <s v="Alexandre Kpoghomou"/>
    <s v="Riz"/>
    <x v="1"/>
    <n v="6"/>
    <d v="2023-05-23T00:00:00"/>
    <x v="18"/>
    <m/>
    <m/>
    <m/>
    <m/>
    <m/>
    <m/>
    <m/>
    <x v="19"/>
  </r>
  <r>
    <d v="2023-05-23T12:32:44"/>
    <x v="0"/>
    <s v="Direction préfectorale de l’agriculture"/>
    <s v="Individuel"/>
    <s v="Mathieu Millimouno"/>
    <n v="622564008"/>
    <m/>
    <s v="Daro"/>
    <n v="12"/>
    <s v="Labour - uniquement"/>
    <n v="5"/>
    <s v="Djoukèmè"/>
    <s v="Oriza sativa"/>
    <s v="5 mois"/>
    <d v="2023-05-30T00:00:00"/>
    <m/>
    <s v="Alexandre Kpoghomou"/>
    <s v="Riz"/>
    <x v="1"/>
    <n v="5"/>
    <d v="2023-05-23T00:00:00"/>
    <x v="18"/>
    <s v="8MTA004T"/>
    <m/>
    <m/>
    <m/>
    <m/>
    <m/>
    <m/>
    <x v="19"/>
  </r>
  <r>
    <d v="2023-05-23T13:01:43"/>
    <x v="12"/>
    <s v="Ouassou"/>
    <s v="Individuel"/>
    <s v="Abdoulaye camara"/>
    <n v="625365311"/>
    <n v="625365311"/>
    <s v="Koba-Tatema"/>
    <n v="6"/>
    <s v="Labour - uniquement"/>
    <n v="2"/>
    <s v="Wonkifon"/>
    <n v="0"/>
    <s v="4 mois"/>
    <d v="2023-05-22T00:00:00"/>
    <s v="Accord"/>
    <s v="Kissi Camara"/>
    <s v="Riz"/>
    <x v="1"/>
    <n v="2"/>
    <d v="2023-05-23T00:00:00"/>
    <x v="18"/>
    <s v="2DKA001T"/>
    <m/>
    <m/>
    <m/>
    <m/>
    <m/>
    <m/>
    <x v="19"/>
  </r>
  <r>
    <d v="2023-05-23T13:11:05"/>
    <x v="12"/>
    <s v="Ouassou"/>
    <s v="Individuel"/>
    <s v="Mabinty camara"/>
    <n v="627789375"/>
    <n v="627789375"/>
    <s v="Koba-Tatema"/>
    <n v="6"/>
    <s v="Labour - uniquement"/>
    <n v="1"/>
    <s v="M'Bampeya"/>
    <n v="0"/>
    <s v="4 mois"/>
    <d v="2023-05-23T00:00:00"/>
    <s v="Accord"/>
    <s v="Kissi Camara"/>
    <s v="Riz"/>
    <x v="1"/>
    <n v="1"/>
    <d v="2023-05-23T00:00:00"/>
    <x v="18"/>
    <s v="2DKA001T"/>
    <m/>
    <m/>
    <m/>
    <m/>
    <m/>
    <m/>
    <x v="19"/>
  </r>
  <r>
    <d v="2023-05-23T13:52:25"/>
    <x v="11"/>
    <s v="Centre"/>
    <s v="Individuel"/>
    <s v="Laye kelety oulen Diabaté"/>
    <n v="628205992"/>
    <n v="628205992"/>
    <s v="Kérouane Centre"/>
    <n v="12"/>
    <s v="Labour - uniquement"/>
    <n v="6"/>
    <s v="Samory"/>
    <s v="Samory"/>
    <s v="5 mois"/>
    <d v="2023-05-25T00:00:00"/>
    <m/>
    <s v="Moussa Kadia Camara"/>
    <s v="Riz"/>
    <x v="0"/>
    <m/>
    <m/>
    <x v="19"/>
    <m/>
    <m/>
    <m/>
    <m/>
    <m/>
    <m/>
    <m/>
    <x v="19"/>
  </r>
  <r>
    <d v="2023-05-23T13:55:54"/>
    <x v="11"/>
    <s v="Centre"/>
    <s v="Individuel"/>
    <s v="Moussa Touré"/>
    <n v="627302656"/>
    <n v="627302656"/>
    <s v="Kérouane Centre"/>
    <n v="7"/>
    <s v="Labour - uniquement"/>
    <n v="1"/>
    <s v="Djoufini"/>
    <s v="Djoufini"/>
    <s v="6 mois"/>
    <d v="2023-05-26T00:00:00"/>
    <m/>
    <s v="Moussa Kadia Camara"/>
    <s v="Riz"/>
    <x v="0"/>
    <m/>
    <m/>
    <x v="19"/>
    <m/>
    <m/>
    <m/>
    <m/>
    <m/>
    <m/>
    <m/>
    <x v="19"/>
  </r>
  <r>
    <d v="2023-05-23T13:59:52"/>
    <x v="11"/>
    <s v="Centre"/>
    <s v="Individuel"/>
    <s v="Fabory Keita"/>
    <n v="628571050"/>
    <n v="628571050"/>
    <s v="Kérouane Centre"/>
    <n v="7"/>
    <s v="Labour - uniquement"/>
    <n v="3"/>
    <s v="Samory"/>
    <s v="Samory"/>
    <s v="5 mois"/>
    <d v="2023-05-27T00:00:00"/>
    <m/>
    <s v="Moussa Kadia Camara"/>
    <s v="Riz"/>
    <x v="0"/>
    <m/>
    <m/>
    <x v="19"/>
    <m/>
    <m/>
    <m/>
    <m/>
    <m/>
    <m/>
    <m/>
    <x v="19"/>
  </r>
  <r>
    <d v="2023-05-23T14:04:24"/>
    <x v="11"/>
    <s v="Centre"/>
    <s v="Individuel"/>
    <s v="Soumaila kourouma"/>
    <n v="620347362"/>
    <n v="620347362"/>
    <s v="Kérouane Centre"/>
    <n v="37"/>
    <s v="Labour - uniquement"/>
    <n v="15"/>
    <s v="Samory"/>
    <s v="Samory"/>
    <s v="5 mois"/>
    <d v="2023-05-29T00:00:00"/>
    <m/>
    <s v="Moussa Kadia Camara"/>
    <s v="Riz"/>
    <x v="0"/>
    <m/>
    <m/>
    <x v="19"/>
    <m/>
    <m/>
    <m/>
    <m/>
    <m/>
    <m/>
    <m/>
    <x v="19"/>
  </r>
  <r>
    <d v="2023-05-23T14:10:38"/>
    <x v="11"/>
    <s v="Centre"/>
    <s v="Individuel"/>
    <s v="Badenba Barry"/>
    <n v="669451909"/>
    <n v="669451909"/>
    <s v="Kérouane Centre"/>
    <n v="40"/>
    <s v="Labour - uniquement"/>
    <n v="6"/>
    <s v="Moussagbe"/>
    <s v="Moussagbe"/>
    <s v="9 mois"/>
    <d v="2023-05-29T00:00:00"/>
    <m/>
    <s v="Moussa Kadia Camara"/>
    <s v="Riz"/>
    <x v="0"/>
    <m/>
    <m/>
    <x v="19"/>
    <m/>
    <m/>
    <m/>
    <m/>
    <m/>
    <m/>
    <m/>
    <x v="19"/>
  </r>
  <r>
    <d v="2023-05-23T14:13:27"/>
    <x v="11"/>
    <s v="Centre"/>
    <s v="Individuel"/>
    <s v="Mamadou Magassouba"/>
    <n v="622944999"/>
    <n v="622944999"/>
    <s v="Kérouane Centre"/>
    <n v="5"/>
    <s v="Labour - uniquement"/>
    <n v="6"/>
    <s v="Samory"/>
    <s v="Samory"/>
    <s v="5 mois"/>
    <d v="2023-05-29T00:00:00"/>
    <m/>
    <s v="Moussa Kadia Camara"/>
    <s v="Riz"/>
    <x v="0"/>
    <m/>
    <m/>
    <x v="19"/>
    <m/>
    <m/>
    <m/>
    <m/>
    <m/>
    <m/>
    <m/>
    <x v="19"/>
  </r>
  <r>
    <d v="2023-05-23T14:15:56"/>
    <x v="11"/>
    <s v="Centre"/>
    <s v="Individuel"/>
    <s v="Commandant Adjoint"/>
    <n v="625260705"/>
    <n v="625260705"/>
    <s v="Kérouane Centre"/>
    <n v="15"/>
    <s v="Labour - uniquement"/>
    <n v="3"/>
    <s v="Samory"/>
    <s v="Samory"/>
    <s v="5 mois"/>
    <d v="2023-05-30T00:00:00"/>
    <m/>
    <s v="Moussa Kadia Camara"/>
    <s v="Riz"/>
    <x v="0"/>
    <m/>
    <m/>
    <x v="19"/>
    <m/>
    <m/>
    <m/>
    <m/>
    <m/>
    <m/>
    <m/>
    <x v="19"/>
  </r>
  <r>
    <d v="2023-05-23T14:59:19"/>
    <x v="13"/>
    <s v="Aviation"/>
    <s v="Individuel"/>
    <s v="Mamadi kourouma"/>
    <n v="622080387"/>
    <m/>
    <s v="Beindou"/>
    <n v="70"/>
    <s v="Labour - uniquement"/>
    <n v="8"/>
    <s v="Porotokolo"/>
    <s v="Porotokolo"/>
    <s v="6 mois"/>
    <d v="2023-05-24T00:00:00"/>
    <m/>
    <s v="Mohamed Fanta kourouma"/>
    <s v="Riz"/>
    <x v="0"/>
    <m/>
    <m/>
    <x v="19"/>
    <m/>
    <m/>
    <m/>
    <m/>
    <m/>
    <m/>
    <m/>
    <x v="19"/>
  </r>
  <r>
    <d v="2023-05-23T15:02:36"/>
    <x v="13"/>
    <s v="Aviation"/>
    <s v="Individuel"/>
    <s v="Sekou mansaré"/>
    <n v="623716549"/>
    <m/>
    <s v="Banfélé"/>
    <n v="150"/>
    <s v="Labour - uniquement"/>
    <n v="10"/>
    <s v="Mettre 6"/>
    <s v="Mettre 6"/>
    <s v="6 mois"/>
    <d v="2023-05-24T00:00:00"/>
    <m/>
    <s v="Mohamed Fanta kourouma"/>
    <s v="Riz"/>
    <x v="0"/>
    <m/>
    <m/>
    <x v="19"/>
    <m/>
    <m/>
    <m/>
    <m/>
    <m/>
    <m/>
    <m/>
    <x v="19"/>
  </r>
  <r>
    <d v="2023-05-23T15:22:47"/>
    <x v="20"/>
    <s v="Kindia"/>
    <s v="Individuel"/>
    <s v="BARRY Boubacar Siddy"/>
    <n v="620694314"/>
    <m/>
    <s v="Friguiagbé"/>
    <n v="22"/>
    <s v="Labour - uniquement"/>
    <n v="2"/>
    <s v="CK"/>
    <s v="CK"/>
    <s v="5 mois"/>
    <d v="2023-05-24T00:00:00"/>
    <s v="Realisable"/>
    <s v="Boubacar Gueme Bah"/>
    <s v="Riz"/>
    <x v="0"/>
    <m/>
    <m/>
    <x v="19"/>
    <m/>
    <m/>
    <m/>
    <m/>
    <m/>
    <m/>
    <m/>
    <x v="19"/>
  </r>
  <r>
    <m/>
    <x v="24"/>
    <m/>
    <m/>
    <m/>
    <m/>
    <m/>
    <m/>
    <n v="11411"/>
    <m/>
    <n v="1847.5"/>
    <m/>
    <m/>
    <m/>
    <m/>
    <m/>
    <m/>
    <m/>
    <x v="0"/>
    <n v="1066.5"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n v="542.5"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s v="7KAN003T"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0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  <r>
    <m/>
    <x v="24"/>
    <m/>
    <m/>
    <m/>
    <m/>
    <m/>
    <m/>
    <m/>
    <m/>
    <m/>
    <m/>
    <m/>
    <m/>
    <m/>
    <m/>
    <m/>
    <m/>
    <x v="0"/>
    <m/>
    <m/>
    <x v="19"/>
    <m/>
    <m/>
    <m/>
    <m/>
    <m/>
    <m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FE0872-26A0-4CC8-A260-18BBBFCACDEC}" name="Tableau croisé dynamique22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28" firstHeaderRow="1" firstDataRow="1" firstDataCol="1" rowPageCount="1" colPageCount="1"/>
  <pivotFields count="30">
    <pivotField showAll="0"/>
    <pivotField axis="axisRow" showAll="0">
      <items count="26">
        <item x="8"/>
        <item x="14"/>
        <item x="4"/>
        <item x="19"/>
        <item x="16"/>
        <item x="6"/>
        <item x="12"/>
        <item x="13"/>
        <item x="9"/>
        <item x="17"/>
        <item x="5"/>
        <item x="2"/>
        <item x="11"/>
        <item x="20"/>
        <item x="10"/>
        <item x="18"/>
        <item x="15"/>
        <item x="0"/>
        <item x="3"/>
        <item x="7"/>
        <item x="21"/>
        <item x="1"/>
        <item x="23"/>
        <item x="22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18" item="0" hier="-1"/>
  </pageFields>
  <dataFields count="1">
    <dataField name="Nombre de Superficie demandée pour le labour" fld="19" subtotal="count" baseField="1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FCB9F-F6AD-402C-8BDE-E3D5047F4883}" name="Tableau croisé dynamique25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2:B57" firstHeaderRow="1" firstDataRow="1" firstDataCol="1" rowPageCount="1" colPageCount="1"/>
  <pivotFields count="30">
    <pivotField showAll="0"/>
    <pivotField axis="axisRow" showAll="0">
      <items count="26">
        <item x="8"/>
        <item x="14"/>
        <item x="4"/>
        <item x="19"/>
        <item x="16"/>
        <item x="6"/>
        <item x="12"/>
        <item x="13"/>
        <item x="9"/>
        <item x="17"/>
        <item x="5"/>
        <item x="2"/>
        <item x="11"/>
        <item x="20"/>
        <item x="10"/>
        <item x="18"/>
        <item x="15"/>
        <item x="0"/>
        <item x="3"/>
        <item x="7"/>
        <item x="21"/>
        <item x="1"/>
        <item x="23"/>
        <item x="22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22">
        <item x="9"/>
        <item x="11"/>
        <item x="7"/>
        <item x="10"/>
        <item x="12"/>
        <item x="13"/>
        <item x="14"/>
        <item x="15"/>
        <item x="17"/>
        <item x="16"/>
        <item x="4"/>
        <item h="1" x="18"/>
        <item m="1" x="20"/>
        <item x="1"/>
        <item x="3"/>
        <item h="1" x="0"/>
        <item x="6"/>
        <item x="2"/>
        <item x="5"/>
        <item x="8"/>
        <item h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1" hier="-1"/>
  </pageFields>
  <dataFields count="1">
    <dataField name="Somme de Superficie demandée pour le labour" fld="19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66492B-D5A2-4F32-A181-78886E33A452}" name="Tableau croisé dynamique24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23" firstHeaderRow="1" firstDataRow="1" firstDataCol="1" rowPageCount="1" colPageCount="1"/>
  <pivotFields count="30">
    <pivotField showAll="0"/>
    <pivotField axis="axisRow" showAll="0">
      <items count="26">
        <item x="8"/>
        <item x="14"/>
        <item x="4"/>
        <item x="19"/>
        <item x="16"/>
        <item x="6"/>
        <item x="12"/>
        <item x="13"/>
        <item x="9"/>
        <item x="17"/>
        <item x="5"/>
        <item x="2"/>
        <item x="11"/>
        <item x="20"/>
        <item x="10"/>
        <item x="18"/>
        <item x="15"/>
        <item x="0"/>
        <item x="3"/>
        <item x="7"/>
        <item x="21"/>
        <item x="1"/>
        <item x="23"/>
        <item x="22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22">
        <item x="9"/>
        <item x="11"/>
        <item x="7"/>
        <item x="10"/>
        <item x="12"/>
        <item x="13"/>
        <item x="14"/>
        <item x="15"/>
        <item x="17"/>
        <item x="16"/>
        <item h="1" x="4"/>
        <item h="1" x="18"/>
        <item m="1" x="20"/>
        <item x="1"/>
        <item x="3"/>
        <item h="1" x="0"/>
        <item x="6"/>
        <item x="2"/>
        <item x="5"/>
        <item x="8"/>
        <item h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multipleItemSelectionAllowed="1"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ageFields count="1">
    <pageField fld="21" hier="-1"/>
  </pageFields>
  <dataFields count="1">
    <dataField name="Somme de Superficie demandée pour le labour" fld="19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C7122E-A56F-409C-ACAE-FCB3DA1C20DD}" name="Tableau croisé dynamique21" cacheId="9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29" firstHeaderRow="1" firstDataRow="1" firstDataCol="1" rowPageCount="1" colPageCount="1"/>
  <pivotFields count="30">
    <pivotField showAll="0"/>
    <pivotField axis="axisRow" showAll="0">
      <items count="26">
        <item x="8"/>
        <item x="14"/>
        <item x="4"/>
        <item x="19"/>
        <item x="16"/>
        <item x="6"/>
        <item x="12"/>
        <item x="13"/>
        <item x="9"/>
        <item x="17"/>
        <item x="5"/>
        <item x="2"/>
        <item x="11"/>
        <item x="20"/>
        <item x="10"/>
        <item x="18"/>
        <item x="15"/>
        <item x="0"/>
        <item x="3"/>
        <item x="7"/>
        <item x="21"/>
        <item x="1"/>
        <item x="23"/>
        <item x="22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x="20"/>
        <item t="default"/>
      </items>
    </pivotField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29" hier="-1"/>
  </pageFields>
  <dataFields count="1">
    <dataField name="Somme de Superficie demandée pour le labour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0FFC1-9A12-4B54-AF7A-FAD3D964B3E5}" name="Tableau croisé dynamique11" cacheId="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21" firstHeaderRow="1" firstDataRow="1" firstDataCol="1" rowPageCount="1" colPageCount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  <pivotField axis="axisRow" showAll="0">
      <items count="24">
        <item x="9"/>
        <item x="11"/>
        <item x="7"/>
        <item x="10"/>
        <item x="12"/>
        <item x="13"/>
        <item x="14"/>
        <item x="15"/>
        <item x="17"/>
        <item x="16"/>
        <item x="4"/>
        <item x="1"/>
        <item x="3"/>
        <item x="0"/>
        <item x="6"/>
        <item x="2"/>
        <item x="5"/>
        <item x="8"/>
        <item h="1" m="1" x="21"/>
        <item h="1" x="19"/>
        <item h="1" x="18"/>
        <item h="1" m="1" x="20"/>
        <item h="1" m="1" x="22"/>
        <item t="default"/>
      </items>
    </pivotField>
    <pivotField showAll="0"/>
    <pivotField showAll="0"/>
    <pivotField showAll="0"/>
    <pivotField showAll="0"/>
  </pivotFields>
  <rowFields count="1">
    <field x="2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 t="grand">
      <x/>
    </i>
  </rowItems>
  <colItems count="1">
    <i/>
  </colItems>
  <pageFields count="1">
    <pageField fld="18" item="0" hier="-1"/>
  </pageFields>
  <dataFields count="1">
    <dataField name="Somme de Superficie demandée pour le labour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E10CF-A83C-449A-9B63-7A2060170DF3}">
  <sheetPr codeName="Feuil7"/>
  <dimension ref="A1"/>
  <sheetViews>
    <sheetView showGridLines="0" tabSelected="1" workbookViewId="0">
      <selection activeCell="E18" sqref="E1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db">
                <anchor moveWithCells="1" sizeWithCells="1">
                  <from>
                    <xdr:col>2</xdr:col>
                    <xdr:colOff>257175</xdr:colOff>
                    <xdr:row>5</xdr:row>
                    <xdr:rowOff>9525</xdr:rowOff>
                  </from>
                  <to>
                    <xdr:col>4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synth">
                <anchor moveWithCells="1" sizeWithCells="1">
                  <from>
                    <xdr:col>4</xdr:col>
                    <xdr:colOff>666750</xdr:colOff>
                    <xdr:row>5</xdr:row>
                    <xdr:rowOff>9525</xdr:rowOff>
                  </from>
                  <to>
                    <xdr:col>6</xdr:col>
                    <xdr:colOff>590550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prod">
                <anchor moveWithCells="1" sizeWithCells="1">
                  <from>
                    <xdr:col>7</xdr:col>
                    <xdr:colOff>323850</xdr:colOff>
                    <xdr:row>5</xdr:row>
                    <xdr:rowOff>0</xdr:rowOff>
                  </from>
                  <to>
                    <xdr:col>9</xdr:col>
                    <xdr:colOff>247650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hect">
                <anchor moveWithCells="1" sizeWithCells="1">
                  <from>
                    <xdr:col>2</xdr:col>
                    <xdr:colOff>323850</xdr:colOff>
                    <xdr:row>10</xdr:row>
                    <xdr:rowOff>133350</xdr:rowOff>
                  </from>
                  <to>
                    <xdr:col>4</xdr:col>
                    <xdr:colOff>247650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enreg">
                <anchor moveWithCells="1" sizeWithCells="1">
                  <from>
                    <xdr:col>4</xdr:col>
                    <xdr:colOff>685800</xdr:colOff>
                    <xdr:row>10</xdr:row>
                    <xdr:rowOff>66675</xdr:rowOff>
                  </from>
                  <to>
                    <xdr:col>6</xdr:col>
                    <xdr:colOff>609600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lab">
                <anchor moveWithCells="1" sizeWithCells="1">
                  <from>
                    <xdr:col>7</xdr:col>
                    <xdr:colOff>419100</xdr:colOff>
                    <xdr:row>10</xdr:row>
                    <xdr:rowOff>66675</xdr:rowOff>
                  </from>
                  <to>
                    <xdr:col>9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06AC2-D72B-4ACD-BB33-3305DC962F6E}">
  <sheetPr codeName="Feuil1">
    <tabColor theme="4"/>
  </sheetPr>
  <dimension ref="A1:AD4003"/>
  <sheetViews>
    <sheetView zoomScaleNormal="100" workbookViewId="0">
      <selection activeCell="F3" sqref="F3"/>
    </sheetView>
  </sheetViews>
  <sheetFormatPr baseColWidth="10" defaultColWidth="13" defaultRowHeight="15" x14ac:dyDescent="0.25"/>
  <cols>
    <col min="1" max="1" width="15.28515625" bestFit="1" customWidth="1"/>
    <col min="4" max="4" width="13" style="34"/>
  </cols>
  <sheetData>
    <row r="1" spans="1:30" ht="139.5" customHeight="1" thickBot="1" x14ac:dyDescent="0.3">
      <c r="A1" s="27" t="s">
        <v>0</v>
      </c>
      <c r="B1" s="1" t="s">
        <v>1</v>
      </c>
      <c r="C1" s="1" t="s">
        <v>2</v>
      </c>
      <c r="D1" s="30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2" t="s">
        <v>18</v>
      </c>
      <c r="T1" s="2" t="s">
        <v>19</v>
      </c>
      <c r="U1" s="2" t="s">
        <v>20</v>
      </c>
      <c r="V1" s="2" t="s">
        <v>1323</v>
      </c>
      <c r="W1" s="2" t="s">
        <v>21</v>
      </c>
      <c r="X1" s="2" t="s">
        <v>22</v>
      </c>
      <c r="Y1" s="2" t="s">
        <v>1369</v>
      </c>
      <c r="Z1" s="2" t="s">
        <v>1370</v>
      </c>
      <c r="AA1" s="2" t="s">
        <v>1371</v>
      </c>
      <c r="AB1" s="1" t="s">
        <v>23</v>
      </c>
      <c r="AC1" s="1" t="s">
        <v>24</v>
      </c>
      <c r="AD1" s="16" t="s">
        <v>1767</v>
      </c>
    </row>
    <row r="2" spans="1:30" ht="90.75" thickBot="1" x14ac:dyDescent="0.3">
      <c r="A2" s="3">
        <v>44936.905312499999</v>
      </c>
      <c r="B2" s="4" t="s">
        <v>25</v>
      </c>
      <c r="C2" s="4" t="s">
        <v>26</v>
      </c>
      <c r="D2" s="31" t="s">
        <v>27</v>
      </c>
      <c r="E2" s="4" t="s">
        <v>28</v>
      </c>
      <c r="F2" s="5">
        <v>622671405</v>
      </c>
      <c r="G2" s="5">
        <v>622715005</v>
      </c>
      <c r="H2" s="4" t="s">
        <v>29</v>
      </c>
      <c r="I2" s="5">
        <v>12</v>
      </c>
      <c r="J2" s="4" t="s">
        <v>30</v>
      </c>
      <c r="K2" s="5">
        <v>15</v>
      </c>
      <c r="L2" s="4" t="s">
        <v>31</v>
      </c>
      <c r="M2" s="4" t="s">
        <v>32</v>
      </c>
      <c r="N2" s="4" t="s">
        <v>33</v>
      </c>
      <c r="O2" s="6">
        <v>44951</v>
      </c>
      <c r="P2" s="4" t="s">
        <v>34</v>
      </c>
      <c r="Q2" s="4" t="s">
        <v>35</v>
      </c>
      <c r="R2" s="4" t="s">
        <v>36</v>
      </c>
      <c r="S2" s="4"/>
      <c r="T2" s="4"/>
      <c r="U2" s="4"/>
      <c r="V2" s="4" t="s">
        <v>1372</v>
      </c>
      <c r="W2" s="4"/>
      <c r="X2" s="4"/>
      <c r="Y2" s="4"/>
      <c r="Z2" s="4"/>
      <c r="AA2" s="4"/>
      <c r="AB2" s="4"/>
      <c r="AC2" s="4"/>
      <c r="AD2" s="4">
        <f>WEEKNUM(LEFT(A2,10))</f>
        <v>2</v>
      </c>
    </row>
    <row r="3" spans="1:30" ht="65.25" thickBot="1" x14ac:dyDescent="0.3">
      <c r="A3" s="3">
        <v>44936.909386574072</v>
      </c>
      <c r="B3" s="4" t="s">
        <v>25</v>
      </c>
      <c r="C3" s="4" t="s">
        <v>26</v>
      </c>
      <c r="D3" s="31" t="s">
        <v>27</v>
      </c>
      <c r="E3" s="4" t="s">
        <v>37</v>
      </c>
      <c r="F3" s="5">
        <v>620655190</v>
      </c>
      <c r="G3" s="4"/>
      <c r="H3" s="4" t="s">
        <v>29</v>
      </c>
      <c r="I3" s="5">
        <v>15</v>
      </c>
      <c r="J3" s="4" t="s">
        <v>38</v>
      </c>
      <c r="K3" s="5">
        <v>5</v>
      </c>
      <c r="L3" s="4" t="s">
        <v>39</v>
      </c>
      <c r="M3" s="4" t="s">
        <v>40</v>
      </c>
      <c r="N3" s="4" t="s">
        <v>41</v>
      </c>
      <c r="O3" s="6">
        <v>44954</v>
      </c>
      <c r="P3" s="4" t="s">
        <v>34</v>
      </c>
      <c r="Q3" s="4" t="s">
        <v>35</v>
      </c>
      <c r="R3" s="4" t="s">
        <v>40</v>
      </c>
      <c r="S3" s="4"/>
      <c r="T3" s="4"/>
      <c r="U3" s="4"/>
      <c r="V3" s="4" t="s">
        <v>1372</v>
      </c>
      <c r="W3" s="4"/>
      <c r="X3" s="4"/>
      <c r="Y3" s="4"/>
      <c r="Z3" s="4"/>
      <c r="AA3" s="4"/>
      <c r="AB3" s="4"/>
      <c r="AC3" s="4"/>
      <c r="AD3" s="4">
        <f t="shared" ref="AD3:AD66" si="0">WEEKNUM(LEFT(A3,10))</f>
        <v>2</v>
      </c>
    </row>
    <row r="4" spans="1:30" ht="65.25" thickBot="1" x14ac:dyDescent="0.3">
      <c r="A4" s="3">
        <v>44936.913738425923</v>
      </c>
      <c r="B4" s="4" t="s">
        <v>25</v>
      </c>
      <c r="C4" s="4" t="s">
        <v>26</v>
      </c>
      <c r="D4" s="31" t="s">
        <v>42</v>
      </c>
      <c r="E4" s="4" t="s">
        <v>43</v>
      </c>
      <c r="F4" s="5">
        <v>621479659</v>
      </c>
      <c r="G4" s="4"/>
      <c r="H4" s="4" t="s">
        <v>29</v>
      </c>
      <c r="I4" s="5">
        <v>10</v>
      </c>
      <c r="J4" s="4" t="s">
        <v>30</v>
      </c>
      <c r="K4" s="5">
        <v>15</v>
      </c>
      <c r="L4" s="4" t="s">
        <v>31</v>
      </c>
      <c r="M4" s="4" t="s">
        <v>32</v>
      </c>
      <c r="N4" s="4" t="s">
        <v>33</v>
      </c>
      <c r="O4" s="6">
        <v>44956</v>
      </c>
      <c r="P4" s="4" t="s">
        <v>34</v>
      </c>
      <c r="Q4" s="4" t="s">
        <v>35</v>
      </c>
      <c r="R4" s="4" t="s">
        <v>36</v>
      </c>
      <c r="S4" s="4"/>
      <c r="T4" s="4"/>
      <c r="U4" s="4"/>
      <c r="V4" s="4" t="s">
        <v>1372</v>
      </c>
      <c r="W4" s="4"/>
      <c r="X4" s="4"/>
      <c r="Y4" s="4"/>
      <c r="Z4" s="4"/>
      <c r="AA4" s="4"/>
      <c r="AB4" s="4"/>
      <c r="AC4" s="4"/>
      <c r="AD4" s="4">
        <f t="shared" si="0"/>
        <v>2</v>
      </c>
    </row>
    <row r="5" spans="1:30" ht="65.25" thickBot="1" x14ac:dyDescent="0.3">
      <c r="A5" s="3">
        <v>44936.917268518519</v>
      </c>
      <c r="B5" s="4" t="s">
        <v>25</v>
      </c>
      <c r="C5" s="4" t="s">
        <v>26</v>
      </c>
      <c r="D5" s="31" t="s">
        <v>42</v>
      </c>
      <c r="E5" s="4" t="s">
        <v>44</v>
      </c>
      <c r="F5" s="5">
        <v>622016575</v>
      </c>
      <c r="G5" s="4"/>
      <c r="H5" s="4" t="s">
        <v>45</v>
      </c>
      <c r="I5" s="5">
        <v>70</v>
      </c>
      <c r="J5" s="4" t="s">
        <v>38</v>
      </c>
      <c r="K5" s="5">
        <v>20</v>
      </c>
      <c r="L5" s="4" t="s">
        <v>46</v>
      </c>
      <c r="M5" s="4" t="s">
        <v>32</v>
      </c>
      <c r="N5" s="4" t="s">
        <v>47</v>
      </c>
      <c r="O5" s="6">
        <v>44967</v>
      </c>
      <c r="P5" s="4" t="s">
        <v>34</v>
      </c>
      <c r="Q5" s="4" t="s">
        <v>35</v>
      </c>
      <c r="R5" s="4" t="s">
        <v>36</v>
      </c>
      <c r="S5" s="4"/>
      <c r="T5" s="4"/>
      <c r="U5" s="4"/>
      <c r="V5" s="4" t="s">
        <v>1372</v>
      </c>
      <c r="W5" s="4"/>
      <c r="X5" s="4"/>
      <c r="Y5" s="4"/>
      <c r="Z5" s="4"/>
      <c r="AA5" s="4"/>
      <c r="AB5" s="4"/>
      <c r="AC5" s="4"/>
      <c r="AD5" s="4">
        <f t="shared" si="0"/>
        <v>2</v>
      </c>
    </row>
    <row r="6" spans="1:30" ht="65.25" thickBot="1" x14ac:dyDescent="0.3">
      <c r="A6" s="3">
        <v>44936.920555555553</v>
      </c>
      <c r="B6" s="4" t="s">
        <v>25</v>
      </c>
      <c r="C6" s="4" t="s">
        <v>26</v>
      </c>
      <c r="D6" s="31" t="s">
        <v>42</v>
      </c>
      <c r="E6" s="4" t="s">
        <v>48</v>
      </c>
      <c r="F6" s="5">
        <v>622564008</v>
      </c>
      <c r="G6" s="4"/>
      <c r="H6" s="4" t="s">
        <v>49</v>
      </c>
      <c r="I6" s="5">
        <v>12</v>
      </c>
      <c r="J6" s="4" t="s">
        <v>38</v>
      </c>
      <c r="K6" s="5">
        <v>10</v>
      </c>
      <c r="L6" s="4" t="s">
        <v>50</v>
      </c>
      <c r="M6" s="4" t="s">
        <v>32</v>
      </c>
      <c r="N6" s="4" t="s">
        <v>33</v>
      </c>
      <c r="O6" s="6">
        <v>44972</v>
      </c>
      <c r="P6" s="4" t="s">
        <v>34</v>
      </c>
      <c r="Q6" s="4" t="s">
        <v>35</v>
      </c>
      <c r="R6" s="4" t="s">
        <v>36</v>
      </c>
      <c r="S6" s="4"/>
      <c r="T6" s="4"/>
      <c r="U6" s="4"/>
      <c r="V6" s="4" t="s">
        <v>1372</v>
      </c>
      <c r="W6" s="4"/>
      <c r="X6" s="4"/>
      <c r="Y6" s="4"/>
      <c r="Z6" s="4"/>
      <c r="AA6" s="4"/>
      <c r="AB6" s="4"/>
      <c r="AC6" s="4"/>
      <c r="AD6" s="4">
        <f t="shared" si="0"/>
        <v>2</v>
      </c>
    </row>
    <row r="7" spans="1:30" ht="65.25" thickBot="1" x14ac:dyDescent="0.3">
      <c r="A7" s="3">
        <v>44936.922812500001</v>
      </c>
      <c r="B7" s="4" t="s">
        <v>25</v>
      </c>
      <c r="C7" s="4" t="s">
        <v>26</v>
      </c>
      <c r="D7" s="31" t="s">
        <v>42</v>
      </c>
      <c r="E7" s="4" t="s">
        <v>51</v>
      </c>
      <c r="F7" s="5">
        <v>621573030</v>
      </c>
      <c r="G7" s="4"/>
      <c r="H7" s="4" t="s">
        <v>45</v>
      </c>
      <c r="I7" s="5">
        <v>83</v>
      </c>
      <c r="J7" s="4" t="s">
        <v>30</v>
      </c>
      <c r="K7" s="5">
        <v>20</v>
      </c>
      <c r="L7" s="4" t="s">
        <v>52</v>
      </c>
      <c r="M7" s="4" t="s">
        <v>32</v>
      </c>
      <c r="N7" s="4" t="s">
        <v>33</v>
      </c>
      <c r="O7" s="6">
        <v>44941</v>
      </c>
      <c r="P7" s="4" t="s">
        <v>34</v>
      </c>
      <c r="Q7" s="4" t="s">
        <v>35</v>
      </c>
      <c r="R7" s="4" t="s">
        <v>36</v>
      </c>
      <c r="S7" s="4"/>
      <c r="T7" s="4"/>
      <c r="U7" s="4"/>
      <c r="V7" s="4" t="s">
        <v>1372</v>
      </c>
      <c r="W7" s="4"/>
      <c r="X7" s="4"/>
      <c r="Y7" s="4"/>
      <c r="Z7" s="4"/>
      <c r="AA7" s="4"/>
      <c r="AB7" s="4"/>
      <c r="AC7" s="4"/>
      <c r="AD7" s="4">
        <f t="shared" si="0"/>
        <v>2</v>
      </c>
    </row>
    <row r="8" spans="1:30" ht="39.75" thickBot="1" x14ac:dyDescent="0.3">
      <c r="A8" s="3">
        <v>44938.456817129627</v>
      </c>
      <c r="B8" s="4" t="s">
        <v>53</v>
      </c>
      <c r="C8" s="4" t="s">
        <v>53</v>
      </c>
      <c r="D8" s="31" t="s">
        <v>42</v>
      </c>
      <c r="E8" s="4" t="s">
        <v>54</v>
      </c>
      <c r="F8" s="5">
        <v>622865492</v>
      </c>
      <c r="G8" s="4"/>
      <c r="H8" s="4" t="s">
        <v>55</v>
      </c>
      <c r="I8" s="5">
        <v>35</v>
      </c>
      <c r="J8" s="4" t="s">
        <v>30</v>
      </c>
      <c r="K8" s="5">
        <v>5</v>
      </c>
      <c r="L8" s="4" t="s">
        <v>56</v>
      </c>
      <c r="M8" s="4" t="s">
        <v>56</v>
      </c>
      <c r="N8" s="4" t="s">
        <v>57</v>
      </c>
      <c r="O8" s="6">
        <v>44576</v>
      </c>
      <c r="P8" s="4"/>
      <c r="Q8" s="4" t="s">
        <v>58</v>
      </c>
      <c r="R8" s="4" t="s">
        <v>36</v>
      </c>
      <c r="S8" s="4" t="s">
        <v>59</v>
      </c>
      <c r="T8" s="5">
        <v>5</v>
      </c>
      <c r="U8" s="6">
        <v>44950</v>
      </c>
      <c r="V8" s="4" t="s">
        <v>1354</v>
      </c>
      <c r="W8" s="4"/>
      <c r="X8" s="4"/>
      <c r="Y8" s="4"/>
      <c r="Z8" s="4"/>
      <c r="AA8" s="4"/>
      <c r="AB8" s="4"/>
      <c r="AC8" s="4" t="s">
        <v>60</v>
      </c>
      <c r="AD8" s="4">
        <f t="shared" si="0"/>
        <v>2</v>
      </c>
    </row>
    <row r="9" spans="1:30" ht="27" thickBot="1" x14ac:dyDescent="0.3">
      <c r="A9" s="3">
        <v>44938.459050925929</v>
      </c>
      <c r="B9" s="4" t="s">
        <v>53</v>
      </c>
      <c r="C9" s="4" t="s">
        <v>53</v>
      </c>
      <c r="D9" s="31" t="s">
        <v>42</v>
      </c>
      <c r="E9" s="4" t="s">
        <v>61</v>
      </c>
      <c r="F9" s="5">
        <v>628255406</v>
      </c>
      <c r="G9" s="4"/>
      <c r="H9" s="4" t="s">
        <v>62</v>
      </c>
      <c r="I9" s="5">
        <v>3</v>
      </c>
      <c r="J9" s="4" t="s">
        <v>30</v>
      </c>
      <c r="K9" s="5">
        <v>1</v>
      </c>
      <c r="L9" s="4" t="s">
        <v>63</v>
      </c>
      <c r="M9" s="4" t="s">
        <v>63</v>
      </c>
      <c r="N9" s="4" t="s">
        <v>47</v>
      </c>
      <c r="O9" s="6">
        <v>44576</v>
      </c>
      <c r="P9" s="4"/>
      <c r="Q9" s="4" t="s">
        <v>58</v>
      </c>
      <c r="R9" s="4" t="s">
        <v>36</v>
      </c>
      <c r="S9" s="4"/>
      <c r="T9" s="4"/>
      <c r="U9" s="4"/>
      <c r="V9" s="4" t="s">
        <v>1372</v>
      </c>
      <c r="W9" s="4"/>
      <c r="X9" s="4"/>
      <c r="Y9" s="4"/>
      <c r="Z9" s="4"/>
      <c r="AA9" s="4"/>
      <c r="AB9" s="4"/>
      <c r="AC9" s="4"/>
      <c r="AD9" s="4">
        <f t="shared" si="0"/>
        <v>2</v>
      </c>
    </row>
    <row r="10" spans="1:30" ht="27" thickBot="1" x14ac:dyDescent="0.3">
      <c r="A10" s="3">
        <v>44938.462858796294</v>
      </c>
      <c r="B10" s="4" t="s">
        <v>53</v>
      </c>
      <c r="C10" s="4" t="s">
        <v>53</v>
      </c>
      <c r="D10" s="31" t="s">
        <v>42</v>
      </c>
      <c r="E10" s="4" t="s">
        <v>64</v>
      </c>
      <c r="F10" s="5">
        <v>622680135</v>
      </c>
      <c r="G10" s="4"/>
      <c r="H10" s="4" t="s">
        <v>62</v>
      </c>
      <c r="I10" s="5">
        <v>2</v>
      </c>
      <c r="J10" s="4" t="s">
        <v>38</v>
      </c>
      <c r="K10" s="5">
        <v>1</v>
      </c>
      <c r="L10" s="4" t="s">
        <v>65</v>
      </c>
      <c r="M10" s="4" t="s">
        <v>66</v>
      </c>
      <c r="N10" s="4" t="s">
        <v>47</v>
      </c>
      <c r="O10" s="6">
        <v>44576</v>
      </c>
      <c r="P10" s="4"/>
      <c r="Q10" s="4" t="s">
        <v>58</v>
      </c>
      <c r="R10" s="4" t="s">
        <v>67</v>
      </c>
      <c r="S10" s="4"/>
      <c r="T10" s="4"/>
      <c r="U10" s="4"/>
      <c r="V10" s="4" t="s">
        <v>1372</v>
      </c>
      <c r="W10" s="4"/>
      <c r="X10" s="4"/>
      <c r="Y10" s="4"/>
      <c r="Z10" s="4"/>
      <c r="AA10" s="4"/>
      <c r="AB10" s="4"/>
      <c r="AC10" s="4"/>
      <c r="AD10" s="4">
        <f t="shared" si="0"/>
        <v>2</v>
      </c>
    </row>
    <row r="11" spans="1:30" ht="39.75" thickBot="1" x14ac:dyDescent="0.3">
      <c r="A11" s="3">
        <v>44938.465914351851</v>
      </c>
      <c r="B11" s="4" t="s">
        <v>53</v>
      </c>
      <c r="C11" s="4" t="s">
        <v>53</v>
      </c>
      <c r="D11" s="31" t="s">
        <v>27</v>
      </c>
      <c r="E11" s="4" t="s">
        <v>68</v>
      </c>
      <c r="F11" s="5">
        <v>624056044</v>
      </c>
      <c r="G11" s="4"/>
      <c r="H11" s="4" t="s">
        <v>69</v>
      </c>
      <c r="I11" s="5">
        <v>60</v>
      </c>
      <c r="J11" s="4" t="s">
        <v>30</v>
      </c>
      <c r="K11" s="5">
        <v>20</v>
      </c>
      <c r="L11" s="4" t="s">
        <v>70</v>
      </c>
      <c r="M11" s="4" t="s">
        <v>71</v>
      </c>
      <c r="N11" s="4" t="s">
        <v>33</v>
      </c>
      <c r="O11" s="6">
        <v>44576</v>
      </c>
      <c r="P11" s="4"/>
      <c r="Q11" s="4" t="s">
        <v>58</v>
      </c>
      <c r="R11" s="4" t="s">
        <v>36</v>
      </c>
      <c r="S11" s="4"/>
      <c r="T11" s="4"/>
      <c r="U11" s="4"/>
      <c r="V11" s="4" t="s">
        <v>1372</v>
      </c>
      <c r="W11" s="4"/>
      <c r="X11" s="4"/>
      <c r="Y11" s="4"/>
      <c r="Z11" s="4"/>
      <c r="AA11" s="4"/>
      <c r="AB11" s="4"/>
      <c r="AC11" s="4"/>
      <c r="AD11" s="4">
        <f t="shared" si="0"/>
        <v>2</v>
      </c>
    </row>
    <row r="12" spans="1:30" ht="27" thickBot="1" x14ac:dyDescent="0.3">
      <c r="A12" s="3">
        <v>44938.487511574072</v>
      </c>
      <c r="B12" s="4" t="s">
        <v>53</v>
      </c>
      <c r="C12" s="4" t="s">
        <v>53</v>
      </c>
      <c r="D12" s="31" t="s">
        <v>42</v>
      </c>
      <c r="E12" s="4" t="s">
        <v>72</v>
      </c>
      <c r="F12" s="5">
        <v>628305638</v>
      </c>
      <c r="G12" s="4"/>
      <c r="H12" s="4" t="s">
        <v>62</v>
      </c>
      <c r="I12" s="5">
        <v>2</v>
      </c>
      <c r="J12" s="4" t="s">
        <v>30</v>
      </c>
      <c r="K12" s="5">
        <v>4</v>
      </c>
      <c r="L12" s="4" t="s">
        <v>73</v>
      </c>
      <c r="M12" s="4" t="s">
        <v>73</v>
      </c>
      <c r="N12" s="4" t="s">
        <v>33</v>
      </c>
      <c r="O12" s="6">
        <v>44577</v>
      </c>
      <c r="P12" s="4"/>
      <c r="Q12" s="4" t="s">
        <v>58</v>
      </c>
      <c r="R12" s="4" t="s">
        <v>36</v>
      </c>
      <c r="S12" s="4" t="s">
        <v>59</v>
      </c>
      <c r="T12" s="5">
        <v>5.5</v>
      </c>
      <c r="U12" s="6">
        <v>44950</v>
      </c>
      <c r="V12" s="4" t="s">
        <v>1354</v>
      </c>
      <c r="W12" s="4"/>
      <c r="X12" s="4"/>
      <c r="Y12" s="4"/>
      <c r="Z12" s="4"/>
      <c r="AA12" s="4"/>
      <c r="AB12" s="4"/>
      <c r="AC12" s="4"/>
      <c r="AD12" s="4">
        <f t="shared" si="0"/>
        <v>2</v>
      </c>
    </row>
    <row r="13" spans="1:30" ht="27" thickBot="1" x14ac:dyDescent="0.3">
      <c r="A13" s="3">
        <v>44938.490428240744</v>
      </c>
      <c r="B13" s="4" t="s">
        <v>53</v>
      </c>
      <c r="C13" s="4" t="s">
        <v>53</v>
      </c>
      <c r="D13" s="31" t="s">
        <v>42</v>
      </c>
      <c r="E13" s="4" t="s">
        <v>74</v>
      </c>
      <c r="F13" s="5">
        <v>628309993</v>
      </c>
      <c r="G13" s="4"/>
      <c r="H13" s="4" t="s">
        <v>62</v>
      </c>
      <c r="I13" s="5">
        <v>2</v>
      </c>
      <c r="J13" s="4" t="s">
        <v>30</v>
      </c>
      <c r="K13" s="5">
        <v>4</v>
      </c>
      <c r="L13" s="4" t="s">
        <v>56</v>
      </c>
      <c r="M13" s="4" t="s">
        <v>56</v>
      </c>
      <c r="N13" s="4" t="s">
        <v>57</v>
      </c>
      <c r="O13" s="6">
        <v>44576</v>
      </c>
      <c r="P13" s="4"/>
      <c r="Q13" s="4" t="s">
        <v>58</v>
      </c>
      <c r="R13" s="4" t="s">
        <v>36</v>
      </c>
      <c r="S13" s="4"/>
      <c r="T13" s="4"/>
      <c r="U13" s="4"/>
      <c r="V13" s="4" t="s">
        <v>1372</v>
      </c>
      <c r="W13" s="4"/>
      <c r="X13" s="4"/>
      <c r="Y13" s="4"/>
      <c r="Z13" s="4"/>
      <c r="AA13" s="4"/>
      <c r="AB13" s="4"/>
      <c r="AC13" s="4"/>
      <c r="AD13" s="4">
        <f t="shared" si="0"/>
        <v>2</v>
      </c>
    </row>
    <row r="14" spans="1:30" ht="39.75" thickBot="1" x14ac:dyDescent="0.3">
      <c r="A14" s="3">
        <v>44938.539444444446</v>
      </c>
      <c r="B14" s="4" t="s">
        <v>53</v>
      </c>
      <c r="C14" s="4" t="s">
        <v>53</v>
      </c>
      <c r="D14" s="31" t="s">
        <v>27</v>
      </c>
      <c r="E14" s="4" t="s">
        <v>75</v>
      </c>
      <c r="F14" s="5">
        <v>628729355</v>
      </c>
      <c r="G14" s="4"/>
      <c r="H14" s="4" t="s">
        <v>76</v>
      </c>
      <c r="I14" s="5">
        <v>15</v>
      </c>
      <c r="J14" s="4" t="s">
        <v>30</v>
      </c>
      <c r="K14" s="5">
        <v>10</v>
      </c>
      <c r="L14" s="4" t="s">
        <v>77</v>
      </c>
      <c r="M14" s="4" t="s">
        <v>78</v>
      </c>
      <c r="N14" s="4" t="s">
        <v>47</v>
      </c>
      <c r="O14" s="6">
        <v>44941</v>
      </c>
      <c r="P14" s="4"/>
      <c r="Q14" s="4" t="s">
        <v>58</v>
      </c>
      <c r="R14" s="4" t="s">
        <v>36</v>
      </c>
      <c r="S14" s="4"/>
      <c r="T14" s="4"/>
      <c r="U14" s="4"/>
      <c r="V14" s="4" t="s">
        <v>1372</v>
      </c>
      <c r="W14" s="4"/>
      <c r="X14" s="4"/>
      <c r="Y14" s="4"/>
      <c r="Z14" s="4"/>
      <c r="AA14" s="4"/>
      <c r="AB14" s="4"/>
      <c r="AC14" s="4"/>
      <c r="AD14" s="4">
        <f t="shared" si="0"/>
        <v>2</v>
      </c>
    </row>
    <row r="15" spans="1:30" ht="39.75" thickBot="1" x14ac:dyDescent="0.3">
      <c r="A15" s="3">
        <v>44938.704733796294</v>
      </c>
      <c r="B15" s="4" t="s">
        <v>79</v>
      </c>
      <c r="C15" s="4" t="s">
        <v>80</v>
      </c>
      <c r="D15" s="31" t="s">
        <v>42</v>
      </c>
      <c r="E15" s="4" t="s">
        <v>81</v>
      </c>
      <c r="F15" s="5">
        <v>621362961</v>
      </c>
      <c r="G15" s="5">
        <v>0</v>
      </c>
      <c r="H15" s="4" t="s">
        <v>82</v>
      </c>
      <c r="I15" s="5">
        <v>95</v>
      </c>
      <c r="J15" s="4" t="s">
        <v>30</v>
      </c>
      <c r="K15" s="5">
        <v>2</v>
      </c>
      <c r="L15" s="4" t="s">
        <v>83</v>
      </c>
      <c r="M15" s="4" t="s">
        <v>84</v>
      </c>
      <c r="N15" s="4" t="s">
        <v>47</v>
      </c>
      <c r="O15" s="6">
        <v>44938</v>
      </c>
      <c r="P15" s="4" t="s">
        <v>85</v>
      </c>
      <c r="Q15" s="4" t="s">
        <v>86</v>
      </c>
      <c r="R15" s="4" t="s">
        <v>36</v>
      </c>
      <c r="S15" s="4"/>
      <c r="T15" s="4"/>
      <c r="U15" s="4"/>
      <c r="V15" s="4" t="s">
        <v>1372</v>
      </c>
      <c r="W15" s="4"/>
      <c r="X15" s="4"/>
      <c r="Y15" s="4"/>
      <c r="Z15" s="4"/>
      <c r="AA15" s="4"/>
      <c r="AB15" s="4"/>
      <c r="AC15" s="4"/>
      <c r="AD15" s="4">
        <f t="shared" si="0"/>
        <v>2</v>
      </c>
    </row>
    <row r="16" spans="1:30" ht="39.75" thickBot="1" x14ac:dyDescent="0.3">
      <c r="A16" s="3">
        <v>44938.713449074072</v>
      </c>
      <c r="B16" s="4" t="s">
        <v>79</v>
      </c>
      <c r="C16" s="4" t="s">
        <v>80</v>
      </c>
      <c r="D16" s="31" t="s">
        <v>42</v>
      </c>
      <c r="E16" s="4" t="s">
        <v>87</v>
      </c>
      <c r="F16" s="5">
        <v>628717030</v>
      </c>
      <c r="G16" s="5">
        <v>0</v>
      </c>
      <c r="H16" s="4" t="s">
        <v>82</v>
      </c>
      <c r="I16" s="5">
        <v>95</v>
      </c>
      <c r="J16" s="4" t="s">
        <v>30</v>
      </c>
      <c r="K16" s="5">
        <v>3</v>
      </c>
      <c r="L16" s="4" t="s">
        <v>88</v>
      </c>
      <c r="M16" s="4" t="s">
        <v>89</v>
      </c>
      <c r="N16" s="4" t="s">
        <v>90</v>
      </c>
      <c r="O16" s="6">
        <v>44941</v>
      </c>
      <c r="P16" s="4" t="s">
        <v>85</v>
      </c>
      <c r="Q16" s="4" t="s">
        <v>86</v>
      </c>
      <c r="R16" s="4" t="s">
        <v>36</v>
      </c>
      <c r="S16" s="4"/>
      <c r="T16" s="4"/>
      <c r="U16" s="4"/>
      <c r="V16" s="4" t="s">
        <v>1372</v>
      </c>
      <c r="W16" s="4"/>
      <c r="X16" s="4"/>
      <c r="Y16" s="4"/>
      <c r="Z16" s="4"/>
      <c r="AA16" s="4"/>
      <c r="AB16" s="4"/>
      <c r="AC16" s="4"/>
      <c r="AD16" s="4">
        <f t="shared" si="0"/>
        <v>2</v>
      </c>
    </row>
    <row r="17" spans="1:30" ht="39.75" thickBot="1" x14ac:dyDescent="0.3">
      <c r="A17" s="3">
        <v>44938.725289351853</v>
      </c>
      <c r="B17" s="4" t="s">
        <v>79</v>
      </c>
      <c r="C17" s="4" t="s">
        <v>80</v>
      </c>
      <c r="D17" s="31" t="s">
        <v>27</v>
      </c>
      <c r="E17" s="4" t="s">
        <v>91</v>
      </c>
      <c r="F17" s="5">
        <v>622611665</v>
      </c>
      <c r="G17" s="5">
        <v>0</v>
      </c>
      <c r="H17" s="4" t="s">
        <v>92</v>
      </c>
      <c r="I17" s="5">
        <v>95</v>
      </c>
      <c r="J17" s="4" t="s">
        <v>38</v>
      </c>
      <c r="K17" s="5">
        <v>30</v>
      </c>
      <c r="L17" s="4" t="s">
        <v>93</v>
      </c>
      <c r="M17" s="4" t="s">
        <v>94</v>
      </c>
      <c r="N17" s="4" t="s">
        <v>47</v>
      </c>
      <c r="O17" s="6">
        <v>44941</v>
      </c>
      <c r="P17" s="4" t="s">
        <v>95</v>
      </c>
      <c r="Q17" s="4" t="s">
        <v>86</v>
      </c>
      <c r="R17" s="4" t="s">
        <v>36</v>
      </c>
      <c r="S17" s="4"/>
      <c r="T17" s="4"/>
      <c r="U17" s="4"/>
      <c r="V17" s="4" t="s">
        <v>1372</v>
      </c>
      <c r="W17" s="4"/>
      <c r="X17" s="4"/>
      <c r="Y17" s="4"/>
      <c r="Z17" s="4"/>
      <c r="AA17" s="4"/>
      <c r="AB17" s="4"/>
      <c r="AC17" s="4"/>
      <c r="AD17" s="4">
        <f t="shared" si="0"/>
        <v>2</v>
      </c>
    </row>
    <row r="18" spans="1:30" ht="27" thickBot="1" x14ac:dyDescent="0.3">
      <c r="A18" s="3">
        <v>44938.729884259257</v>
      </c>
      <c r="B18" s="4" t="s">
        <v>53</v>
      </c>
      <c r="C18" s="4" t="s">
        <v>53</v>
      </c>
      <c r="D18" s="31" t="s">
        <v>42</v>
      </c>
      <c r="E18" s="4" t="s">
        <v>96</v>
      </c>
      <c r="F18" s="5">
        <v>622151010</v>
      </c>
      <c r="G18" s="4"/>
      <c r="H18" s="4" t="s">
        <v>62</v>
      </c>
      <c r="I18" s="5">
        <v>5</v>
      </c>
      <c r="J18" s="4" t="s">
        <v>38</v>
      </c>
      <c r="K18" s="5">
        <v>8</v>
      </c>
      <c r="L18" s="4" t="s">
        <v>97</v>
      </c>
      <c r="M18" s="4" t="s">
        <v>98</v>
      </c>
      <c r="N18" s="4" t="s">
        <v>57</v>
      </c>
      <c r="O18" s="6">
        <v>44941</v>
      </c>
      <c r="P18" s="4"/>
      <c r="Q18" s="4" t="s">
        <v>58</v>
      </c>
      <c r="R18" s="4" t="s">
        <v>98</v>
      </c>
      <c r="S18" s="4"/>
      <c r="T18" s="4"/>
      <c r="U18" s="4"/>
      <c r="V18" s="4" t="s">
        <v>1372</v>
      </c>
      <c r="W18" s="4"/>
      <c r="X18" s="4"/>
      <c r="Y18" s="4"/>
      <c r="Z18" s="4"/>
      <c r="AA18" s="4"/>
      <c r="AB18" s="4"/>
      <c r="AC18" s="4"/>
      <c r="AD18" s="4">
        <f t="shared" si="0"/>
        <v>2</v>
      </c>
    </row>
    <row r="19" spans="1:30" ht="27" thickBot="1" x14ac:dyDescent="0.3">
      <c r="A19" s="3">
        <v>44941.617152777777</v>
      </c>
      <c r="B19" s="4" t="s">
        <v>53</v>
      </c>
      <c r="C19" s="4" t="s">
        <v>53</v>
      </c>
      <c r="D19" s="31" t="s">
        <v>42</v>
      </c>
      <c r="E19" s="4" t="s">
        <v>99</v>
      </c>
      <c r="F19" s="5">
        <v>622636385</v>
      </c>
      <c r="G19" s="4"/>
      <c r="H19" s="4" t="s">
        <v>76</v>
      </c>
      <c r="I19" s="5">
        <v>15</v>
      </c>
      <c r="J19" s="4" t="s">
        <v>30</v>
      </c>
      <c r="K19" s="5">
        <v>3</v>
      </c>
      <c r="L19" s="4" t="s">
        <v>56</v>
      </c>
      <c r="M19" s="4" t="s">
        <v>56</v>
      </c>
      <c r="N19" s="4" t="s">
        <v>57</v>
      </c>
      <c r="O19" s="6">
        <v>44941</v>
      </c>
      <c r="P19" s="4"/>
      <c r="Q19" s="4" t="s">
        <v>58</v>
      </c>
      <c r="R19" s="4" t="s">
        <v>36</v>
      </c>
      <c r="S19" s="4"/>
      <c r="T19" s="4"/>
      <c r="U19" s="4"/>
      <c r="V19" s="4" t="s">
        <v>1372</v>
      </c>
      <c r="W19" s="4"/>
      <c r="X19" s="4"/>
      <c r="Y19" s="4"/>
      <c r="Z19" s="4"/>
      <c r="AA19" s="4"/>
      <c r="AB19" s="4"/>
      <c r="AC19" s="4"/>
      <c r="AD19" s="4">
        <f t="shared" si="0"/>
        <v>3</v>
      </c>
    </row>
    <row r="20" spans="1:30" ht="90.75" thickBot="1" x14ac:dyDescent="0.3">
      <c r="A20" s="3">
        <v>44942.462453703702</v>
      </c>
      <c r="B20" s="4" t="s">
        <v>25</v>
      </c>
      <c r="C20" s="4" t="s">
        <v>26</v>
      </c>
      <c r="D20" s="31" t="s">
        <v>27</v>
      </c>
      <c r="E20" s="4" t="s">
        <v>28</v>
      </c>
      <c r="F20" s="5">
        <v>622671405</v>
      </c>
      <c r="G20" s="5">
        <v>622715005</v>
      </c>
      <c r="H20" s="4" t="s">
        <v>29</v>
      </c>
      <c r="I20" s="5">
        <v>12</v>
      </c>
      <c r="J20" s="4" t="s">
        <v>30</v>
      </c>
      <c r="K20" s="5">
        <v>15</v>
      </c>
      <c r="L20" s="4" t="s">
        <v>50</v>
      </c>
      <c r="M20" s="4" t="s">
        <v>32</v>
      </c>
      <c r="N20" s="4" t="s">
        <v>33</v>
      </c>
      <c r="O20" s="6">
        <v>44942</v>
      </c>
      <c r="P20" s="4" t="s">
        <v>34</v>
      </c>
      <c r="Q20" s="4" t="s">
        <v>35</v>
      </c>
      <c r="R20" s="4" t="s">
        <v>36</v>
      </c>
      <c r="S20" s="4"/>
      <c r="T20" s="4"/>
      <c r="U20" s="4"/>
      <c r="V20" s="4" t="s">
        <v>1372</v>
      </c>
      <c r="W20" s="4"/>
      <c r="X20" s="4"/>
      <c r="Y20" s="4"/>
      <c r="Z20" s="4"/>
      <c r="AA20" s="4"/>
      <c r="AB20" s="4"/>
      <c r="AC20" s="4"/>
      <c r="AD20" s="4">
        <f t="shared" si="0"/>
        <v>3</v>
      </c>
    </row>
    <row r="21" spans="1:30" ht="65.25" thickBot="1" x14ac:dyDescent="0.3">
      <c r="A21" s="3">
        <v>44942.466539351852</v>
      </c>
      <c r="B21" s="4" t="s">
        <v>25</v>
      </c>
      <c r="C21" s="4" t="s">
        <v>26</v>
      </c>
      <c r="D21" s="31" t="s">
        <v>27</v>
      </c>
      <c r="E21" s="4" t="s">
        <v>100</v>
      </c>
      <c r="F21" s="5">
        <v>620655190</v>
      </c>
      <c r="G21" s="4"/>
      <c r="H21" s="4" t="s">
        <v>29</v>
      </c>
      <c r="I21" s="5">
        <v>12</v>
      </c>
      <c r="J21" s="4" t="s">
        <v>101</v>
      </c>
      <c r="K21" s="5">
        <v>5</v>
      </c>
      <c r="L21" s="4" t="s">
        <v>102</v>
      </c>
      <c r="M21" s="4" t="s">
        <v>40</v>
      </c>
      <c r="N21" s="4" t="s">
        <v>47</v>
      </c>
      <c r="O21" s="6">
        <v>44939</v>
      </c>
      <c r="P21" s="4" t="s">
        <v>34</v>
      </c>
      <c r="Q21" s="4" t="s">
        <v>35</v>
      </c>
      <c r="R21" s="4" t="s">
        <v>67</v>
      </c>
      <c r="S21" s="4"/>
      <c r="T21" s="4"/>
      <c r="U21" s="4"/>
      <c r="V21" s="4" t="s">
        <v>1372</v>
      </c>
      <c r="W21" s="4"/>
      <c r="X21" s="4"/>
      <c r="Y21" s="4"/>
      <c r="Z21" s="4"/>
      <c r="AA21" s="4"/>
      <c r="AB21" s="4"/>
      <c r="AC21" s="4"/>
      <c r="AD21" s="4">
        <f t="shared" si="0"/>
        <v>3</v>
      </c>
    </row>
    <row r="22" spans="1:30" ht="27" thickBot="1" x14ac:dyDescent="0.3">
      <c r="A22" s="3">
        <v>44942.478958333333</v>
      </c>
      <c r="B22" s="4" t="s">
        <v>53</v>
      </c>
      <c r="C22" s="4" t="s">
        <v>53</v>
      </c>
      <c r="D22" s="31" t="s">
        <v>27</v>
      </c>
      <c r="E22" s="4" t="s">
        <v>103</v>
      </c>
      <c r="F22" s="5">
        <v>628304701</v>
      </c>
      <c r="G22" s="4"/>
      <c r="H22" s="4" t="s">
        <v>55</v>
      </c>
      <c r="I22" s="5">
        <v>30</v>
      </c>
      <c r="J22" s="4" t="s">
        <v>30</v>
      </c>
      <c r="K22" s="5">
        <v>10</v>
      </c>
      <c r="L22" s="4" t="s">
        <v>104</v>
      </c>
      <c r="M22" s="4" t="s">
        <v>105</v>
      </c>
      <c r="N22" s="4" t="s">
        <v>57</v>
      </c>
      <c r="O22" s="6">
        <v>44943</v>
      </c>
      <c r="P22" s="4"/>
      <c r="Q22" s="4" t="s">
        <v>58</v>
      </c>
      <c r="R22" s="4" t="s">
        <v>36</v>
      </c>
      <c r="S22" s="4"/>
      <c r="T22" s="4"/>
      <c r="U22" s="4"/>
      <c r="V22" s="4" t="s">
        <v>1372</v>
      </c>
      <c r="W22" s="4"/>
      <c r="X22" s="4"/>
      <c r="Y22" s="4"/>
      <c r="Z22" s="4"/>
      <c r="AA22" s="4"/>
      <c r="AB22" s="4"/>
      <c r="AC22" s="4"/>
      <c r="AD22" s="4">
        <f t="shared" si="0"/>
        <v>3</v>
      </c>
    </row>
    <row r="23" spans="1:30" ht="65.25" thickBot="1" x14ac:dyDescent="0.3">
      <c r="A23" s="3">
        <v>44942.480196759258</v>
      </c>
      <c r="B23" s="4" t="s">
        <v>25</v>
      </c>
      <c r="C23" s="4" t="s">
        <v>26</v>
      </c>
      <c r="D23" s="31" t="s">
        <v>42</v>
      </c>
      <c r="E23" s="4" t="s">
        <v>43</v>
      </c>
      <c r="F23" s="5">
        <v>621479659</v>
      </c>
      <c r="G23" s="4"/>
      <c r="H23" s="4" t="s">
        <v>29</v>
      </c>
      <c r="I23" s="5">
        <v>10</v>
      </c>
      <c r="J23" s="4" t="s">
        <v>30</v>
      </c>
      <c r="K23" s="5">
        <v>10</v>
      </c>
      <c r="L23" s="4" t="s">
        <v>31</v>
      </c>
      <c r="M23" s="4" t="s">
        <v>32</v>
      </c>
      <c r="N23" s="4" t="s">
        <v>47</v>
      </c>
      <c r="O23" s="6">
        <v>44953</v>
      </c>
      <c r="P23" s="4" t="s">
        <v>34</v>
      </c>
      <c r="Q23" s="4" t="s">
        <v>35</v>
      </c>
      <c r="R23" s="4" t="s">
        <v>36</v>
      </c>
      <c r="S23" s="4"/>
      <c r="T23" s="4"/>
      <c r="U23" s="4"/>
      <c r="V23" s="4" t="s">
        <v>1372</v>
      </c>
      <c r="W23" s="4"/>
      <c r="X23" s="4"/>
      <c r="Y23" s="4"/>
      <c r="Z23" s="4"/>
      <c r="AA23" s="4"/>
      <c r="AB23" s="4"/>
      <c r="AC23" s="4"/>
      <c r="AD23" s="4">
        <f t="shared" si="0"/>
        <v>3</v>
      </c>
    </row>
    <row r="24" spans="1:30" ht="65.25" thickBot="1" x14ac:dyDescent="0.3">
      <c r="A24" s="3">
        <v>44942.483761574076</v>
      </c>
      <c r="B24" s="4" t="s">
        <v>25</v>
      </c>
      <c r="C24" s="4" t="s">
        <v>26</v>
      </c>
      <c r="D24" s="31" t="s">
        <v>42</v>
      </c>
      <c r="E24" s="4" t="s">
        <v>44</v>
      </c>
      <c r="F24" s="5">
        <v>622016575</v>
      </c>
      <c r="G24" s="4"/>
      <c r="H24" s="4" t="s">
        <v>45</v>
      </c>
      <c r="I24" s="5">
        <v>65</v>
      </c>
      <c r="J24" s="4" t="s">
        <v>101</v>
      </c>
      <c r="K24" s="5">
        <v>20</v>
      </c>
      <c r="L24" s="4" t="s">
        <v>52</v>
      </c>
      <c r="M24" s="4" t="s">
        <v>32</v>
      </c>
      <c r="N24" s="4" t="s">
        <v>47</v>
      </c>
      <c r="O24" s="6">
        <v>44972</v>
      </c>
      <c r="P24" s="4" t="s">
        <v>34</v>
      </c>
      <c r="Q24" s="4" t="s">
        <v>35</v>
      </c>
      <c r="R24" s="4" t="s">
        <v>36</v>
      </c>
      <c r="S24" s="4"/>
      <c r="T24" s="4"/>
      <c r="U24" s="4"/>
      <c r="V24" s="4" t="s">
        <v>1372</v>
      </c>
      <c r="W24" s="4"/>
      <c r="X24" s="4"/>
      <c r="Y24" s="4"/>
      <c r="Z24" s="4"/>
      <c r="AA24" s="4"/>
      <c r="AB24" s="4"/>
      <c r="AC24" s="4"/>
      <c r="AD24" s="4">
        <f t="shared" si="0"/>
        <v>3</v>
      </c>
    </row>
    <row r="25" spans="1:30" ht="39.75" thickBot="1" x14ac:dyDescent="0.3">
      <c r="A25" s="3">
        <v>44942.488807870373</v>
      </c>
      <c r="B25" s="4" t="s">
        <v>53</v>
      </c>
      <c r="C25" s="4" t="s">
        <v>53</v>
      </c>
      <c r="D25" s="31" t="s">
        <v>27</v>
      </c>
      <c r="E25" s="4" t="s">
        <v>106</v>
      </c>
      <c r="F25" s="5">
        <v>622324657</v>
      </c>
      <c r="G25" s="4"/>
      <c r="H25" s="4" t="s">
        <v>55</v>
      </c>
      <c r="I25" s="5">
        <v>35</v>
      </c>
      <c r="J25" s="4" t="s">
        <v>30</v>
      </c>
      <c r="K25" s="5">
        <v>7</v>
      </c>
      <c r="L25" s="4" t="s">
        <v>107</v>
      </c>
      <c r="M25" s="4" t="s">
        <v>107</v>
      </c>
      <c r="N25" s="4" t="s">
        <v>47</v>
      </c>
      <c r="O25" s="6">
        <v>44943</v>
      </c>
      <c r="P25" s="4"/>
      <c r="Q25" s="4" t="s">
        <v>58</v>
      </c>
      <c r="R25" s="4" t="s">
        <v>36</v>
      </c>
      <c r="S25" s="4" t="s">
        <v>59</v>
      </c>
      <c r="T25" s="5">
        <v>7</v>
      </c>
      <c r="U25" s="6">
        <v>44950</v>
      </c>
      <c r="V25" s="4" t="s">
        <v>1354</v>
      </c>
      <c r="W25" s="4"/>
      <c r="X25" s="4"/>
      <c r="Y25" s="4"/>
      <c r="Z25" s="4"/>
      <c r="AA25" s="4"/>
      <c r="AB25" s="4"/>
      <c r="AC25" s="4"/>
      <c r="AD25" s="4">
        <f t="shared" si="0"/>
        <v>3</v>
      </c>
    </row>
    <row r="26" spans="1:30" ht="65.25" thickBot="1" x14ac:dyDescent="0.3">
      <c r="A26" s="3">
        <v>44942.489432870374</v>
      </c>
      <c r="B26" s="4" t="s">
        <v>25</v>
      </c>
      <c r="C26" s="4" t="s">
        <v>26</v>
      </c>
      <c r="D26" s="31" t="s">
        <v>42</v>
      </c>
      <c r="E26" s="4" t="s">
        <v>48</v>
      </c>
      <c r="F26" s="5">
        <v>622586487</v>
      </c>
      <c r="G26" s="4"/>
      <c r="H26" s="4" t="s">
        <v>49</v>
      </c>
      <c r="I26" s="5">
        <v>15</v>
      </c>
      <c r="J26" s="4" t="s">
        <v>101</v>
      </c>
      <c r="K26" s="5">
        <v>10</v>
      </c>
      <c r="L26" s="4" t="s">
        <v>31</v>
      </c>
      <c r="M26" s="4" t="s">
        <v>32</v>
      </c>
      <c r="N26" s="4" t="s">
        <v>33</v>
      </c>
      <c r="O26" s="6">
        <v>44974</v>
      </c>
      <c r="P26" s="4" t="s">
        <v>34</v>
      </c>
      <c r="Q26" s="4" t="s">
        <v>35</v>
      </c>
      <c r="R26" s="4" t="s">
        <v>36</v>
      </c>
      <c r="S26" s="4"/>
      <c r="T26" s="4"/>
      <c r="U26" s="4"/>
      <c r="V26" s="4" t="s">
        <v>1372</v>
      </c>
      <c r="W26" s="4"/>
      <c r="X26" s="4"/>
      <c r="Y26" s="4"/>
      <c r="Z26" s="4"/>
      <c r="AA26" s="4"/>
      <c r="AB26" s="4"/>
      <c r="AC26" s="4"/>
      <c r="AD26" s="4">
        <f t="shared" si="0"/>
        <v>3</v>
      </c>
    </row>
    <row r="27" spans="1:30" ht="65.25" thickBot="1" x14ac:dyDescent="0.3">
      <c r="A27" s="3">
        <v>44942.521944444445</v>
      </c>
      <c r="B27" s="4" t="s">
        <v>25</v>
      </c>
      <c r="C27" s="4" t="s">
        <v>26</v>
      </c>
      <c r="D27" s="31" t="s">
        <v>42</v>
      </c>
      <c r="E27" s="4" t="s">
        <v>108</v>
      </c>
      <c r="F27" s="5">
        <v>622820437</v>
      </c>
      <c r="G27" s="4"/>
      <c r="H27" s="4" t="s">
        <v>29</v>
      </c>
      <c r="I27" s="5">
        <v>9</v>
      </c>
      <c r="J27" s="4" t="s">
        <v>101</v>
      </c>
      <c r="K27" s="5">
        <v>3</v>
      </c>
      <c r="L27" s="4" t="s">
        <v>50</v>
      </c>
      <c r="M27" s="4" t="s">
        <v>32</v>
      </c>
      <c r="N27" s="4" t="s">
        <v>47</v>
      </c>
      <c r="O27" s="6">
        <v>44956</v>
      </c>
      <c r="P27" s="4" t="s">
        <v>34</v>
      </c>
      <c r="Q27" s="4" t="s">
        <v>35</v>
      </c>
      <c r="R27" s="4" t="s">
        <v>36</v>
      </c>
      <c r="S27" s="4" t="s">
        <v>109</v>
      </c>
      <c r="T27" s="5">
        <v>4</v>
      </c>
      <c r="U27" s="6">
        <v>44970</v>
      </c>
      <c r="V27" s="4" t="s">
        <v>1357</v>
      </c>
      <c r="W27" s="4"/>
      <c r="X27" s="4"/>
      <c r="Y27" s="4"/>
      <c r="Z27" s="4"/>
      <c r="AA27" s="4"/>
      <c r="AB27" s="4"/>
      <c r="AC27" s="4"/>
      <c r="AD27" s="4">
        <f t="shared" si="0"/>
        <v>3</v>
      </c>
    </row>
    <row r="28" spans="1:30" ht="65.25" thickBot="1" x14ac:dyDescent="0.3">
      <c r="A28" s="3">
        <v>44942.525555555556</v>
      </c>
      <c r="B28" s="4" t="s">
        <v>25</v>
      </c>
      <c r="C28" s="4" t="s">
        <v>26</v>
      </c>
      <c r="D28" s="31" t="s">
        <v>42</v>
      </c>
      <c r="E28" s="4" t="s">
        <v>110</v>
      </c>
      <c r="F28" s="5">
        <v>622820437</v>
      </c>
      <c r="G28" s="4"/>
      <c r="H28" s="4" t="s">
        <v>111</v>
      </c>
      <c r="I28" s="5">
        <v>27</v>
      </c>
      <c r="J28" s="4" t="s">
        <v>101</v>
      </c>
      <c r="K28" s="5">
        <v>3</v>
      </c>
      <c r="L28" s="4" t="s">
        <v>46</v>
      </c>
      <c r="M28" s="4" t="s">
        <v>32</v>
      </c>
      <c r="N28" s="4" t="s">
        <v>33</v>
      </c>
      <c r="O28" s="6">
        <v>44957</v>
      </c>
      <c r="P28" s="4" t="s">
        <v>34</v>
      </c>
      <c r="Q28" s="4" t="s">
        <v>35</v>
      </c>
      <c r="R28" s="4" t="s">
        <v>36</v>
      </c>
      <c r="S28" s="4"/>
      <c r="T28" s="4"/>
      <c r="U28" s="4"/>
      <c r="V28" s="4" t="s">
        <v>1372</v>
      </c>
      <c r="W28" s="4"/>
      <c r="X28" s="4"/>
      <c r="Y28" s="4"/>
      <c r="Z28" s="4"/>
      <c r="AA28" s="4"/>
      <c r="AB28" s="4"/>
      <c r="AC28" s="4"/>
      <c r="AD28" s="4">
        <f t="shared" si="0"/>
        <v>3</v>
      </c>
    </row>
    <row r="29" spans="1:30" ht="90.75" thickBot="1" x14ac:dyDescent="0.3">
      <c r="A29" s="3">
        <v>44942.530671296299</v>
      </c>
      <c r="B29" s="4" t="s">
        <v>25</v>
      </c>
      <c r="C29" s="4" t="s">
        <v>26</v>
      </c>
      <c r="D29" s="31" t="s">
        <v>27</v>
      </c>
      <c r="E29" s="4" t="s">
        <v>112</v>
      </c>
      <c r="F29" s="5">
        <v>623332108</v>
      </c>
      <c r="G29" s="5">
        <v>622836757</v>
      </c>
      <c r="H29" s="4" t="s">
        <v>29</v>
      </c>
      <c r="I29" s="5">
        <v>27</v>
      </c>
      <c r="J29" s="4" t="s">
        <v>101</v>
      </c>
      <c r="K29" s="5">
        <v>15</v>
      </c>
      <c r="L29" s="4" t="s">
        <v>113</v>
      </c>
      <c r="M29" s="4" t="s">
        <v>32</v>
      </c>
      <c r="N29" s="4" t="s">
        <v>33</v>
      </c>
      <c r="O29" s="6">
        <v>44972</v>
      </c>
      <c r="P29" s="4" t="s">
        <v>34</v>
      </c>
      <c r="Q29" s="4" t="s">
        <v>35</v>
      </c>
      <c r="R29" s="4" t="s">
        <v>36</v>
      </c>
      <c r="S29" s="4"/>
      <c r="T29" s="4"/>
      <c r="U29" s="4"/>
      <c r="V29" s="4" t="s">
        <v>1372</v>
      </c>
      <c r="W29" s="4"/>
      <c r="X29" s="4"/>
      <c r="Y29" s="4"/>
      <c r="Z29" s="4"/>
      <c r="AA29" s="4"/>
      <c r="AB29" s="4"/>
      <c r="AC29" s="4"/>
      <c r="AD29" s="4">
        <f t="shared" si="0"/>
        <v>3</v>
      </c>
    </row>
    <row r="30" spans="1:30" ht="65.25" thickBot="1" x14ac:dyDescent="0.3">
      <c r="A30" s="3">
        <v>44942.532916666663</v>
      </c>
      <c r="B30" s="4" t="s">
        <v>25</v>
      </c>
      <c r="C30" s="4" t="s">
        <v>26</v>
      </c>
      <c r="D30" s="31" t="s">
        <v>42</v>
      </c>
      <c r="E30" s="4" t="s">
        <v>114</v>
      </c>
      <c r="F30" s="5">
        <v>620108977</v>
      </c>
      <c r="G30" s="4"/>
      <c r="H30" s="4" t="s">
        <v>29</v>
      </c>
      <c r="I30" s="5">
        <v>9</v>
      </c>
      <c r="J30" s="4" t="s">
        <v>30</v>
      </c>
      <c r="K30" s="5">
        <v>3</v>
      </c>
      <c r="L30" s="4" t="s">
        <v>50</v>
      </c>
      <c r="M30" s="4" t="s">
        <v>32</v>
      </c>
      <c r="N30" s="4" t="s">
        <v>33</v>
      </c>
      <c r="O30" s="6">
        <v>44956</v>
      </c>
      <c r="P30" s="4" t="s">
        <v>34</v>
      </c>
      <c r="Q30" s="4" t="s">
        <v>35</v>
      </c>
      <c r="R30" s="4" t="s">
        <v>36</v>
      </c>
      <c r="S30" s="4"/>
      <c r="T30" s="4"/>
      <c r="U30" s="4"/>
      <c r="V30" s="4" t="s">
        <v>1372</v>
      </c>
      <c r="W30" s="4"/>
      <c r="X30" s="4"/>
      <c r="Y30" s="4"/>
      <c r="Z30" s="4"/>
      <c r="AA30" s="4"/>
      <c r="AB30" s="4"/>
      <c r="AC30" s="4"/>
      <c r="AD30" s="4">
        <f t="shared" si="0"/>
        <v>3</v>
      </c>
    </row>
    <row r="31" spans="1:30" ht="39.75" thickBot="1" x14ac:dyDescent="0.3">
      <c r="A31" s="3">
        <v>44943.618032407408</v>
      </c>
      <c r="B31" s="4" t="s">
        <v>115</v>
      </c>
      <c r="C31" s="4" t="s">
        <v>116</v>
      </c>
      <c r="D31" s="31" t="s">
        <v>27</v>
      </c>
      <c r="E31" s="4" t="s">
        <v>117</v>
      </c>
      <c r="F31" s="5">
        <v>628016732</v>
      </c>
      <c r="G31" s="4"/>
      <c r="H31" s="4" t="s">
        <v>118</v>
      </c>
      <c r="I31" s="5">
        <v>15</v>
      </c>
      <c r="J31" s="4" t="s">
        <v>38</v>
      </c>
      <c r="K31" s="5">
        <v>6</v>
      </c>
      <c r="L31" s="4" t="s">
        <v>119</v>
      </c>
      <c r="M31" s="4" t="s">
        <v>120</v>
      </c>
      <c r="N31" s="4" t="s">
        <v>47</v>
      </c>
      <c r="O31" s="6">
        <v>45255</v>
      </c>
      <c r="P31" s="4" t="s">
        <v>121</v>
      </c>
      <c r="Q31" s="4" t="s">
        <v>122</v>
      </c>
      <c r="R31" s="4" t="s">
        <v>36</v>
      </c>
      <c r="S31" s="4" t="s">
        <v>109</v>
      </c>
      <c r="T31" s="5">
        <v>6</v>
      </c>
      <c r="U31" s="7">
        <v>44956</v>
      </c>
      <c r="V31" s="4" t="s">
        <v>1355</v>
      </c>
      <c r="W31" s="4"/>
      <c r="X31" s="4"/>
      <c r="Y31" s="4"/>
      <c r="Z31" s="4"/>
      <c r="AA31" s="4"/>
      <c r="AB31" s="4"/>
      <c r="AC31" s="4"/>
      <c r="AD31" s="4">
        <f t="shared" si="0"/>
        <v>3</v>
      </c>
    </row>
    <row r="32" spans="1:30" ht="39.75" thickBot="1" x14ac:dyDescent="0.3">
      <c r="A32" s="3">
        <v>44943.863495370373</v>
      </c>
      <c r="B32" s="4" t="s">
        <v>1768</v>
      </c>
      <c r="C32" s="4" t="s">
        <v>124</v>
      </c>
      <c r="D32" s="31" t="s">
        <v>42</v>
      </c>
      <c r="E32" s="4" t="s">
        <v>125</v>
      </c>
      <c r="F32" s="5">
        <v>624774769</v>
      </c>
      <c r="G32" s="5">
        <v>0</v>
      </c>
      <c r="H32" s="4" t="s">
        <v>126</v>
      </c>
      <c r="I32" s="5">
        <v>37</v>
      </c>
      <c r="J32" s="4" t="s">
        <v>101</v>
      </c>
      <c r="K32" s="5">
        <v>150</v>
      </c>
      <c r="L32" s="4" t="s">
        <v>127</v>
      </c>
      <c r="M32" s="4" t="s">
        <v>128</v>
      </c>
      <c r="N32" s="4" t="s">
        <v>47</v>
      </c>
      <c r="O32" s="6">
        <v>44972</v>
      </c>
      <c r="P32" s="4" t="s">
        <v>129</v>
      </c>
      <c r="Q32" s="4" t="s">
        <v>130</v>
      </c>
      <c r="R32" s="4" t="s">
        <v>36</v>
      </c>
      <c r="S32" s="4" t="s">
        <v>109</v>
      </c>
      <c r="T32" s="5">
        <v>25</v>
      </c>
      <c r="U32" s="6">
        <v>45063</v>
      </c>
      <c r="V32" s="4" t="s">
        <v>1373</v>
      </c>
      <c r="W32" s="4" t="s">
        <v>1374</v>
      </c>
      <c r="X32" s="4"/>
      <c r="Y32" s="4"/>
      <c r="Z32" s="4"/>
      <c r="AA32" s="4"/>
      <c r="AB32" s="4"/>
      <c r="AC32" s="4"/>
      <c r="AD32" s="4">
        <f t="shared" si="0"/>
        <v>3</v>
      </c>
    </row>
    <row r="33" spans="1:30" ht="65.25" thickBot="1" x14ac:dyDescent="0.3">
      <c r="A33" s="3">
        <v>44945.398541666669</v>
      </c>
      <c r="B33" s="4" t="s">
        <v>25</v>
      </c>
      <c r="C33" s="4" t="s">
        <v>26</v>
      </c>
      <c r="D33" s="31" t="s">
        <v>42</v>
      </c>
      <c r="E33" s="4" t="s">
        <v>131</v>
      </c>
      <c r="F33" s="5">
        <v>622091928</v>
      </c>
      <c r="G33" s="4"/>
      <c r="H33" s="4" t="s">
        <v>29</v>
      </c>
      <c r="I33" s="5">
        <v>12</v>
      </c>
      <c r="J33" s="4" t="s">
        <v>132</v>
      </c>
      <c r="K33" s="5">
        <v>50</v>
      </c>
      <c r="L33" s="4" t="s">
        <v>133</v>
      </c>
      <c r="M33" s="4" t="s">
        <v>32</v>
      </c>
      <c r="N33" s="4" t="s">
        <v>33</v>
      </c>
      <c r="O33" s="6">
        <v>45000</v>
      </c>
      <c r="P33" s="4" t="s">
        <v>34</v>
      </c>
      <c r="Q33" s="4" t="s">
        <v>35</v>
      </c>
      <c r="R33" s="4" t="s">
        <v>36</v>
      </c>
      <c r="S33" s="4"/>
      <c r="T33" s="4"/>
      <c r="U33" s="4"/>
      <c r="V33" s="4" t="s">
        <v>1372</v>
      </c>
      <c r="W33" s="4"/>
      <c r="X33" s="4"/>
      <c r="Y33" s="4"/>
      <c r="Z33" s="4"/>
      <c r="AA33" s="4"/>
      <c r="AB33" s="4"/>
      <c r="AC33" s="4"/>
      <c r="AD33" s="4">
        <f t="shared" si="0"/>
        <v>3</v>
      </c>
    </row>
    <row r="34" spans="1:30" ht="65.25" thickBot="1" x14ac:dyDescent="0.3">
      <c r="A34" s="3">
        <v>44945.405381944445</v>
      </c>
      <c r="B34" s="4" t="s">
        <v>25</v>
      </c>
      <c r="C34" s="4" t="s">
        <v>26</v>
      </c>
      <c r="D34" s="31" t="s">
        <v>42</v>
      </c>
      <c r="E34" s="8" t="s">
        <v>134</v>
      </c>
      <c r="F34" s="5">
        <v>622833153</v>
      </c>
      <c r="G34" s="4"/>
      <c r="H34" s="4" t="s">
        <v>45</v>
      </c>
      <c r="I34" s="5">
        <v>90</v>
      </c>
      <c r="J34" s="4" t="s">
        <v>101</v>
      </c>
      <c r="K34" s="9">
        <v>4</v>
      </c>
      <c r="L34" s="4" t="s">
        <v>135</v>
      </c>
      <c r="M34" s="4" t="s">
        <v>32</v>
      </c>
      <c r="N34" s="4" t="s">
        <v>33</v>
      </c>
      <c r="O34" s="6">
        <v>45000</v>
      </c>
      <c r="P34" s="4" t="s">
        <v>34</v>
      </c>
      <c r="Q34" s="4" t="s">
        <v>35</v>
      </c>
      <c r="R34" s="4" t="s">
        <v>36</v>
      </c>
      <c r="S34" s="4"/>
      <c r="T34" s="4"/>
      <c r="U34" s="4"/>
      <c r="V34" s="4" t="s">
        <v>1372</v>
      </c>
      <c r="W34" s="4"/>
      <c r="X34" s="4"/>
      <c r="Y34" s="4"/>
      <c r="Z34" s="4"/>
      <c r="AA34" s="4"/>
      <c r="AB34" s="4"/>
      <c r="AC34" s="4"/>
      <c r="AD34" s="4">
        <f t="shared" si="0"/>
        <v>3</v>
      </c>
    </row>
    <row r="35" spans="1:30" ht="65.25" thickBot="1" x14ac:dyDescent="0.3">
      <c r="A35" s="3">
        <v>44945.424270833333</v>
      </c>
      <c r="B35" s="4" t="s">
        <v>25</v>
      </c>
      <c r="C35" s="4" t="s">
        <v>26</v>
      </c>
      <c r="D35" s="31" t="s">
        <v>42</v>
      </c>
      <c r="E35" s="8" t="s">
        <v>136</v>
      </c>
      <c r="F35" s="5">
        <v>628823310</v>
      </c>
      <c r="G35" s="4"/>
      <c r="H35" s="4" t="s">
        <v>29</v>
      </c>
      <c r="I35" s="5">
        <v>8</v>
      </c>
      <c r="J35" s="4" t="s">
        <v>101</v>
      </c>
      <c r="K35" s="5">
        <v>6</v>
      </c>
      <c r="L35" s="4" t="s">
        <v>52</v>
      </c>
      <c r="M35" s="4" t="s">
        <v>32</v>
      </c>
      <c r="N35" s="4" t="s">
        <v>33</v>
      </c>
      <c r="O35" s="6">
        <v>44962</v>
      </c>
      <c r="P35" s="4" t="s">
        <v>34</v>
      </c>
      <c r="Q35" s="4" t="s">
        <v>35</v>
      </c>
      <c r="R35" s="4" t="s">
        <v>36</v>
      </c>
      <c r="S35" s="4"/>
      <c r="T35" s="4"/>
      <c r="U35" s="4"/>
      <c r="V35" s="4" t="s">
        <v>1372</v>
      </c>
      <c r="W35" s="4"/>
      <c r="X35" s="4"/>
      <c r="Y35" s="4"/>
      <c r="Z35" s="4"/>
      <c r="AA35" s="4"/>
      <c r="AB35" s="4"/>
      <c r="AC35" s="4"/>
      <c r="AD35" s="4">
        <f t="shared" si="0"/>
        <v>3</v>
      </c>
    </row>
    <row r="36" spans="1:30" ht="65.25" thickBot="1" x14ac:dyDescent="0.3">
      <c r="A36" s="3">
        <v>44945.431516203702</v>
      </c>
      <c r="B36" s="4" t="s">
        <v>25</v>
      </c>
      <c r="C36" s="4" t="s">
        <v>26</v>
      </c>
      <c r="D36" s="31" t="s">
        <v>42</v>
      </c>
      <c r="E36" s="4" t="s">
        <v>136</v>
      </c>
      <c r="F36" s="5">
        <v>628823310</v>
      </c>
      <c r="G36" s="4"/>
      <c r="H36" s="4" t="s">
        <v>29</v>
      </c>
      <c r="I36" s="5">
        <v>8</v>
      </c>
      <c r="J36" s="4" t="s">
        <v>101</v>
      </c>
      <c r="K36" s="5">
        <v>6</v>
      </c>
      <c r="L36" s="4" t="s">
        <v>52</v>
      </c>
      <c r="M36" s="4" t="s">
        <v>32</v>
      </c>
      <c r="N36" s="4" t="s">
        <v>33</v>
      </c>
      <c r="O36" s="6">
        <v>44990</v>
      </c>
      <c r="P36" s="4" t="s">
        <v>34</v>
      </c>
      <c r="Q36" s="4" t="s">
        <v>35</v>
      </c>
      <c r="R36" s="4" t="s">
        <v>36</v>
      </c>
      <c r="S36" s="4"/>
      <c r="T36" s="4"/>
      <c r="U36" s="4"/>
      <c r="V36" s="4" t="s">
        <v>1372</v>
      </c>
      <c r="W36" s="4"/>
      <c r="X36" s="4"/>
      <c r="Y36" s="4"/>
      <c r="Z36" s="4"/>
      <c r="AA36" s="4"/>
      <c r="AB36" s="4"/>
      <c r="AC36" s="4"/>
      <c r="AD36" s="4">
        <f t="shared" si="0"/>
        <v>3</v>
      </c>
    </row>
    <row r="37" spans="1:30" ht="65.25" thickBot="1" x14ac:dyDescent="0.3">
      <c r="A37" s="3">
        <v>44945.437662037039</v>
      </c>
      <c r="B37" s="4" t="s">
        <v>25</v>
      </c>
      <c r="C37" s="4" t="s">
        <v>26</v>
      </c>
      <c r="D37" s="31" t="s">
        <v>42</v>
      </c>
      <c r="E37" s="4" t="s">
        <v>137</v>
      </c>
      <c r="F37" s="5">
        <v>622885364</v>
      </c>
      <c r="G37" s="4"/>
      <c r="H37" s="4" t="s">
        <v>45</v>
      </c>
      <c r="I37" s="5">
        <v>90</v>
      </c>
      <c r="J37" s="4" t="s">
        <v>101</v>
      </c>
      <c r="K37" s="5">
        <v>3</v>
      </c>
      <c r="L37" s="4" t="s">
        <v>135</v>
      </c>
      <c r="M37" s="4" t="s">
        <v>32</v>
      </c>
      <c r="N37" s="4" t="s">
        <v>33</v>
      </c>
      <c r="O37" s="6">
        <v>45367</v>
      </c>
      <c r="P37" s="4" t="s">
        <v>34</v>
      </c>
      <c r="Q37" s="4" t="s">
        <v>35</v>
      </c>
      <c r="R37" s="4" t="s">
        <v>36</v>
      </c>
      <c r="S37" s="4"/>
      <c r="T37" s="4"/>
      <c r="U37" s="4"/>
      <c r="V37" s="4" t="s">
        <v>1372</v>
      </c>
      <c r="W37" s="4"/>
      <c r="X37" s="4"/>
      <c r="Y37" s="4"/>
      <c r="Z37" s="4"/>
      <c r="AA37" s="4"/>
      <c r="AB37" s="4"/>
      <c r="AC37" s="4"/>
      <c r="AD37" s="4">
        <f t="shared" si="0"/>
        <v>3</v>
      </c>
    </row>
    <row r="38" spans="1:30" ht="65.25" thickBot="1" x14ac:dyDescent="0.3">
      <c r="A38" s="3">
        <v>44945.491064814814</v>
      </c>
      <c r="B38" s="4" t="s">
        <v>25</v>
      </c>
      <c r="C38" s="4" t="s">
        <v>26</v>
      </c>
      <c r="D38" s="31" t="s">
        <v>42</v>
      </c>
      <c r="E38" s="4" t="s">
        <v>138</v>
      </c>
      <c r="F38" s="5">
        <v>621624679</v>
      </c>
      <c r="G38" s="5">
        <v>629929091</v>
      </c>
      <c r="H38" s="4" t="s">
        <v>45</v>
      </c>
      <c r="I38" s="5">
        <v>90</v>
      </c>
      <c r="J38" s="4" t="s">
        <v>101</v>
      </c>
      <c r="K38" s="5">
        <v>2</v>
      </c>
      <c r="L38" s="4" t="s">
        <v>52</v>
      </c>
      <c r="M38" s="4" t="s">
        <v>32</v>
      </c>
      <c r="N38" s="4" t="s">
        <v>33</v>
      </c>
      <c r="O38" s="6">
        <v>45000</v>
      </c>
      <c r="P38" s="4" t="s">
        <v>34</v>
      </c>
      <c r="Q38" s="4" t="s">
        <v>35</v>
      </c>
      <c r="R38" s="4" t="s">
        <v>36</v>
      </c>
      <c r="S38" s="4"/>
      <c r="T38" s="4"/>
      <c r="U38" s="4"/>
      <c r="V38" s="4" t="s">
        <v>1372</v>
      </c>
      <c r="W38" s="4"/>
      <c r="X38" s="4"/>
      <c r="Y38" s="4"/>
      <c r="Z38" s="4"/>
      <c r="AA38" s="4"/>
      <c r="AB38" s="4"/>
      <c r="AC38" s="4"/>
      <c r="AD38" s="4">
        <f t="shared" si="0"/>
        <v>3</v>
      </c>
    </row>
    <row r="39" spans="1:30" ht="27" thickBot="1" x14ac:dyDescent="0.3">
      <c r="A39" s="3">
        <v>44949.45171296296</v>
      </c>
      <c r="B39" s="4" t="s">
        <v>53</v>
      </c>
      <c r="C39" s="4" t="s">
        <v>53</v>
      </c>
      <c r="D39" s="31" t="s">
        <v>42</v>
      </c>
      <c r="E39" s="4" t="s">
        <v>139</v>
      </c>
      <c r="F39" s="5">
        <v>628735038</v>
      </c>
      <c r="G39" s="4"/>
      <c r="H39" s="4" t="s">
        <v>62</v>
      </c>
      <c r="I39" s="5">
        <v>2</v>
      </c>
      <c r="J39" s="4" t="s">
        <v>30</v>
      </c>
      <c r="K39" s="5">
        <v>2</v>
      </c>
      <c r="L39" s="4" t="s">
        <v>56</v>
      </c>
      <c r="M39" s="4" t="s">
        <v>56</v>
      </c>
      <c r="N39" s="4" t="s">
        <v>57</v>
      </c>
      <c r="O39" s="6">
        <v>44951</v>
      </c>
      <c r="P39" s="4"/>
      <c r="Q39" s="4" t="s">
        <v>58</v>
      </c>
      <c r="R39" s="4" t="s">
        <v>36</v>
      </c>
      <c r="S39" s="4"/>
      <c r="T39" s="4"/>
      <c r="U39" s="4"/>
      <c r="V39" s="4" t="s">
        <v>1372</v>
      </c>
      <c r="W39" s="4"/>
      <c r="X39" s="4"/>
      <c r="Y39" s="4"/>
      <c r="Z39" s="4"/>
      <c r="AA39" s="4"/>
      <c r="AB39" s="4"/>
      <c r="AC39" s="4"/>
      <c r="AD39" s="4">
        <f t="shared" si="0"/>
        <v>4</v>
      </c>
    </row>
    <row r="40" spans="1:30" ht="65.25" thickBot="1" x14ac:dyDescent="0.3">
      <c r="A40" s="3">
        <v>44951.437708333331</v>
      </c>
      <c r="B40" s="4" t="s">
        <v>25</v>
      </c>
      <c r="C40" s="4" t="s">
        <v>26</v>
      </c>
      <c r="D40" s="31" t="s">
        <v>42</v>
      </c>
      <c r="E40" s="4" t="s">
        <v>140</v>
      </c>
      <c r="F40" s="5">
        <v>628827085</v>
      </c>
      <c r="G40" s="5">
        <v>666776416</v>
      </c>
      <c r="H40" s="4" t="s">
        <v>29</v>
      </c>
      <c r="I40" s="5">
        <v>22</v>
      </c>
      <c r="J40" s="4" t="s">
        <v>38</v>
      </c>
      <c r="K40" s="5">
        <v>12</v>
      </c>
      <c r="L40" s="4" t="s">
        <v>50</v>
      </c>
      <c r="M40" s="4" t="s">
        <v>32</v>
      </c>
      <c r="N40" s="4" t="s">
        <v>33</v>
      </c>
      <c r="O40" s="6">
        <v>44982</v>
      </c>
      <c r="P40" s="4" t="s">
        <v>34</v>
      </c>
      <c r="Q40" s="4" t="s">
        <v>35</v>
      </c>
      <c r="R40" s="4" t="s">
        <v>36</v>
      </c>
      <c r="S40" s="4"/>
      <c r="T40" s="4"/>
      <c r="U40" s="4"/>
      <c r="V40" s="4" t="s">
        <v>1372</v>
      </c>
      <c r="W40" s="4"/>
      <c r="X40" s="4"/>
      <c r="Y40" s="4"/>
      <c r="Z40" s="4"/>
      <c r="AA40" s="4"/>
      <c r="AB40" s="4"/>
      <c r="AC40" s="4"/>
      <c r="AD40" s="4">
        <f t="shared" si="0"/>
        <v>4</v>
      </c>
    </row>
    <row r="41" spans="1:30" ht="39.75" thickBot="1" x14ac:dyDescent="0.3">
      <c r="A41" s="3">
        <v>44952.820879629631</v>
      </c>
      <c r="B41" s="4" t="s">
        <v>79</v>
      </c>
      <c r="C41" s="4" t="s">
        <v>80</v>
      </c>
      <c r="D41" s="31" t="s">
        <v>42</v>
      </c>
      <c r="E41" s="4" t="s">
        <v>141</v>
      </c>
      <c r="F41" s="5">
        <v>622630080</v>
      </c>
      <c r="G41" s="5">
        <v>0</v>
      </c>
      <c r="H41" s="4" t="s">
        <v>142</v>
      </c>
      <c r="I41" s="5">
        <v>10</v>
      </c>
      <c r="J41" s="4" t="s">
        <v>30</v>
      </c>
      <c r="K41" s="5">
        <v>5</v>
      </c>
      <c r="L41" s="4" t="s">
        <v>143</v>
      </c>
      <c r="M41" s="4" t="s">
        <v>144</v>
      </c>
      <c r="N41" s="4" t="s">
        <v>47</v>
      </c>
      <c r="O41" s="6">
        <v>44951</v>
      </c>
      <c r="P41" s="4" t="s">
        <v>85</v>
      </c>
      <c r="Q41" s="4" t="s">
        <v>86</v>
      </c>
      <c r="R41" s="4" t="s">
        <v>36</v>
      </c>
      <c r="S41" s="4" t="s">
        <v>59</v>
      </c>
      <c r="T41" s="5">
        <v>4</v>
      </c>
      <c r="U41" s="6">
        <v>44960</v>
      </c>
      <c r="V41" s="4" t="s">
        <v>1355</v>
      </c>
      <c r="W41" s="4"/>
      <c r="X41" s="4"/>
      <c r="Y41" s="4"/>
      <c r="Z41" s="4"/>
      <c r="AA41" s="4"/>
      <c r="AB41" s="4"/>
      <c r="AC41" s="4"/>
      <c r="AD41" s="4">
        <f t="shared" si="0"/>
        <v>4</v>
      </c>
    </row>
    <row r="42" spans="1:30" ht="27" thickBot="1" x14ac:dyDescent="0.3">
      <c r="A42" s="3">
        <v>44953.655486111114</v>
      </c>
      <c r="B42" s="4" t="s">
        <v>115</v>
      </c>
      <c r="C42" s="4" t="s">
        <v>116</v>
      </c>
      <c r="D42" s="31" t="s">
        <v>42</v>
      </c>
      <c r="E42" s="4" t="s">
        <v>145</v>
      </c>
      <c r="F42" s="5">
        <v>628911160</v>
      </c>
      <c r="G42" s="4"/>
      <c r="H42" s="4" t="s">
        <v>118</v>
      </c>
      <c r="I42" s="5">
        <v>15</v>
      </c>
      <c r="J42" s="4" t="s">
        <v>30</v>
      </c>
      <c r="K42" s="5">
        <v>3</v>
      </c>
      <c r="L42" s="4" t="s">
        <v>146</v>
      </c>
      <c r="M42" s="4" t="s">
        <v>147</v>
      </c>
      <c r="N42" s="4" t="s">
        <v>47</v>
      </c>
      <c r="O42" s="6">
        <v>45280</v>
      </c>
      <c r="P42" s="4" t="s">
        <v>148</v>
      </c>
      <c r="Q42" s="4" t="s">
        <v>122</v>
      </c>
      <c r="R42" s="4" t="s">
        <v>36</v>
      </c>
      <c r="S42" s="4" t="s">
        <v>59</v>
      </c>
      <c r="T42" s="5">
        <v>3</v>
      </c>
      <c r="U42" s="7">
        <v>44956</v>
      </c>
      <c r="V42" s="4" t="s">
        <v>1355</v>
      </c>
      <c r="W42" s="4"/>
      <c r="X42" s="4"/>
      <c r="Y42" s="4"/>
      <c r="Z42" s="4"/>
      <c r="AA42" s="4"/>
      <c r="AB42" s="4"/>
      <c r="AC42" s="4"/>
      <c r="AD42" s="4">
        <f t="shared" si="0"/>
        <v>4</v>
      </c>
    </row>
    <row r="43" spans="1:30" ht="39.75" thickBot="1" x14ac:dyDescent="0.3">
      <c r="A43" s="3">
        <v>44954.760995370372</v>
      </c>
      <c r="B43" s="4" t="s">
        <v>53</v>
      </c>
      <c r="C43" s="4" t="s">
        <v>53</v>
      </c>
      <c r="D43" s="31" t="s">
        <v>42</v>
      </c>
      <c r="E43" s="4" t="s">
        <v>149</v>
      </c>
      <c r="F43" s="5">
        <v>622635327</v>
      </c>
      <c r="G43" s="4"/>
      <c r="H43" s="4" t="s">
        <v>55</v>
      </c>
      <c r="I43" s="5">
        <v>35</v>
      </c>
      <c r="J43" s="4" t="s">
        <v>30</v>
      </c>
      <c r="K43" s="5">
        <v>5</v>
      </c>
      <c r="L43" s="4" t="s">
        <v>56</v>
      </c>
      <c r="M43" s="4" t="s">
        <v>56</v>
      </c>
      <c r="N43" s="4" t="s">
        <v>57</v>
      </c>
      <c r="O43" s="6">
        <v>44952</v>
      </c>
      <c r="P43" s="4"/>
      <c r="Q43" s="4" t="s">
        <v>58</v>
      </c>
      <c r="R43" s="4" t="s">
        <v>36</v>
      </c>
      <c r="S43" s="4" t="s">
        <v>59</v>
      </c>
      <c r="T43" s="5">
        <v>5</v>
      </c>
      <c r="U43" s="6">
        <v>44977</v>
      </c>
      <c r="V43" s="4" t="s">
        <v>1358</v>
      </c>
      <c r="W43" s="4"/>
      <c r="X43" s="4"/>
      <c r="Y43" s="4"/>
      <c r="Z43" s="4"/>
      <c r="AA43" s="4"/>
      <c r="AB43" s="4"/>
      <c r="AC43" s="4" t="s">
        <v>150</v>
      </c>
      <c r="AD43" s="4">
        <f t="shared" si="0"/>
        <v>4</v>
      </c>
    </row>
    <row r="44" spans="1:30" ht="27" thickBot="1" x14ac:dyDescent="0.3">
      <c r="A44" s="3">
        <v>44954.76357638889</v>
      </c>
      <c r="B44" s="4" t="s">
        <v>53</v>
      </c>
      <c r="C44" s="4" t="s">
        <v>53</v>
      </c>
      <c r="D44" s="31" t="s">
        <v>42</v>
      </c>
      <c r="E44" s="4" t="s">
        <v>151</v>
      </c>
      <c r="F44" s="5">
        <v>623430578</v>
      </c>
      <c r="G44" s="4"/>
      <c r="H44" s="4" t="s">
        <v>62</v>
      </c>
      <c r="I44" s="5">
        <v>10</v>
      </c>
      <c r="J44" s="4" t="s">
        <v>30</v>
      </c>
      <c r="K44" s="5">
        <v>2</v>
      </c>
      <c r="L44" s="4" t="s">
        <v>56</v>
      </c>
      <c r="M44" s="4" t="s">
        <v>56</v>
      </c>
      <c r="N44" s="4" t="s">
        <v>57</v>
      </c>
      <c r="O44" s="6">
        <v>44955</v>
      </c>
      <c r="P44" s="4"/>
      <c r="Q44" s="4" t="s">
        <v>58</v>
      </c>
      <c r="R44" s="4" t="s">
        <v>36</v>
      </c>
      <c r="S44" s="4" t="s">
        <v>59</v>
      </c>
      <c r="T44" s="5">
        <v>1.5</v>
      </c>
      <c r="U44" s="6">
        <v>44977</v>
      </c>
      <c r="V44" s="4" t="s">
        <v>1358</v>
      </c>
      <c r="W44" s="4"/>
      <c r="X44" s="4"/>
      <c r="Y44" s="4"/>
      <c r="Z44" s="4"/>
      <c r="AA44" s="4"/>
      <c r="AB44" s="4"/>
      <c r="AC44" s="4" t="s">
        <v>152</v>
      </c>
      <c r="AD44" s="4">
        <f t="shared" si="0"/>
        <v>4</v>
      </c>
    </row>
    <row r="45" spans="1:30" ht="39.75" thickBot="1" x14ac:dyDescent="0.3">
      <c r="A45" s="3">
        <v>44954.765011574076</v>
      </c>
      <c r="B45" s="4" t="s">
        <v>53</v>
      </c>
      <c r="C45" s="4" t="s">
        <v>53</v>
      </c>
      <c r="D45" s="31" t="s">
        <v>42</v>
      </c>
      <c r="E45" s="4" t="s">
        <v>54</v>
      </c>
      <c r="F45" s="5">
        <v>622865492</v>
      </c>
      <c r="G45" s="4"/>
      <c r="H45" s="4" t="s">
        <v>55</v>
      </c>
      <c r="I45" s="5">
        <v>35</v>
      </c>
      <c r="J45" s="4" t="s">
        <v>30</v>
      </c>
      <c r="K45" s="5">
        <v>2</v>
      </c>
      <c r="L45" s="4" t="s">
        <v>107</v>
      </c>
      <c r="M45" s="4" t="s">
        <v>107</v>
      </c>
      <c r="N45" s="4" t="s">
        <v>47</v>
      </c>
      <c r="O45" s="6">
        <v>44952</v>
      </c>
      <c r="P45" s="4"/>
      <c r="Q45" s="4" t="s">
        <v>58</v>
      </c>
      <c r="R45" s="4" t="s">
        <v>36</v>
      </c>
      <c r="S45" s="4" t="s">
        <v>59</v>
      </c>
      <c r="T45" s="5">
        <v>2</v>
      </c>
      <c r="U45" s="6">
        <v>44977</v>
      </c>
      <c r="V45" s="4" t="s">
        <v>1358</v>
      </c>
      <c r="W45" s="4"/>
      <c r="X45" s="4"/>
      <c r="Y45" s="4"/>
      <c r="Z45" s="4"/>
      <c r="AA45" s="4"/>
      <c r="AB45" s="4"/>
      <c r="AC45" s="4" t="s">
        <v>153</v>
      </c>
      <c r="AD45" s="4">
        <f t="shared" si="0"/>
        <v>4</v>
      </c>
    </row>
    <row r="46" spans="1:30" ht="27" thickBot="1" x14ac:dyDescent="0.3">
      <c r="A46" s="3">
        <v>44954.766747685186</v>
      </c>
      <c r="B46" s="4" t="s">
        <v>53</v>
      </c>
      <c r="C46" s="4" t="s">
        <v>53</v>
      </c>
      <c r="D46" s="31" t="s">
        <v>42</v>
      </c>
      <c r="E46" s="4" t="s">
        <v>154</v>
      </c>
      <c r="F46" s="5">
        <v>628735058</v>
      </c>
      <c r="G46" s="4"/>
      <c r="H46" s="4" t="s">
        <v>62</v>
      </c>
      <c r="I46" s="5">
        <v>3</v>
      </c>
      <c r="J46" s="4" t="s">
        <v>30</v>
      </c>
      <c r="K46" s="5">
        <v>2</v>
      </c>
      <c r="L46" s="4" t="s">
        <v>63</v>
      </c>
      <c r="M46" s="4" t="s">
        <v>63</v>
      </c>
      <c r="N46" s="4" t="s">
        <v>47</v>
      </c>
      <c r="O46" s="6">
        <v>44586</v>
      </c>
      <c r="P46" s="4"/>
      <c r="Q46" s="4" t="s">
        <v>58</v>
      </c>
      <c r="R46" s="4" t="s">
        <v>36</v>
      </c>
      <c r="S46" s="4" t="s">
        <v>59</v>
      </c>
      <c r="T46" s="5">
        <v>4</v>
      </c>
      <c r="U46" s="6">
        <v>44977</v>
      </c>
      <c r="V46" s="4" t="s">
        <v>1358</v>
      </c>
      <c r="W46" s="4"/>
      <c r="X46" s="4"/>
      <c r="Y46" s="4"/>
      <c r="Z46" s="4"/>
      <c r="AA46" s="4"/>
      <c r="AB46" s="4"/>
      <c r="AC46" s="4" t="s">
        <v>155</v>
      </c>
      <c r="AD46" s="4">
        <f t="shared" si="0"/>
        <v>4</v>
      </c>
    </row>
    <row r="47" spans="1:30" ht="78" thickBot="1" x14ac:dyDescent="0.3">
      <c r="A47" s="3">
        <v>44956.469606481478</v>
      </c>
      <c r="B47" s="4" t="s">
        <v>25</v>
      </c>
      <c r="C47" s="4" t="s">
        <v>156</v>
      </c>
      <c r="D47" s="31" t="s">
        <v>42</v>
      </c>
      <c r="E47" s="4" t="s">
        <v>157</v>
      </c>
      <c r="F47" s="5">
        <v>620342577</v>
      </c>
      <c r="G47" s="4"/>
      <c r="H47" s="4" t="s">
        <v>45</v>
      </c>
      <c r="I47" s="5">
        <v>90</v>
      </c>
      <c r="J47" s="4" t="s">
        <v>101</v>
      </c>
      <c r="K47" s="5">
        <v>10</v>
      </c>
      <c r="L47" s="4" t="s">
        <v>52</v>
      </c>
      <c r="M47" s="4" t="s">
        <v>32</v>
      </c>
      <c r="N47" s="4" t="s">
        <v>33</v>
      </c>
      <c r="O47" s="6">
        <v>45000</v>
      </c>
      <c r="P47" s="4" t="s">
        <v>34</v>
      </c>
      <c r="Q47" s="4" t="s">
        <v>35</v>
      </c>
      <c r="R47" s="4" t="s">
        <v>36</v>
      </c>
      <c r="S47" s="4"/>
      <c r="T47" s="4"/>
      <c r="U47" s="4"/>
      <c r="V47" s="4" t="s">
        <v>1372</v>
      </c>
      <c r="W47" s="4"/>
      <c r="X47" s="4"/>
      <c r="Y47" s="4"/>
      <c r="Z47" s="4"/>
      <c r="AA47" s="4"/>
      <c r="AB47" s="4"/>
      <c r="AC47" s="4"/>
      <c r="AD47" s="4">
        <f t="shared" si="0"/>
        <v>5</v>
      </c>
    </row>
    <row r="48" spans="1:30" ht="78" thickBot="1" x14ac:dyDescent="0.3">
      <c r="A48" s="3">
        <v>44956.470729166664</v>
      </c>
      <c r="B48" s="4" t="s">
        <v>1768</v>
      </c>
      <c r="C48" s="4" t="s">
        <v>158</v>
      </c>
      <c r="D48" s="31" t="s">
        <v>27</v>
      </c>
      <c r="E48" s="4" t="s">
        <v>159</v>
      </c>
      <c r="F48" s="5">
        <v>625114036</v>
      </c>
      <c r="G48" s="5">
        <v>0</v>
      </c>
      <c r="H48" s="4" t="s">
        <v>160</v>
      </c>
      <c r="I48" s="5">
        <v>16</v>
      </c>
      <c r="J48" s="4" t="s">
        <v>101</v>
      </c>
      <c r="K48" s="5">
        <v>100</v>
      </c>
      <c r="L48" s="4" t="s">
        <v>161</v>
      </c>
      <c r="M48" s="4" t="s">
        <v>161</v>
      </c>
      <c r="N48" s="4" t="s">
        <v>57</v>
      </c>
      <c r="O48" s="6">
        <v>44985</v>
      </c>
      <c r="P48" s="4" t="s">
        <v>162</v>
      </c>
      <c r="Q48" s="4" t="s">
        <v>130</v>
      </c>
      <c r="R48" s="4" t="s">
        <v>36</v>
      </c>
      <c r="S48" s="4"/>
      <c r="T48" s="4"/>
      <c r="U48" s="4"/>
      <c r="V48" s="4" t="s">
        <v>1372</v>
      </c>
      <c r="W48" s="4"/>
      <c r="X48" s="4"/>
      <c r="Y48" s="4"/>
      <c r="Z48" s="4"/>
      <c r="AA48" s="4"/>
      <c r="AB48" s="4"/>
      <c r="AC48" s="4"/>
      <c r="AD48" s="4">
        <f t="shared" si="0"/>
        <v>5</v>
      </c>
    </row>
    <row r="49" spans="1:30" ht="65.25" thickBot="1" x14ac:dyDescent="0.3">
      <c r="A49" s="3">
        <v>44956.47755787037</v>
      </c>
      <c r="B49" s="4" t="s">
        <v>25</v>
      </c>
      <c r="C49" s="4" t="s">
        <v>26</v>
      </c>
      <c r="D49" s="31" t="s">
        <v>42</v>
      </c>
      <c r="E49" s="4" t="s">
        <v>163</v>
      </c>
      <c r="F49" s="5">
        <v>629110871</v>
      </c>
      <c r="G49" s="4"/>
      <c r="H49" s="4" t="s">
        <v>45</v>
      </c>
      <c r="I49" s="5">
        <v>90</v>
      </c>
      <c r="J49" s="4" t="s">
        <v>101</v>
      </c>
      <c r="K49" s="5">
        <v>5</v>
      </c>
      <c r="L49" s="4" t="s">
        <v>164</v>
      </c>
      <c r="M49" s="4" t="s">
        <v>32</v>
      </c>
      <c r="N49" s="4" t="s">
        <v>33</v>
      </c>
      <c r="O49" s="6">
        <v>45000</v>
      </c>
      <c r="P49" s="4" t="s">
        <v>34</v>
      </c>
      <c r="Q49" s="4" t="s">
        <v>35</v>
      </c>
      <c r="R49" s="4" t="s">
        <v>36</v>
      </c>
      <c r="S49" s="4"/>
      <c r="T49" s="4"/>
      <c r="U49" s="4"/>
      <c r="V49" s="4" t="s">
        <v>1372</v>
      </c>
      <c r="W49" s="4"/>
      <c r="X49" s="4"/>
      <c r="Y49" s="4"/>
      <c r="Z49" s="4"/>
      <c r="AA49" s="4"/>
      <c r="AB49" s="4"/>
      <c r="AC49" s="4"/>
      <c r="AD49" s="4">
        <f t="shared" si="0"/>
        <v>5</v>
      </c>
    </row>
    <row r="50" spans="1:30" ht="65.25" thickBot="1" x14ac:dyDescent="0.3">
      <c r="A50" s="3">
        <v>44956.483425925922</v>
      </c>
      <c r="B50" s="4" t="s">
        <v>25</v>
      </c>
      <c r="C50" s="4" t="s">
        <v>26</v>
      </c>
      <c r="D50" s="31" t="s">
        <v>42</v>
      </c>
      <c r="E50" s="4" t="s">
        <v>157</v>
      </c>
      <c r="F50" s="5">
        <v>622064433</v>
      </c>
      <c r="G50" s="4"/>
      <c r="H50" s="4" t="s">
        <v>45</v>
      </c>
      <c r="I50" s="5">
        <v>90</v>
      </c>
      <c r="J50" s="4" t="s">
        <v>101</v>
      </c>
      <c r="K50" s="5">
        <v>4</v>
      </c>
      <c r="L50" s="4" t="s">
        <v>50</v>
      </c>
      <c r="M50" s="4" t="s">
        <v>32</v>
      </c>
      <c r="N50" s="4" t="s">
        <v>33</v>
      </c>
      <c r="O50" s="6">
        <v>45000</v>
      </c>
      <c r="P50" s="4" t="s">
        <v>34</v>
      </c>
      <c r="Q50" s="4" t="s">
        <v>35</v>
      </c>
      <c r="R50" s="4" t="s">
        <v>36</v>
      </c>
      <c r="S50" s="4"/>
      <c r="T50" s="4"/>
      <c r="U50" s="4"/>
      <c r="V50" s="4" t="s">
        <v>1372</v>
      </c>
      <c r="W50" s="4"/>
      <c r="X50" s="4"/>
      <c r="Y50" s="4"/>
      <c r="Z50" s="4"/>
      <c r="AA50" s="4"/>
      <c r="AB50" s="4"/>
      <c r="AC50" s="4"/>
      <c r="AD50" s="4">
        <f t="shared" si="0"/>
        <v>5</v>
      </c>
    </row>
    <row r="51" spans="1:30" ht="65.25" thickBot="1" x14ac:dyDescent="0.3">
      <c r="A51" s="3">
        <v>44956.49009259259</v>
      </c>
      <c r="B51" s="4" t="s">
        <v>25</v>
      </c>
      <c r="C51" s="4" t="s">
        <v>26</v>
      </c>
      <c r="D51" s="31" t="s">
        <v>42</v>
      </c>
      <c r="E51" s="4" t="s">
        <v>165</v>
      </c>
      <c r="F51" s="5">
        <v>622653693</v>
      </c>
      <c r="G51" s="4"/>
      <c r="H51" s="4" t="s">
        <v>45</v>
      </c>
      <c r="I51" s="5">
        <v>90</v>
      </c>
      <c r="J51" s="4" t="s">
        <v>101</v>
      </c>
      <c r="K51" s="5">
        <v>2</v>
      </c>
      <c r="L51" s="4" t="s">
        <v>52</v>
      </c>
      <c r="M51" s="4" t="s">
        <v>32</v>
      </c>
      <c r="N51" s="4" t="s">
        <v>33</v>
      </c>
      <c r="O51" s="6">
        <v>45000</v>
      </c>
      <c r="P51" s="4" t="s">
        <v>34</v>
      </c>
      <c r="Q51" s="4" t="s">
        <v>35</v>
      </c>
      <c r="R51" s="4" t="s">
        <v>36</v>
      </c>
      <c r="S51" s="4"/>
      <c r="T51" s="4"/>
      <c r="U51" s="4"/>
      <c r="V51" s="4" t="s">
        <v>1372</v>
      </c>
      <c r="W51" s="4"/>
      <c r="X51" s="4"/>
      <c r="Y51" s="4"/>
      <c r="Z51" s="4"/>
      <c r="AA51" s="4"/>
      <c r="AB51" s="4"/>
      <c r="AC51" s="4"/>
      <c r="AD51" s="4">
        <f t="shared" si="0"/>
        <v>5</v>
      </c>
    </row>
    <row r="52" spans="1:30" ht="65.25" thickBot="1" x14ac:dyDescent="0.3">
      <c r="A52" s="3">
        <v>44956.493726851855</v>
      </c>
      <c r="B52" s="4" t="s">
        <v>25</v>
      </c>
      <c r="C52" s="4" t="s">
        <v>26</v>
      </c>
      <c r="D52" s="31" t="s">
        <v>42</v>
      </c>
      <c r="E52" s="4" t="s">
        <v>166</v>
      </c>
      <c r="F52" s="5">
        <v>621072814</v>
      </c>
      <c r="G52" s="4"/>
      <c r="H52" s="4" t="s">
        <v>45</v>
      </c>
      <c r="I52" s="5">
        <v>90</v>
      </c>
      <c r="J52" s="4" t="s">
        <v>101</v>
      </c>
      <c r="K52" s="5">
        <v>2</v>
      </c>
      <c r="L52" s="4" t="s">
        <v>50</v>
      </c>
      <c r="M52" s="4" t="s">
        <v>32</v>
      </c>
      <c r="N52" s="4" t="s">
        <v>33</v>
      </c>
      <c r="O52" s="6">
        <v>45000</v>
      </c>
      <c r="P52" s="4" t="s">
        <v>34</v>
      </c>
      <c r="Q52" s="4" t="s">
        <v>35</v>
      </c>
      <c r="R52" s="4" t="s">
        <v>36</v>
      </c>
      <c r="S52" s="4"/>
      <c r="T52" s="4"/>
      <c r="U52" s="4"/>
      <c r="V52" s="4" t="s">
        <v>1372</v>
      </c>
      <c r="W52" s="4"/>
      <c r="X52" s="4"/>
      <c r="Y52" s="4"/>
      <c r="Z52" s="4"/>
      <c r="AA52" s="4"/>
      <c r="AB52" s="4"/>
      <c r="AC52" s="4"/>
      <c r="AD52" s="4">
        <f t="shared" si="0"/>
        <v>5</v>
      </c>
    </row>
    <row r="53" spans="1:30" ht="65.25" thickBot="1" x14ac:dyDescent="0.3">
      <c r="A53" s="3">
        <v>44956.496840277781</v>
      </c>
      <c r="B53" s="4" t="s">
        <v>25</v>
      </c>
      <c r="C53" s="4" t="s">
        <v>26</v>
      </c>
      <c r="D53" s="31" t="s">
        <v>42</v>
      </c>
      <c r="E53" s="4" t="s">
        <v>167</v>
      </c>
      <c r="F53" s="5">
        <v>624064434</v>
      </c>
      <c r="G53" s="4"/>
      <c r="H53" s="4" t="s">
        <v>45</v>
      </c>
      <c r="I53" s="5">
        <v>90</v>
      </c>
      <c r="J53" s="4" t="s">
        <v>101</v>
      </c>
      <c r="K53" s="5">
        <v>3</v>
      </c>
      <c r="L53" s="4" t="s">
        <v>50</v>
      </c>
      <c r="M53" s="4" t="s">
        <v>32</v>
      </c>
      <c r="N53" s="4" t="s">
        <v>33</v>
      </c>
      <c r="O53" s="6">
        <v>45000</v>
      </c>
      <c r="P53" s="4" t="s">
        <v>34</v>
      </c>
      <c r="Q53" s="4" t="s">
        <v>35</v>
      </c>
      <c r="R53" s="4" t="s">
        <v>36</v>
      </c>
      <c r="S53" s="4"/>
      <c r="T53" s="4"/>
      <c r="U53" s="4"/>
      <c r="V53" s="4" t="s">
        <v>1372</v>
      </c>
      <c r="W53" s="4"/>
      <c r="X53" s="4"/>
      <c r="Y53" s="4"/>
      <c r="Z53" s="4"/>
      <c r="AA53" s="4"/>
      <c r="AB53" s="4"/>
      <c r="AC53" s="4"/>
      <c r="AD53" s="4">
        <f t="shared" si="0"/>
        <v>5</v>
      </c>
    </row>
    <row r="54" spans="1:30" ht="65.25" thickBot="1" x14ac:dyDescent="0.3">
      <c r="A54" s="3">
        <v>44956.500856481478</v>
      </c>
      <c r="B54" s="4" t="s">
        <v>25</v>
      </c>
      <c r="C54" s="4" t="s">
        <v>26</v>
      </c>
      <c r="D54" s="31" t="s">
        <v>42</v>
      </c>
      <c r="E54" s="4" t="s">
        <v>168</v>
      </c>
      <c r="F54" s="5">
        <v>621835187</v>
      </c>
      <c r="G54" s="5">
        <v>623291491</v>
      </c>
      <c r="H54" s="4" t="s">
        <v>45</v>
      </c>
      <c r="I54" s="5">
        <v>90</v>
      </c>
      <c r="J54" s="4" t="s">
        <v>101</v>
      </c>
      <c r="K54" s="5">
        <v>3</v>
      </c>
      <c r="L54" s="4" t="s">
        <v>50</v>
      </c>
      <c r="M54" s="4" t="s">
        <v>32</v>
      </c>
      <c r="N54" s="4" t="s">
        <v>33</v>
      </c>
      <c r="O54" s="6">
        <v>45000</v>
      </c>
      <c r="P54" s="4" t="s">
        <v>34</v>
      </c>
      <c r="Q54" s="4" t="s">
        <v>35</v>
      </c>
      <c r="R54" s="4" t="s">
        <v>36</v>
      </c>
      <c r="S54" s="4"/>
      <c r="T54" s="4"/>
      <c r="U54" s="4"/>
      <c r="V54" s="4" t="s">
        <v>1372</v>
      </c>
      <c r="W54" s="4"/>
      <c r="X54" s="4"/>
      <c r="Y54" s="4"/>
      <c r="Z54" s="4"/>
      <c r="AA54" s="4"/>
      <c r="AB54" s="4"/>
      <c r="AC54" s="4"/>
      <c r="AD54" s="4">
        <f t="shared" si="0"/>
        <v>5</v>
      </c>
    </row>
    <row r="55" spans="1:30" ht="65.25" thickBot="1" x14ac:dyDescent="0.3">
      <c r="A55" s="3">
        <v>44956.504050925927</v>
      </c>
      <c r="B55" s="4" t="s">
        <v>25</v>
      </c>
      <c r="C55" s="4" t="s">
        <v>26</v>
      </c>
      <c r="D55" s="31" t="s">
        <v>42</v>
      </c>
      <c r="E55" s="4" t="s">
        <v>169</v>
      </c>
      <c r="F55" s="5">
        <v>624832253</v>
      </c>
      <c r="G55" s="4"/>
      <c r="H55" s="4" t="s">
        <v>45</v>
      </c>
      <c r="I55" s="5">
        <v>90</v>
      </c>
      <c r="J55" s="4" t="s">
        <v>101</v>
      </c>
      <c r="K55" s="5">
        <v>1</v>
      </c>
      <c r="L55" s="4" t="s">
        <v>50</v>
      </c>
      <c r="M55" s="4" t="s">
        <v>32</v>
      </c>
      <c r="N55" s="4" t="s">
        <v>33</v>
      </c>
      <c r="O55" s="6">
        <v>45000</v>
      </c>
      <c r="P55" s="4" t="s">
        <v>34</v>
      </c>
      <c r="Q55" s="4" t="s">
        <v>35</v>
      </c>
      <c r="R55" s="4" t="s">
        <v>36</v>
      </c>
      <c r="S55" s="4"/>
      <c r="T55" s="4"/>
      <c r="U55" s="4"/>
      <c r="V55" s="4" t="s">
        <v>1372</v>
      </c>
      <c r="W55" s="4"/>
      <c r="X55" s="4"/>
      <c r="Y55" s="4"/>
      <c r="Z55" s="4"/>
      <c r="AA55" s="4"/>
      <c r="AB55" s="4"/>
      <c r="AC55" s="4"/>
      <c r="AD55" s="4">
        <f t="shared" si="0"/>
        <v>5</v>
      </c>
    </row>
    <row r="56" spans="1:30" ht="65.25" thickBot="1" x14ac:dyDescent="0.3">
      <c r="A56" s="3">
        <v>44956.506550925929</v>
      </c>
      <c r="B56" s="4" t="s">
        <v>25</v>
      </c>
      <c r="C56" s="4" t="s">
        <v>26</v>
      </c>
      <c r="D56" s="31" t="s">
        <v>42</v>
      </c>
      <c r="E56" s="4" t="s">
        <v>170</v>
      </c>
      <c r="F56" s="5">
        <v>628721768</v>
      </c>
      <c r="G56" s="4"/>
      <c r="H56" s="4" t="s">
        <v>45</v>
      </c>
      <c r="I56" s="5">
        <v>90</v>
      </c>
      <c r="J56" s="4" t="s">
        <v>101</v>
      </c>
      <c r="K56" s="5">
        <v>2</v>
      </c>
      <c r="L56" s="4" t="s">
        <v>52</v>
      </c>
      <c r="M56" s="4" t="s">
        <v>32</v>
      </c>
      <c r="N56" s="4" t="s">
        <v>33</v>
      </c>
      <c r="O56" s="6">
        <v>45000</v>
      </c>
      <c r="P56" s="4" t="s">
        <v>34</v>
      </c>
      <c r="Q56" s="4" t="s">
        <v>35</v>
      </c>
      <c r="R56" s="4" t="s">
        <v>36</v>
      </c>
      <c r="S56" s="4"/>
      <c r="T56" s="4"/>
      <c r="U56" s="4"/>
      <c r="V56" s="4" t="s">
        <v>1372</v>
      </c>
      <c r="W56" s="4"/>
      <c r="X56" s="4"/>
      <c r="Y56" s="4"/>
      <c r="Z56" s="4"/>
      <c r="AA56" s="4"/>
      <c r="AB56" s="4"/>
      <c r="AC56" s="4"/>
      <c r="AD56" s="4">
        <f t="shared" si="0"/>
        <v>5</v>
      </c>
    </row>
    <row r="57" spans="1:30" ht="65.25" thickBot="1" x14ac:dyDescent="0.3">
      <c r="A57" s="3">
        <v>44956.509155092594</v>
      </c>
      <c r="B57" s="4" t="s">
        <v>25</v>
      </c>
      <c r="C57" s="4" t="s">
        <v>26</v>
      </c>
      <c r="D57" s="31" t="s">
        <v>42</v>
      </c>
      <c r="E57" s="4" t="s">
        <v>171</v>
      </c>
      <c r="F57" s="5">
        <v>620352577</v>
      </c>
      <c r="G57" s="4"/>
      <c r="H57" s="4" t="s">
        <v>45</v>
      </c>
      <c r="I57" s="5">
        <v>90</v>
      </c>
      <c r="J57" s="4" t="s">
        <v>101</v>
      </c>
      <c r="K57" s="5">
        <v>2</v>
      </c>
      <c r="L57" s="4" t="s">
        <v>50</v>
      </c>
      <c r="M57" s="4" t="s">
        <v>32</v>
      </c>
      <c r="N57" s="4" t="s">
        <v>33</v>
      </c>
      <c r="O57" s="6">
        <v>45000</v>
      </c>
      <c r="P57" s="4" t="s">
        <v>34</v>
      </c>
      <c r="Q57" s="4" t="s">
        <v>35</v>
      </c>
      <c r="R57" s="4" t="s">
        <v>36</v>
      </c>
      <c r="S57" s="4"/>
      <c r="T57" s="4"/>
      <c r="U57" s="4"/>
      <c r="V57" s="4" t="s">
        <v>1372</v>
      </c>
      <c r="W57" s="4"/>
      <c r="X57" s="4"/>
      <c r="Y57" s="4"/>
      <c r="Z57" s="4"/>
      <c r="AA57" s="4"/>
      <c r="AB57" s="4"/>
      <c r="AC57" s="4"/>
      <c r="AD57" s="4">
        <f t="shared" si="0"/>
        <v>5</v>
      </c>
    </row>
    <row r="58" spans="1:30" ht="65.25" thickBot="1" x14ac:dyDescent="0.3">
      <c r="A58" s="3">
        <v>44956.513680555552</v>
      </c>
      <c r="B58" s="4" t="s">
        <v>25</v>
      </c>
      <c r="C58" s="4" t="s">
        <v>26</v>
      </c>
      <c r="D58" s="31" t="s">
        <v>42</v>
      </c>
      <c r="E58" s="4" t="s">
        <v>172</v>
      </c>
      <c r="F58" s="5">
        <v>623356162</v>
      </c>
      <c r="G58" s="4"/>
      <c r="H58" s="4" t="s">
        <v>45</v>
      </c>
      <c r="I58" s="5">
        <v>90</v>
      </c>
      <c r="J58" s="4" t="s">
        <v>101</v>
      </c>
      <c r="K58" s="5">
        <v>4</v>
      </c>
      <c r="L58" s="4" t="s">
        <v>50</v>
      </c>
      <c r="M58" s="4" t="s">
        <v>32</v>
      </c>
      <c r="N58" s="4" t="s">
        <v>33</v>
      </c>
      <c r="O58" s="6">
        <v>45000</v>
      </c>
      <c r="P58" s="4" t="s">
        <v>34</v>
      </c>
      <c r="Q58" s="4" t="s">
        <v>35</v>
      </c>
      <c r="R58" s="4" t="s">
        <v>36</v>
      </c>
      <c r="S58" s="4"/>
      <c r="T58" s="4"/>
      <c r="U58" s="4"/>
      <c r="V58" s="4" t="s">
        <v>1372</v>
      </c>
      <c r="W58" s="4"/>
      <c r="X58" s="4"/>
      <c r="Y58" s="4"/>
      <c r="Z58" s="4"/>
      <c r="AA58" s="4"/>
      <c r="AB58" s="4"/>
      <c r="AC58" s="4"/>
      <c r="AD58" s="4">
        <f t="shared" si="0"/>
        <v>5</v>
      </c>
    </row>
    <row r="59" spans="1:30" ht="65.25" thickBot="1" x14ac:dyDescent="0.3">
      <c r="A59" s="3">
        <v>44956.518078703702</v>
      </c>
      <c r="B59" s="4" t="s">
        <v>25</v>
      </c>
      <c r="C59" s="4" t="s">
        <v>26</v>
      </c>
      <c r="D59" s="31" t="s">
        <v>42</v>
      </c>
      <c r="E59" s="4" t="s">
        <v>173</v>
      </c>
      <c r="F59" s="5">
        <v>611623324</v>
      </c>
      <c r="G59" s="4"/>
      <c r="H59" s="4" t="s">
        <v>45</v>
      </c>
      <c r="I59" s="5">
        <v>90</v>
      </c>
      <c r="J59" s="4" t="s">
        <v>101</v>
      </c>
      <c r="K59" s="5">
        <v>2</v>
      </c>
      <c r="L59" s="4" t="s">
        <v>52</v>
      </c>
      <c r="M59" s="4" t="s">
        <v>32</v>
      </c>
      <c r="N59" s="4" t="s">
        <v>33</v>
      </c>
      <c r="O59" s="6">
        <v>45000</v>
      </c>
      <c r="P59" s="4" t="s">
        <v>34</v>
      </c>
      <c r="Q59" s="4" t="s">
        <v>35</v>
      </c>
      <c r="R59" s="4" t="s">
        <v>36</v>
      </c>
      <c r="S59" s="4"/>
      <c r="T59" s="4"/>
      <c r="U59" s="4"/>
      <c r="V59" s="4" t="s">
        <v>1372</v>
      </c>
      <c r="W59" s="4"/>
      <c r="X59" s="4"/>
      <c r="Y59" s="4"/>
      <c r="Z59" s="4"/>
      <c r="AA59" s="4"/>
      <c r="AB59" s="4"/>
      <c r="AC59" s="4"/>
      <c r="AD59" s="4">
        <f t="shared" si="0"/>
        <v>5</v>
      </c>
    </row>
    <row r="60" spans="1:30" ht="65.25" thickBot="1" x14ac:dyDescent="0.3">
      <c r="A60" s="3">
        <v>44956.5231712963</v>
      </c>
      <c r="B60" s="4" t="s">
        <v>25</v>
      </c>
      <c r="C60" s="4" t="s">
        <v>26</v>
      </c>
      <c r="D60" s="31" t="s">
        <v>42</v>
      </c>
      <c r="E60" s="4" t="s">
        <v>174</v>
      </c>
      <c r="F60" s="5">
        <v>620342577</v>
      </c>
      <c r="G60" s="4"/>
      <c r="H60" s="4" t="s">
        <v>45</v>
      </c>
      <c r="I60" s="5">
        <v>90</v>
      </c>
      <c r="J60" s="4" t="s">
        <v>101</v>
      </c>
      <c r="K60" s="5">
        <v>3</v>
      </c>
      <c r="L60" s="4" t="s">
        <v>52</v>
      </c>
      <c r="M60" s="4" t="s">
        <v>32</v>
      </c>
      <c r="N60" s="4" t="s">
        <v>33</v>
      </c>
      <c r="O60" s="6">
        <v>45000</v>
      </c>
      <c r="P60" s="4" t="s">
        <v>34</v>
      </c>
      <c r="Q60" s="4" t="s">
        <v>35</v>
      </c>
      <c r="R60" s="4" t="s">
        <v>36</v>
      </c>
      <c r="S60" s="4"/>
      <c r="T60" s="4"/>
      <c r="U60" s="4"/>
      <c r="V60" s="4" t="s">
        <v>1372</v>
      </c>
      <c r="W60" s="4"/>
      <c r="X60" s="4"/>
      <c r="Y60" s="4"/>
      <c r="Z60" s="4"/>
      <c r="AA60" s="4"/>
      <c r="AB60" s="4"/>
      <c r="AC60" s="4"/>
      <c r="AD60" s="4">
        <f t="shared" si="0"/>
        <v>5</v>
      </c>
    </row>
    <row r="61" spans="1:30" ht="65.25" thickBot="1" x14ac:dyDescent="0.3">
      <c r="A61" s="3">
        <v>44956.528182870374</v>
      </c>
      <c r="B61" s="4" t="s">
        <v>25</v>
      </c>
      <c r="C61" s="4" t="s">
        <v>26</v>
      </c>
      <c r="D61" s="31" t="s">
        <v>42</v>
      </c>
      <c r="E61" s="4" t="s">
        <v>175</v>
      </c>
      <c r="F61" s="5">
        <v>620342577</v>
      </c>
      <c r="G61" s="4"/>
      <c r="H61" s="4" t="s">
        <v>45</v>
      </c>
      <c r="I61" s="5">
        <v>90</v>
      </c>
      <c r="J61" s="4" t="s">
        <v>101</v>
      </c>
      <c r="K61" s="5">
        <v>1</v>
      </c>
      <c r="L61" s="4" t="s">
        <v>50</v>
      </c>
      <c r="M61" s="4" t="s">
        <v>32</v>
      </c>
      <c r="N61" s="4" t="s">
        <v>33</v>
      </c>
      <c r="O61" s="6">
        <v>45000</v>
      </c>
      <c r="P61" s="4" t="s">
        <v>34</v>
      </c>
      <c r="Q61" s="4" t="s">
        <v>35</v>
      </c>
      <c r="R61" s="4" t="s">
        <v>36</v>
      </c>
      <c r="S61" s="4"/>
      <c r="T61" s="4"/>
      <c r="U61" s="4"/>
      <c r="V61" s="4" t="s">
        <v>1372</v>
      </c>
      <c r="W61" s="4"/>
      <c r="X61" s="4"/>
      <c r="Y61" s="4"/>
      <c r="Z61" s="4"/>
      <c r="AA61" s="4"/>
      <c r="AB61" s="4"/>
      <c r="AC61" s="4"/>
      <c r="AD61" s="4">
        <f t="shared" si="0"/>
        <v>5</v>
      </c>
    </row>
    <row r="62" spans="1:30" ht="65.25" thickBot="1" x14ac:dyDescent="0.3">
      <c r="A62" s="3">
        <v>44956.534618055557</v>
      </c>
      <c r="B62" s="4" t="s">
        <v>25</v>
      </c>
      <c r="C62" s="4" t="s">
        <v>26</v>
      </c>
      <c r="D62" s="31" t="s">
        <v>42</v>
      </c>
      <c r="E62" s="4" t="s">
        <v>176</v>
      </c>
      <c r="F62" s="5">
        <v>627628753</v>
      </c>
      <c r="G62" s="4"/>
      <c r="H62" s="4" t="s">
        <v>45</v>
      </c>
      <c r="I62" s="5">
        <v>90</v>
      </c>
      <c r="J62" s="4" t="s">
        <v>101</v>
      </c>
      <c r="K62" s="5">
        <v>2</v>
      </c>
      <c r="L62" s="4" t="s">
        <v>52</v>
      </c>
      <c r="M62" s="4" t="s">
        <v>32</v>
      </c>
      <c r="N62" s="4" t="s">
        <v>33</v>
      </c>
      <c r="O62" s="6">
        <v>45000</v>
      </c>
      <c r="P62" s="4" t="s">
        <v>34</v>
      </c>
      <c r="Q62" s="4" t="s">
        <v>35</v>
      </c>
      <c r="R62" s="4" t="s">
        <v>36</v>
      </c>
      <c r="S62" s="4"/>
      <c r="T62" s="4"/>
      <c r="U62" s="4"/>
      <c r="V62" s="4" t="s">
        <v>1372</v>
      </c>
      <c r="W62" s="4"/>
      <c r="X62" s="4"/>
      <c r="Y62" s="4"/>
      <c r="Z62" s="4"/>
      <c r="AA62" s="4"/>
      <c r="AB62" s="4"/>
      <c r="AC62" s="4"/>
      <c r="AD62" s="4">
        <f t="shared" si="0"/>
        <v>5</v>
      </c>
    </row>
    <row r="63" spans="1:30" ht="65.25" thickBot="1" x14ac:dyDescent="0.3">
      <c r="A63" s="3">
        <v>44956.538611111115</v>
      </c>
      <c r="B63" s="4" t="s">
        <v>25</v>
      </c>
      <c r="C63" s="4" t="s">
        <v>26</v>
      </c>
      <c r="D63" s="31" t="s">
        <v>42</v>
      </c>
      <c r="E63" s="4" t="s">
        <v>177</v>
      </c>
      <c r="F63" s="5">
        <v>627628753</v>
      </c>
      <c r="G63" s="4"/>
      <c r="H63" s="4" t="s">
        <v>45</v>
      </c>
      <c r="I63" s="5">
        <v>90</v>
      </c>
      <c r="J63" s="4" t="s">
        <v>101</v>
      </c>
      <c r="K63" s="5">
        <v>2</v>
      </c>
      <c r="L63" s="4" t="s">
        <v>50</v>
      </c>
      <c r="M63" s="4" t="s">
        <v>32</v>
      </c>
      <c r="N63" s="4" t="s">
        <v>33</v>
      </c>
      <c r="O63" s="6">
        <v>45000</v>
      </c>
      <c r="P63" s="4" t="s">
        <v>34</v>
      </c>
      <c r="Q63" s="4" t="s">
        <v>35</v>
      </c>
      <c r="R63" s="4" t="s">
        <v>36</v>
      </c>
      <c r="S63" s="4"/>
      <c r="T63" s="4"/>
      <c r="U63" s="4"/>
      <c r="V63" s="4" t="s">
        <v>1372</v>
      </c>
      <c r="W63" s="4"/>
      <c r="X63" s="4"/>
      <c r="Y63" s="4"/>
      <c r="Z63" s="4"/>
      <c r="AA63" s="4"/>
      <c r="AB63" s="4"/>
      <c r="AC63" s="4"/>
      <c r="AD63" s="4">
        <f t="shared" si="0"/>
        <v>5</v>
      </c>
    </row>
    <row r="64" spans="1:30" ht="65.25" thickBot="1" x14ac:dyDescent="0.3">
      <c r="A64" s="3">
        <v>44956.542002314818</v>
      </c>
      <c r="B64" s="4" t="s">
        <v>25</v>
      </c>
      <c r="C64" s="4" t="s">
        <v>26</v>
      </c>
      <c r="D64" s="31" t="s">
        <v>42</v>
      </c>
      <c r="E64" s="4" t="s">
        <v>178</v>
      </c>
      <c r="F64" s="5">
        <v>622950709</v>
      </c>
      <c r="G64" s="4"/>
      <c r="H64" s="4" t="s">
        <v>45</v>
      </c>
      <c r="I64" s="5">
        <v>90</v>
      </c>
      <c r="J64" s="4" t="s">
        <v>101</v>
      </c>
      <c r="K64" s="5">
        <v>3</v>
      </c>
      <c r="L64" s="4" t="s">
        <v>52</v>
      </c>
      <c r="M64" s="4" t="s">
        <v>32</v>
      </c>
      <c r="N64" s="4" t="s">
        <v>33</v>
      </c>
      <c r="O64" s="6">
        <v>45000</v>
      </c>
      <c r="P64" s="4" t="s">
        <v>34</v>
      </c>
      <c r="Q64" s="4" t="s">
        <v>35</v>
      </c>
      <c r="R64" s="4" t="s">
        <v>36</v>
      </c>
      <c r="S64" s="4"/>
      <c r="T64" s="4"/>
      <c r="U64" s="4"/>
      <c r="V64" s="4" t="s">
        <v>1372</v>
      </c>
      <c r="W64" s="4"/>
      <c r="X64" s="4"/>
      <c r="Y64" s="4"/>
      <c r="Z64" s="4"/>
      <c r="AA64" s="4"/>
      <c r="AB64" s="4"/>
      <c r="AC64" s="4"/>
      <c r="AD64" s="4">
        <f t="shared" si="0"/>
        <v>5</v>
      </c>
    </row>
    <row r="65" spans="1:30" ht="65.25" thickBot="1" x14ac:dyDescent="0.3">
      <c r="A65" s="3">
        <v>44956.544606481482</v>
      </c>
      <c r="B65" s="4" t="s">
        <v>25</v>
      </c>
      <c r="C65" s="4" t="s">
        <v>26</v>
      </c>
      <c r="D65" s="31" t="s">
        <v>42</v>
      </c>
      <c r="E65" s="4" t="s">
        <v>179</v>
      </c>
      <c r="F65" s="5">
        <v>622060358</v>
      </c>
      <c r="G65" s="4"/>
      <c r="H65" s="4" t="s">
        <v>45</v>
      </c>
      <c r="I65" s="5">
        <v>90</v>
      </c>
      <c r="J65" s="4" t="s">
        <v>101</v>
      </c>
      <c r="K65" s="5">
        <v>7</v>
      </c>
      <c r="L65" s="4" t="s">
        <v>52</v>
      </c>
      <c r="M65" s="4" t="s">
        <v>32</v>
      </c>
      <c r="N65" s="4" t="s">
        <v>33</v>
      </c>
      <c r="O65" s="6">
        <v>45000</v>
      </c>
      <c r="P65" s="4" t="s">
        <v>34</v>
      </c>
      <c r="Q65" s="4" t="s">
        <v>35</v>
      </c>
      <c r="R65" s="4" t="s">
        <v>36</v>
      </c>
      <c r="S65" s="4"/>
      <c r="T65" s="4"/>
      <c r="U65" s="4"/>
      <c r="V65" s="4" t="s">
        <v>1372</v>
      </c>
      <c r="W65" s="4"/>
      <c r="X65" s="4"/>
      <c r="Y65" s="4"/>
      <c r="Z65" s="4"/>
      <c r="AA65" s="4"/>
      <c r="AB65" s="4"/>
      <c r="AC65" s="4"/>
      <c r="AD65" s="4">
        <f t="shared" si="0"/>
        <v>5</v>
      </c>
    </row>
    <row r="66" spans="1:30" ht="65.25" thickBot="1" x14ac:dyDescent="0.3">
      <c r="A66" s="3">
        <v>44956.549074074072</v>
      </c>
      <c r="B66" s="4" t="s">
        <v>25</v>
      </c>
      <c r="C66" s="4" t="s">
        <v>26</v>
      </c>
      <c r="D66" s="31" t="s">
        <v>42</v>
      </c>
      <c r="E66" s="4" t="s">
        <v>180</v>
      </c>
      <c r="F66" s="5">
        <v>622356014</v>
      </c>
      <c r="G66" s="4"/>
      <c r="H66" s="4" t="s">
        <v>45</v>
      </c>
      <c r="I66" s="5">
        <v>90</v>
      </c>
      <c r="J66" s="4" t="s">
        <v>101</v>
      </c>
      <c r="K66" s="5">
        <v>1</v>
      </c>
      <c r="L66" s="4" t="s">
        <v>50</v>
      </c>
      <c r="M66" s="4" t="s">
        <v>32</v>
      </c>
      <c r="N66" s="4" t="s">
        <v>33</v>
      </c>
      <c r="O66" s="6">
        <v>45000</v>
      </c>
      <c r="P66" s="4" t="s">
        <v>34</v>
      </c>
      <c r="Q66" s="4" t="s">
        <v>35</v>
      </c>
      <c r="R66" s="4" t="s">
        <v>36</v>
      </c>
      <c r="S66" s="4"/>
      <c r="T66" s="4"/>
      <c r="U66" s="4"/>
      <c r="V66" s="4" t="s">
        <v>1372</v>
      </c>
      <c r="W66" s="4"/>
      <c r="X66" s="4"/>
      <c r="Y66" s="4"/>
      <c r="Z66" s="4"/>
      <c r="AA66" s="4"/>
      <c r="AB66" s="4"/>
      <c r="AC66" s="4"/>
      <c r="AD66" s="4">
        <f t="shared" si="0"/>
        <v>5</v>
      </c>
    </row>
    <row r="67" spans="1:30" ht="65.25" thickBot="1" x14ac:dyDescent="0.3">
      <c r="A67" s="3">
        <v>44956.551805555559</v>
      </c>
      <c r="B67" s="4" t="s">
        <v>25</v>
      </c>
      <c r="C67" s="4" t="s">
        <v>26</v>
      </c>
      <c r="D67" s="31" t="s">
        <v>42</v>
      </c>
      <c r="E67" s="4" t="s">
        <v>181</v>
      </c>
      <c r="F67" s="5">
        <v>626922544</v>
      </c>
      <c r="G67" s="4"/>
      <c r="H67" s="4" t="s">
        <v>45</v>
      </c>
      <c r="I67" s="5">
        <v>90</v>
      </c>
      <c r="J67" s="4" t="s">
        <v>101</v>
      </c>
      <c r="K67" s="5">
        <v>3</v>
      </c>
      <c r="L67" s="4" t="s">
        <v>52</v>
      </c>
      <c r="M67" s="4" t="s">
        <v>32</v>
      </c>
      <c r="N67" s="4" t="s">
        <v>33</v>
      </c>
      <c r="O67" s="6">
        <v>45000</v>
      </c>
      <c r="P67" s="4" t="s">
        <v>34</v>
      </c>
      <c r="Q67" s="4" t="s">
        <v>35</v>
      </c>
      <c r="R67" s="4" t="s">
        <v>36</v>
      </c>
      <c r="S67" s="4"/>
      <c r="T67" s="4"/>
      <c r="U67" s="4"/>
      <c r="V67" s="4" t="s">
        <v>1372</v>
      </c>
      <c r="W67" s="4"/>
      <c r="X67" s="4"/>
      <c r="Y67" s="4"/>
      <c r="Z67" s="4"/>
      <c r="AA67" s="4"/>
      <c r="AB67" s="4"/>
      <c r="AC67" s="4"/>
      <c r="AD67" s="4">
        <f t="shared" ref="AD67:AD130" si="1">WEEKNUM(LEFT(A67,10))</f>
        <v>5</v>
      </c>
    </row>
    <row r="68" spans="1:30" ht="65.25" thickBot="1" x14ac:dyDescent="0.3">
      <c r="A68" s="3">
        <v>44956.554293981484</v>
      </c>
      <c r="B68" s="4" t="s">
        <v>25</v>
      </c>
      <c r="C68" s="4" t="s">
        <v>26</v>
      </c>
      <c r="D68" s="31" t="s">
        <v>42</v>
      </c>
      <c r="E68" s="4" t="s">
        <v>182</v>
      </c>
      <c r="F68" s="5">
        <v>624581369</v>
      </c>
      <c r="G68" s="4"/>
      <c r="H68" s="4" t="s">
        <v>45</v>
      </c>
      <c r="I68" s="5">
        <v>90</v>
      </c>
      <c r="J68" s="4" t="s">
        <v>101</v>
      </c>
      <c r="K68" s="5">
        <v>6</v>
      </c>
      <c r="L68" s="4" t="s">
        <v>50</v>
      </c>
      <c r="M68" s="4" t="s">
        <v>32</v>
      </c>
      <c r="N68" s="4" t="s">
        <v>33</v>
      </c>
      <c r="O68" s="6">
        <v>45000</v>
      </c>
      <c r="P68" s="4" t="s">
        <v>34</v>
      </c>
      <c r="Q68" s="4" t="s">
        <v>35</v>
      </c>
      <c r="R68" s="4" t="s">
        <v>36</v>
      </c>
      <c r="S68" s="4"/>
      <c r="T68" s="4"/>
      <c r="U68" s="4"/>
      <c r="V68" s="4" t="s">
        <v>1372</v>
      </c>
      <c r="W68" s="4"/>
      <c r="X68" s="4"/>
      <c r="Y68" s="4"/>
      <c r="Z68" s="4"/>
      <c r="AA68" s="4"/>
      <c r="AB68" s="4"/>
      <c r="AC68" s="4"/>
      <c r="AD68" s="4">
        <f t="shared" si="1"/>
        <v>5</v>
      </c>
    </row>
    <row r="69" spans="1:30" ht="65.25" thickBot="1" x14ac:dyDescent="0.3">
      <c r="A69" s="3">
        <v>44956.556956018518</v>
      </c>
      <c r="B69" s="4" t="s">
        <v>25</v>
      </c>
      <c r="C69" s="4" t="s">
        <v>26</v>
      </c>
      <c r="D69" s="31" t="s">
        <v>42</v>
      </c>
      <c r="E69" s="4" t="s">
        <v>183</v>
      </c>
      <c r="F69" s="5">
        <v>611813207</v>
      </c>
      <c r="G69" s="4"/>
      <c r="H69" s="4" t="s">
        <v>45</v>
      </c>
      <c r="I69" s="5">
        <v>90</v>
      </c>
      <c r="J69" s="4" t="s">
        <v>101</v>
      </c>
      <c r="K69" s="5">
        <v>2</v>
      </c>
      <c r="L69" s="4" t="s">
        <v>50</v>
      </c>
      <c r="M69" s="4" t="s">
        <v>32</v>
      </c>
      <c r="N69" s="4" t="s">
        <v>33</v>
      </c>
      <c r="O69" s="6">
        <v>45000</v>
      </c>
      <c r="P69" s="4" t="s">
        <v>34</v>
      </c>
      <c r="Q69" s="4" t="s">
        <v>35</v>
      </c>
      <c r="R69" s="4" t="s">
        <v>36</v>
      </c>
      <c r="S69" s="4"/>
      <c r="T69" s="4"/>
      <c r="U69" s="4"/>
      <c r="V69" s="4" t="s">
        <v>1372</v>
      </c>
      <c r="W69" s="4"/>
      <c r="X69" s="4"/>
      <c r="Y69" s="4"/>
      <c r="Z69" s="4"/>
      <c r="AA69" s="4"/>
      <c r="AB69" s="4"/>
      <c r="AC69" s="4"/>
      <c r="AD69" s="4">
        <f t="shared" si="1"/>
        <v>5</v>
      </c>
    </row>
    <row r="70" spans="1:30" ht="65.25" thickBot="1" x14ac:dyDescent="0.3">
      <c r="A70" s="3">
        <v>44956.559884259259</v>
      </c>
      <c r="B70" s="4" t="s">
        <v>25</v>
      </c>
      <c r="C70" s="4" t="s">
        <v>26</v>
      </c>
      <c r="D70" s="31" t="s">
        <v>42</v>
      </c>
      <c r="E70" s="4" t="s">
        <v>184</v>
      </c>
      <c r="F70" s="5">
        <v>620342577</v>
      </c>
      <c r="G70" s="4"/>
      <c r="H70" s="4" t="s">
        <v>45</v>
      </c>
      <c r="I70" s="5">
        <v>90</v>
      </c>
      <c r="J70" s="4" t="s">
        <v>101</v>
      </c>
      <c r="K70" s="5">
        <v>2</v>
      </c>
      <c r="L70" s="4" t="s">
        <v>50</v>
      </c>
      <c r="M70" s="4" t="s">
        <v>32</v>
      </c>
      <c r="N70" s="4" t="s">
        <v>33</v>
      </c>
      <c r="O70" s="6">
        <v>45000</v>
      </c>
      <c r="P70" s="4" t="s">
        <v>34</v>
      </c>
      <c r="Q70" s="4" t="s">
        <v>35</v>
      </c>
      <c r="R70" s="4" t="s">
        <v>36</v>
      </c>
      <c r="S70" s="4"/>
      <c r="T70" s="4"/>
      <c r="U70" s="4"/>
      <c r="V70" s="4" t="s">
        <v>1372</v>
      </c>
      <c r="W70" s="4"/>
      <c r="X70" s="4"/>
      <c r="Y70" s="4"/>
      <c r="Z70" s="4"/>
      <c r="AA70" s="4"/>
      <c r="AB70" s="4"/>
      <c r="AC70" s="4"/>
      <c r="AD70" s="4">
        <f t="shared" si="1"/>
        <v>5</v>
      </c>
    </row>
    <row r="71" spans="1:30" ht="65.25" thickBot="1" x14ac:dyDescent="0.3">
      <c r="A71" s="3">
        <v>44956.562465277777</v>
      </c>
      <c r="B71" s="4" t="s">
        <v>25</v>
      </c>
      <c r="C71" s="4" t="s">
        <v>26</v>
      </c>
      <c r="D71" s="31" t="s">
        <v>42</v>
      </c>
      <c r="E71" s="4" t="s">
        <v>51</v>
      </c>
      <c r="F71" s="5">
        <v>629467493</v>
      </c>
      <c r="G71" s="4"/>
      <c r="H71" s="4" t="s">
        <v>45</v>
      </c>
      <c r="I71" s="5">
        <v>90</v>
      </c>
      <c r="J71" s="4" t="s">
        <v>101</v>
      </c>
      <c r="K71" s="5">
        <v>4</v>
      </c>
      <c r="L71" s="4" t="s">
        <v>52</v>
      </c>
      <c r="M71" s="4" t="s">
        <v>32</v>
      </c>
      <c r="N71" s="4" t="s">
        <v>33</v>
      </c>
      <c r="O71" s="6">
        <v>45000</v>
      </c>
      <c r="P71" s="4" t="s">
        <v>34</v>
      </c>
      <c r="Q71" s="4" t="s">
        <v>35</v>
      </c>
      <c r="R71" s="4" t="s">
        <v>36</v>
      </c>
      <c r="S71" s="4"/>
      <c r="T71" s="4"/>
      <c r="U71" s="4"/>
      <c r="V71" s="4" t="s">
        <v>1372</v>
      </c>
      <c r="W71" s="4"/>
      <c r="X71" s="4"/>
      <c r="Y71" s="4"/>
      <c r="Z71" s="4"/>
      <c r="AA71" s="4"/>
      <c r="AB71" s="4"/>
      <c r="AC71" s="4"/>
      <c r="AD71" s="4">
        <f t="shared" si="1"/>
        <v>5</v>
      </c>
    </row>
    <row r="72" spans="1:30" ht="65.25" thickBot="1" x14ac:dyDescent="0.3">
      <c r="A72" s="3">
        <v>44957.420543981483</v>
      </c>
      <c r="B72" s="4" t="s">
        <v>25</v>
      </c>
      <c r="C72" s="4" t="s">
        <v>26</v>
      </c>
      <c r="D72" s="31" t="s">
        <v>42</v>
      </c>
      <c r="E72" s="4" t="s">
        <v>185</v>
      </c>
      <c r="F72" s="5">
        <v>620342577</v>
      </c>
      <c r="G72" s="4"/>
      <c r="H72" s="4" t="s">
        <v>45</v>
      </c>
      <c r="I72" s="5">
        <v>90</v>
      </c>
      <c r="J72" s="4" t="s">
        <v>101</v>
      </c>
      <c r="K72" s="5">
        <v>2</v>
      </c>
      <c r="L72" s="4" t="s">
        <v>52</v>
      </c>
      <c r="M72" s="4" t="s">
        <v>32</v>
      </c>
      <c r="N72" s="4" t="s">
        <v>33</v>
      </c>
      <c r="O72" s="6">
        <v>45000</v>
      </c>
      <c r="P72" s="4" t="s">
        <v>34</v>
      </c>
      <c r="Q72" s="4" t="s">
        <v>35</v>
      </c>
      <c r="R72" s="4" t="s">
        <v>36</v>
      </c>
      <c r="S72" s="4"/>
      <c r="T72" s="4"/>
      <c r="U72" s="4"/>
      <c r="V72" s="4" t="s">
        <v>1372</v>
      </c>
      <c r="W72" s="4"/>
      <c r="X72" s="4"/>
      <c r="Y72" s="4"/>
      <c r="Z72" s="4"/>
      <c r="AA72" s="4"/>
      <c r="AB72" s="4"/>
      <c r="AC72" s="4"/>
      <c r="AD72" s="4">
        <f t="shared" si="1"/>
        <v>5</v>
      </c>
    </row>
    <row r="73" spans="1:30" ht="65.25" thickBot="1" x14ac:dyDescent="0.3">
      <c r="A73" s="3">
        <v>44957.422824074078</v>
      </c>
      <c r="B73" s="4" t="s">
        <v>25</v>
      </c>
      <c r="C73" s="4" t="s">
        <v>26</v>
      </c>
      <c r="D73" s="31" t="s">
        <v>42</v>
      </c>
      <c r="E73" s="4" t="s">
        <v>186</v>
      </c>
      <c r="F73" s="5">
        <v>620342577</v>
      </c>
      <c r="G73" s="4"/>
      <c r="H73" s="4" t="s">
        <v>45</v>
      </c>
      <c r="I73" s="5">
        <v>90</v>
      </c>
      <c r="J73" s="4" t="s">
        <v>101</v>
      </c>
      <c r="K73" s="5">
        <v>3</v>
      </c>
      <c r="L73" s="4" t="s">
        <v>50</v>
      </c>
      <c r="M73" s="4" t="s">
        <v>32</v>
      </c>
      <c r="N73" s="4" t="s">
        <v>33</v>
      </c>
      <c r="O73" s="6">
        <v>45000</v>
      </c>
      <c r="P73" s="4" t="s">
        <v>34</v>
      </c>
      <c r="Q73" s="4" t="s">
        <v>35</v>
      </c>
      <c r="R73" s="4" t="s">
        <v>36</v>
      </c>
      <c r="S73" s="4"/>
      <c r="T73" s="4"/>
      <c r="U73" s="4"/>
      <c r="V73" s="4" t="s">
        <v>1372</v>
      </c>
      <c r="W73" s="4"/>
      <c r="X73" s="4"/>
      <c r="Y73" s="4"/>
      <c r="Z73" s="4"/>
      <c r="AA73" s="4"/>
      <c r="AB73" s="4"/>
      <c r="AC73" s="4"/>
      <c r="AD73" s="4">
        <f t="shared" si="1"/>
        <v>5</v>
      </c>
    </row>
    <row r="74" spans="1:30" ht="65.25" thickBot="1" x14ac:dyDescent="0.3">
      <c r="A74" s="3">
        <v>44957.429814814815</v>
      </c>
      <c r="B74" s="4" t="s">
        <v>25</v>
      </c>
      <c r="C74" s="4" t="s">
        <v>26</v>
      </c>
      <c r="D74" s="31" t="s">
        <v>42</v>
      </c>
      <c r="E74" s="4" t="s">
        <v>187</v>
      </c>
      <c r="F74" s="5">
        <v>623723285</v>
      </c>
      <c r="G74" s="4"/>
      <c r="H74" s="4" t="s">
        <v>45</v>
      </c>
      <c r="I74" s="5">
        <v>90</v>
      </c>
      <c r="J74" s="4" t="s">
        <v>101</v>
      </c>
      <c r="K74" s="5">
        <v>5</v>
      </c>
      <c r="L74" s="4" t="s">
        <v>50</v>
      </c>
      <c r="M74" s="4" t="s">
        <v>32</v>
      </c>
      <c r="N74" s="4" t="s">
        <v>33</v>
      </c>
      <c r="O74" s="6">
        <v>45000</v>
      </c>
      <c r="P74" s="4" t="s">
        <v>34</v>
      </c>
      <c r="Q74" s="4" t="s">
        <v>35</v>
      </c>
      <c r="R74" s="4" t="s">
        <v>36</v>
      </c>
      <c r="S74" s="4"/>
      <c r="T74" s="4"/>
      <c r="U74" s="4"/>
      <c r="V74" s="4" t="s">
        <v>1372</v>
      </c>
      <c r="W74" s="4"/>
      <c r="X74" s="4"/>
      <c r="Y74" s="4"/>
      <c r="Z74" s="4"/>
      <c r="AA74" s="4"/>
      <c r="AB74" s="4"/>
      <c r="AC74" s="4"/>
      <c r="AD74" s="4">
        <f t="shared" si="1"/>
        <v>5</v>
      </c>
    </row>
    <row r="75" spans="1:30" ht="65.25" thickBot="1" x14ac:dyDescent="0.3">
      <c r="A75" s="3">
        <v>44957.43246527778</v>
      </c>
      <c r="B75" s="4" t="s">
        <v>25</v>
      </c>
      <c r="C75" s="4" t="s">
        <v>26</v>
      </c>
      <c r="D75" s="31" t="s">
        <v>42</v>
      </c>
      <c r="E75" s="4" t="s">
        <v>188</v>
      </c>
      <c r="F75" s="5">
        <v>626651825</v>
      </c>
      <c r="G75" s="4"/>
      <c r="H75" s="4" t="s">
        <v>45</v>
      </c>
      <c r="I75" s="5">
        <v>90</v>
      </c>
      <c r="J75" s="4" t="s">
        <v>101</v>
      </c>
      <c r="K75" s="5">
        <v>2</v>
      </c>
      <c r="L75" s="4" t="s">
        <v>52</v>
      </c>
      <c r="M75" s="4" t="s">
        <v>32</v>
      </c>
      <c r="N75" s="4" t="s">
        <v>33</v>
      </c>
      <c r="O75" s="6">
        <v>45000</v>
      </c>
      <c r="P75" s="4" t="s">
        <v>34</v>
      </c>
      <c r="Q75" s="4" t="s">
        <v>35</v>
      </c>
      <c r="R75" s="4" t="s">
        <v>36</v>
      </c>
      <c r="S75" s="4"/>
      <c r="T75" s="4"/>
      <c r="U75" s="4"/>
      <c r="V75" s="4" t="s">
        <v>1372</v>
      </c>
      <c r="W75" s="4"/>
      <c r="X75" s="4"/>
      <c r="Y75" s="4"/>
      <c r="Z75" s="4"/>
      <c r="AA75" s="4"/>
      <c r="AB75" s="4"/>
      <c r="AC75" s="4"/>
      <c r="AD75" s="4">
        <f t="shared" si="1"/>
        <v>5</v>
      </c>
    </row>
    <row r="76" spans="1:30" ht="65.25" thickBot="1" x14ac:dyDescent="0.3">
      <c r="A76" s="3">
        <v>44957.43545138889</v>
      </c>
      <c r="B76" s="4" t="s">
        <v>25</v>
      </c>
      <c r="C76" s="4" t="s">
        <v>26</v>
      </c>
      <c r="D76" s="31" t="s">
        <v>42</v>
      </c>
      <c r="E76" s="4" t="s">
        <v>189</v>
      </c>
      <c r="F76" s="5">
        <v>620342577</v>
      </c>
      <c r="G76" s="4"/>
      <c r="H76" s="4" t="s">
        <v>45</v>
      </c>
      <c r="I76" s="5">
        <v>90</v>
      </c>
      <c r="J76" s="4" t="s">
        <v>101</v>
      </c>
      <c r="K76" s="5">
        <v>2</v>
      </c>
      <c r="L76" s="4" t="s">
        <v>52</v>
      </c>
      <c r="M76" s="4" t="s">
        <v>32</v>
      </c>
      <c r="N76" s="4" t="s">
        <v>33</v>
      </c>
      <c r="O76" s="6">
        <v>45000</v>
      </c>
      <c r="P76" s="4" t="s">
        <v>34</v>
      </c>
      <c r="Q76" s="4" t="s">
        <v>35</v>
      </c>
      <c r="R76" s="4" t="s">
        <v>36</v>
      </c>
      <c r="S76" s="4"/>
      <c r="T76" s="4"/>
      <c r="U76" s="4"/>
      <c r="V76" s="4" t="s">
        <v>1372</v>
      </c>
      <c r="W76" s="4"/>
      <c r="X76" s="4"/>
      <c r="Y76" s="4"/>
      <c r="Z76" s="4"/>
      <c r="AA76" s="4"/>
      <c r="AB76" s="4"/>
      <c r="AC76" s="4"/>
      <c r="AD76" s="4">
        <f t="shared" si="1"/>
        <v>5</v>
      </c>
    </row>
    <row r="77" spans="1:30" ht="65.25" thickBot="1" x14ac:dyDescent="0.3">
      <c r="A77" s="3">
        <v>44957.437407407408</v>
      </c>
      <c r="B77" s="4" t="s">
        <v>25</v>
      </c>
      <c r="C77" s="4" t="s">
        <v>26</v>
      </c>
      <c r="D77" s="31" t="s">
        <v>42</v>
      </c>
      <c r="E77" s="4" t="s">
        <v>190</v>
      </c>
      <c r="F77" s="5">
        <v>629516021</v>
      </c>
      <c r="G77" s="4"/>
      <c r="H77" s="4" t="s">
        <v>45</v>
      </c>
      <c r="I77" s="5">
        <v>90</v>
      </c>
      <c r="J77" s="4" t="s">
        <v>101</v>
      </c>
      <c r="K77" s="5">
        <v>2</v>
      </c>
      <c r="L77" s="4" t="s">
        <v>50</v>
      </c>
      <c r="M77" s="4" t="s">
        <v>32</v>
      </c>
      <c r="N77" s="4" t="s">
        <v>33</v>
      </c>
      <c r="O77" s="6">
        <v>45000</v>
      </c>
      <c r="P77" s="4" t="s">
        <v>34</v>
      </c>
      <c r="Q77" s="4" t="s">
        <v>35</v>
      </c>
      <c r="R77" s="4" t="s">
        <v>36</v>
      </c>
      <c r="S77" s="4"/>
      <c r="T77" s="4"/>
      <c r="U77" s="4"/>
      <c r="V77" s="4" t="s">
        <v>1372</v>
      </c>
      <c r="W77" s="4"/>
      <c r="X77" s="4"/>
      <c r="Y77" s="4"/>
      <c r="Z77" s="4"/>
      <c r="AA77" s="4"/>
      <c r="AB77" s="4"/>
      <c r="AC77" s="4"/>
      <c r="AD77" s="4">
        <f t="shared" si="1"/>
        <v>5</v>
      </c>
    </row>
    <row r="78" spans="1:30" ht="65.25" thickBot="1" x14ac:dyDescent="0.3">
      <c r="A78" s="3">
        <v>44957.439131944448</v>
      </c>
      <c r="B78" s="4" t="s">
        <v>25</v>
      </c>
      <c r="C78" s="4" t="s">
        <v>26</v>
      </c>
      <c r="D78" s="31" t="s">
        <v>42</v>
      </c>
      <c r="E78" s="4" t="s">
        <v>191</v>
      </c>
      <c r="F78" s="5">
        <v>620211259</v>
      </c>
      <c r="G78" s="4"/>
      <c r="H78" s="4" t="s">
        <v>45</v>
      </c>
      <c r="I78" s="5">
        <v>90</v>
      </c>
      <c r="J78" s="4" t="s">
        <v>101</v>
      </c>
      <c r="K78" s="5">
        <v>1</v>
      </c>
      <c r="L78" s="4" t="s">
        <v>50</v>
      </c>
      <c r="M78" s="4" t="s">
        <v>32</v>
      </c>
      <c r="N78" s="4" t="s">
        <v>33</v>
      </c>
      <c r="O78" s="6">
        <v>45000</v>
      </c>
      <c r="P78" s="4" t="s">
        <v>34</v>
      </c>
      <c r="Q78" s="4" t="s">
        <v>35</v>
      </c>
      <c r="R78" s="4" t="s">
        <v>36</v>
      </c>
      <c r="S78" s="4"/>
      <c r="T78" s="4"/>
      <c r="U78" s="4"/>
      <c r="V78" s="4" t="s">
        <v>1372</v>
      </c>
      <c r="W78" s="4"/>
      <c r="X78" s="4"/>
      <c r="Y78" s="4"/>
      <c r="Z78" s="4"/>
      <c r="AA78" s="4"/>
      <c r="AB78" s="4"/>
      <c r="AC78" s="4"/>
      <c r="AD78" s="4">
        <f t="shared" si="1"/>
        <v>5</v>
      </c>
    </row>
    <row r="79" spans="1:30" ht="65.25" thickBot="1" x14ac:dyDescent="0.3">
      <c r="A79" s="3">
        <v>44957.440844907411</v>
      </c>
      <c r="B79" s="4" t="s">
        <v>25</v>
      </c>
      <c r="C79" s="4" t="s">
        <v>26</v>
      </c>
      <c r="D79" s="31" t="s">
        <v>42</v>
      </c>
      <c r="E79" s="4" t="s">
        <v>192</v>
      </c>
      <c r="F79" s="5">
        <v>620342577</v>
      </c>
      <c r="G79" s="4"/>
      <c r="H79" s="4" t="s">
        <v>45</v>
      </c>
      <c r="I79" s="5">
        <v>90</v>
      </c>
      <c r="J79" s="4" t="s">
        <v>101</v>
      </c>
      <c r="K79" s="5">
        <v>2</v>
      </c>
      <c r="L79" s="4" t="s">
        <v>50</v>
      </c>
      <c r="M79" s="4" t="s">
        <v>32</v>
      </c>
      <c r="N79" s="4" t="s">
        <v>33</v>
      </c>
      <c r="O79" s="6">
        <v>45000</v>
      </c>
      <c r="P79" s="4" t="s">
        <v>34</v>
      </c>
      <c r="Q79" s="4" t="s">
        <v>35</v>
      </c>
      <c r="R79" s="4" t="s">
        <v>36</v>
      </c>
      <c r="S79" s="4"/>
      <c r="T79" s="4"/>
      <c r="U79" s="4"/>
      <c r="V79" s="4" t="s">
        <v>1372</v>
      </c>
      <c r="W79" s="4"/>
      <c r="X79" s="4"/>
      <c r="Y79" s="4"/>
      <c r="Z79" s="4"/>
      <c r="AA79" s="4"/>
      <c r="AB79" s="4"/>
      <c r="AC79" s="4"/>
      <c r="AD79" s="4">
        <f t="shared" si="1"/>
        <v>5</v>
      </c>
    </row>
    <row r="80" spans="1:30" ht="65.25" thickBot="1" x14ac:dyDescent="0.3">
      <c r="A80" s="3">
        <v>44957.442824074074</v>
      </c>
      <c r="B80" s="4" t="s">
        <v>25</v>
      </c>
      <c r="C80" s="4" t="s">
        <v>26</v>
      </c>
      <c r="D80" s="31" t="s">
        <v>42</v>
      </c>
      <c r="E80" s="4" t="s">
        <v>193</v>
      </c>
      <c r="F80" s="5">
        <v>620342577</v>
      </c>
      <c r="G80" s="4"/>
      <c r="H80" s="4" t="s">
        <v>45</v>
      </c>
      <c r="I80" s="5">
        <v>90</v>
      </c>
      <c r="J80" s="4" t="s">
        <v>101</v>
      </c>
      <c r="K80" s="5">
        <v>7</v>
      </c>
      <c r="L80" s="4" t="s">
        <v>52</v>
      </c>
      <c r="M80" s="4" t="s">
        <v>32</v>
      </c>
      <c r="N80" s="4" t="s">
        <v>33</v>
      </c>
      <c r="O80" s="6">
        <v>45000</v>
      </c>
      <c r="P80" s="4" t="s">
        <v>34</v>
      </c>
      <c r="Q80" s="4" t="s">
        <v>35</v>
      </c>
      <c r="R80" s="4" t="s">
        <v>36</v>
      </c>
      <c r="S80" s="4"/>
      <c r="T80" s="4"/>
      <c r="U80" s="4"/>
      <c r="V80" s="4" t="s">
        <v>1372</v>
      </c>
      <c r="W80" s="4"/>
      <c r="X80" s="4"/>
      <c r="Y80" s="4"/>
      <c r="Z80" s="4"/>
      <c r="AA80" s="4"/>
      <c r="AB80" s="4"/>
      <c r="AC80" s="4"/>
      <c r="AD80" s="4">
        <f t="shared" si="1"/>
        <v>5</v>
      </c>
    </row>
    <row r="81" spans="1:30" ht="65.25" thickBot="1" x14ac:dyDescent="0.3">
      <c r="A81" s="3">
        <v>44957.444861111115</v>
      </c>
      <c r="B81" s="4" t="s">
        <v>25</v>
      </c>
      <c r="C81" s="4" t="s">
        <v>26</v>
      </c>
      <c r="D81" s="31" t="s">
        <v>42</v>
      </c>
      <c r="E81" s="4" t="s">
        <v>194</v>
      </c>
      <c r="F81" s="5">
        <v>620342577</v>
      </c>
      <c r="G81" s="4"/>
      <c r="H81" s="4" t="s">
        <v>45</v>
      </c>
      <c r="I81" s="5">
        <v>90</v>
      </c>
      <c r="J81" s="4" t="s">
        <v>101</v>
      </c>
      <c r="K81" s="5">
        <v>3</v>
      </c>
      <c r="L81" s="4" t="s">
        <v>52</v>
      </c>
      <c r="M81" s="4" t="s">
        <v>32</v>
      </c>
      <c r="N81" s="4" t="s">
        <v>33</v>
      </c>
      <c r="O81" s="6">
        <v>45000</v>
      </c>
      <c r="P81" s="4" t="s">
        <v>34</v>
      </c>
      <c r="Q81" s="4" t="s">
        <v>35</v>
      </c>
      <c r="R81" s="4" t="s">
        <v>36</v>
      </c>
      <c r="S81" s="4"/>
      <c r="T81" s="4"/>
      <c r="U81" s="4"/>
      <c r="V81" s="4" t="s">
        <v>1372</v>
      </c>
      <c r="W81" s="4"/>
      <c r="X81" s="4"/>
      <c r="Y81" s="4"/>
      <c r="Z81" s="4"/>
      <c r="AA81" s="4"/>
      <c r="AB81" s="4"/>
      <c r="AC81" s="4"/>
      <c r="AD81" s="4">
        <f t="shared" si="1"/>
        <v>5</v>
      </c>
    </row>
    <row r="82" spans="1:30" ht="65.25" thickBot="1" x14ac:dyDescent="0.3">
      <c r="A82" s="3">
        <v>44957.446574074071</v>
      </c>
      <c r="B82" s="4" t="s">
        <v>25</v>
      </c>
      <c r="C82" s="4" t="s">
        <v>26</v>
      </c>
      <c r="D82" s="31" t="s">
        <v>42</v>
      </c>
      <c r="E82" s="4" t="s">
        <v>195</v>
      </c>
      <c r="F82" s="5">
        <v>620342577</v>
      </c>
      <c r="G82" s="4"/>
      <c r="H82" s="4" t="s">
        <v>45</v>
      </c>
      <c r="I82" s="5">
        <v>90</v>
      </c>
      <c r="J82" s="4" t="s">
        <v>101</v>
      </c>
      <c r="K82" s="5">
        <v>3</v>
      </c>
      <c r="L82" s="4" t="s">
        <v>52</v>
      </c>
      <c r="M82" s="4" t="s">
        <v>32</v>
      </c>
      <c r="N82" s="4" t="s">
        <v>33</v>
      </c>
      <c r="O82" s="6">
        <v>45000</v>
      </c>
      <c r="P82" s="4" t="s">
        <v>34</v>
      </c>
      <c r="Q82" s="4" t="s">
        <v>35</v>
      </c>
      <c r="R82" s="4" t="s">
        <v>36</v>
      </c>
      <c r="S82" s="4"/>
      <c r="T82" s="4"/>
      <c r="U82" s="4"/>
      <c r="V82" s="4" t="s">
        <v>1372</v>
      </c>
      <c r="W82" s="4"/>
      <c r="X82" s="4"/>
      <c r="Y82" s="4"/>
      <c r="Z82" s="4"/>
      <c r="AA82" s="4"/>
      <c r="AB82" s="4"/>
      <c r="AC82" s="4"/>
      <c r="AD82" s="4">
        <f t="shared" si="1"/>
        <v>5</v>
      </c>
    </row>
    <row r="83" spans="1:30" ht="65.25" thickBot="1" x14ac:dyDescent="0.3">
      <c r="A83" s="3">
        <v>44957.448796296296</v>
      </c>
      <c r="B83" s="4" t="s">
        <v>25</v>
      </c>
      <c r="C83" s="4" t="s">
        <v>26</v>
      </c>
      <c r="D83" s="31" t="s">
        <v>42</v>
      </c>
      <c r="E83" s="4" t="s">
        <v>196</v>
      </c>
      <c r="F83" s="5">
        <v>625008870</v>
      </c>
      <c r="G83" s="4"/>
      <c r="H83" s="4" t="s">
        <v>45</v>
      </c>
      <c r="I83" s="5">
        <v>90</v>
      </c>
      <c r="J83" s="4" t="s">
        <v>101</v>
      </c>
      <c r="K83" s="5">
        <v>3</v>
      </c>
      <c r="L83" s="4" t="s">
        <v>52</v>
      </c>
      <c r="M83" s="4" t="s">
        <v>32</v>
      </c>
      <c r="N83" s="4" t="s">
        <v>33</v>
      </c>
      <c r="O83" s="6">
        <v>45000</v>
      </c>
      <c r="P83" s="4" t="s">
        <v>34</v>
      </c>
      <c r="Q83" s="4" t="s">
        <v>35</v>
      </c>
      <c r="R83" s="4" t="s">
        <v>36</v>
      </c>
      <c r="S83" s="4"/>
      <c r="T83" s="4"/>
      <c r="U83" s="4"/>
      <c r="V83" s="4" t="s">
        <v>1372</v>
      </c>
      <c r="W83" s="4"/>
      <c r="X83" s="4"/>
      <c r="Y83" s="4"/>
      <c r="Z83" s="4"/>
      <c r="AA83" s="4"/>
      <c r="AB83" s="4"/>
      <c r="AC83" s="4"/>
      <c r="AD83" s="4">
        <f t="shared" si="1"/>
        <v>5</v>
      </c>
    </row>
    <row r="84" spans="1:30" ht="65.25" thickBot="1" x14ac:dyDescent="0.3">
      <c r="A84" s="3">
        <v>44957.452430555553</v>
      </c>
      <c r="B84" s="4" t="s">
        <v>25</v>
      </c>
      <c r="C84" s="4" t="s">
        <v>26</v>
      </c>
      <c r="D84" s="31" t="s">
        <v>42</v>
      </c>
      <c r="E84" s="4" t="s">
        <v>197</v>
      </c>
      <c r="F84" s="5">
        <v>620342577</v>
      </c>
      <c r="G84" s="4"/>
      <c r="H84" s="4" t="s">
        <v>45</v>
      </c>
      <c r="I84" s="5">
        <v>90</v>
      </c>
      <c r="J84" s="4" t="s">
        <v>101</v>
      </c>
      <c r="K84" s="5">
        <v>4</v>
      </c>
      <c r="L84" s="4" t="s">
        <v>52</v>
      </c>
      <c r="M84" s="4" t="s">
        <v>32</v>
      </c>
      <c r="N84" s="4" t="s">
        <v>33</v>
      </c>
      <c r="O84" s="6">
        <v>45000</v>
      </c>
      <c r="P84" s="4" t="s">
        <v>34</v>
      </c>
      <c r="Q84" s="4" t="s">
        <v>35</v>
      </c>
      <c r="R84" s="4" t="s">
        <v>36</v>
      </c>
      <c r="S84" s="4"/>
      <c r="T84" s="4"/>
      <c r="U84" s="4"/>
      <c r="V84" s="4" t="s">
        <v>1372</v>
      </c>
      <c r="W84" s="4"/>
      <c r="X84" s="4"/>
      <c r="Y84" s="4"/>
      <c r="Z84" s="4"/>
      <c r="AA84" s="4"/>
      <c r="AB84" s="4"/>
      <c r="AC84" s="4"/>
      <c r="AD84" s="4">
        <f t="shared" si="1"/>
        <v>5</v>
      </c>
    </row>
    <row r="85" spans="1:30" ht="65.25" thickBot="1" x14ac:dyDescent="0.3">
      <c r="A85" s="3">
        <v>44957.455000000002</v>
      </c>
      <c r="B85" s="4" t="s">
        <v>25</v>
      </c>
      <c r="C85" s="4" t="s">
        <v>26</v>
      </c>
      <c r="D85" s="31" t="s">
        <v>42</v>
      </c>
      <c r="E85" s="4" t="s">
        <v>181</v>
      </c>
      <c r="F85" s="5">
        <v>620342577</v>
      </c>
      <c r="G85" s="4"/>
      <c r="H85" s="4" t="s">
        <v>45</v>
      </c>
      <c r="I85" s="5">
        <v>90</v>
      </c>
      <c r="J85" s="4" t="s">
        <v>101</v>
      </c>
      <c r="K85" s="5">
        <v>1</v>
      </c>
      <c r="L85" s="4" t="s">
        <v>50</v>
      </c>
      <c r="M85" s="4" t="s">
        <v>32</v>
      </c>
      <c r="N85" s="4" t="s">
        <v>33</v>
      </c>
      <c r="O85" s="6">
        <v>45000</v>
      </c>
      <c r="P85" s="4" t="s">
        <v>34</v>
      </c>
      <c r="Q85" s="4" t="s">
        <v>35</v>
      </c>
      <c r="R85" s="4" t="s">
        <v>36</v>
      </c>
      <c r="S85" s="4"/>
      <c r="T85" s="4"/>
      <c r="U85" s="4"/>
      <c r="V85" s="4" t="s">
        <v>1372</v>
      </c>
      <c r="W85" s="4"/>
      <c r="X85" s="4"/>
      <c r="Y85" s="4"/>
      <c r="Z85" s="4"/>
      <c r="AA85" s="4"/>
      <c r="AB85" s="4"/>
      <c r="AC85" s="4"/>
      <c r="AD85" s="4">
        <f t="shared" si="1"/>
        <v>5</v>
      </c>
    </row>
    <row r="86" spans="1:30" ht="65.25" thickBot="1" x14ac:dyDescent="0.3">
      <c r="A86" s="3">
        <v>44957.458298611113</v>
      </c>
      <c r="B86" s="4" t="s">
        <v>25</v>
      </c>
      <c r="C86" s="4" t="s">
        <v>26</v>
      </c>
      <c r="D86" s="31" t="s">
        <v>42</v>
      </c>
      <c r="E86" s="4" t="s">
        <v>198</v>
      </c>
      <c r="F86" s="5">
        <v>628240693</v>
      </c>
      <c r="G86" s="4"/>
      <c r="H86" s="4" t="s">
        <v>45</v>
      </c>
      <c r="I86" s="5">
        <v>90</v>
      </c>
      <c r="J86" s="4" t="s">
        <v>101</v>
      </c>
      <c r="K86" s="5">
        <v>2</v>
      </c>
      <c r="L86" s="4" t="s">
        <v>52</v>
      </c>
      <c r="M86" s="4" t="s">
        <v>32</v>
      </c>
      <c r="N86" s="4" t="s">
        <v>33</v>
      </c>
      <c r="O86" s="6">
        <v>45000</v>
      </c>
      <c r="P86" s="4" t="s">
        <v>34</v>
      </c>
      <c r="Q86" s="4" t="s">
        <v>35</v>
      </c>
      <c r="R86" s="4" t="s">
        <v>36</v>
      </c>
      <c r="S86" s="4"/>
      <c r="T86" s="4"/>
      <c r="U86" s="4"/>
      <c r="V86" s="4" t="s">
        <v>1372</v>
      </c>
      <c r="W86" s="4"/>
      <c r="X86" s="4"/>
      <c r="Y86" s="4"/>
      <c r="Z86" s="4"/>
      <c r="AA86" s="4"/>
      <c r="AB86" s="4"/>
      <c r="AC86" s="4"/>
      <c r="AD86" s="4">
        <f t="shared" si="1"/>
        <v>5</v>
      </c>
    </row>
    <row r="87" spans="1:30" ht="65.25" thickBot="1" x14ac:dyDescent="0.3">
      <c r="A87" s="3">
        <v>44957.460381944446</v>
      </c>
      <c r="B87" s="4" t="s">
        <v>25</v>
      </c>
      <c r="C87" s="4" t="s">
        <v>26</v>
      </c>
      <c r="D87" s="31" t="s">
        <v>42</v>
      </c>
      <c r="E87" s="4" t="s">
        <v>199</v>
      </c>
      <c r="F87" s="5">
        <v>610548828</v>
      </c>
      <c r="G87" s="4"/>
      <c r="H87" s="4" t="s">
        <v>45</v>
      </c>
      <c r="I87" s="5">
        <v>90</v>
      </c>
      <c r="J87" s="4" t="s">
        <v>101</v>
      </c>
      <c r="K87" s="5">
        <v>2</v>
      </c>
      <c r="L87" s="4" t="s">
        <v>52</v>
      </c>
      <c r="M87" s="4" t="s">
        <v>32</v>
      </c>
      <c r="N87" s="4" t="s">
        <v>33</v>
      </c>
      <c r="O87" s="6">
        <v>45000</v>
      </c>
      <c r="P87" s="4" t="s">
        <v>34</v>
      </c>
      <c r="Q87" s="4" t="s">
        <v>1677</v>
      </c>
      <c r="R87" s="4" t="s">
        <v>36</v>
      </c>
      <c r="S87" s="4"/>
      <c r="T87" s="4"/>
      <c r="U87" s="4"/>
      <c r="V87" s="4" t="s">
        <v>1372</v>
      </c>
      <c r="W87" s="4"/>
      <c r="X87" s="4"/>
      <c r="Y87" s="4"/>
      <c r="Z87" s="4"/>
      <c r="AA87" s="4"/>
      <c r="AB87" s="4"/>
      <c r="AC87" s="4"/>
      <c r="AD87" s="4">
        <f t="shared" si="1"/>
        <v>5</v>
      </c>
    </row>
    <row r="88" spans="1:30" ht="65.25" thickBot="1" x14ac:dyDescent="0.3">
      <c r="A88" s="3">
        <v>44957.464166666665</v>
      </c>
      <c r="B88" s="4" t="s">
        <v>25</v>
      </c>
      <c r="C88" s="4" t="s">
        <v>26</v>
      </c>
      <c r="D88" s="31" t="s">
        <v>42</v>
      </c>
      <c r="E88" s="4" t="s">
        <v>201</v>
      </c>
      <c r="F88" s="5">
        <v>620342577</v>
      </c>
      <c r="G88" s="4"/>
      <c r="H88" s="4" t="s">
        <v>45</v>
      </c>
      <c r="I88" s="5">
        <v>90</v>
      </c>
      <c r="J88" s="4" t="s">
        <v>101</v>
      </c>
      <c r="K88" s="5">
        <v>1</v>
      </c>
      <c r="L88" s="4" t="s">
        <v>52</v>
      </c>
      <c r="M88" s="4" t="s">
        <v>32</v>
      </c>
      <c r="N88" s="4" t="s">
        <v>33</v>
      </c>
      <c r="O88" s="6">
        <v>45000</v>
      </c>
      <c r="P88" s="4" t="s">
        <v>202</v>
      </c>
      <c r="Q88" s="4" t="s">
        <v>35</v>
      </c>
      <c r="R88" s="4" t="s">
        <v>36</v>
      </c>
      <c r="S88" s="4"/>
      <c r="T88" s="4"/>
      <c r="U88" s="4"/>
      <c r="V88" s="4" t="s">
        <v>1372</v>
      </c>
      <c r="W88" s="4"/>
      <c r="X88" s="4"/>
      <c r="Y88" s="4"/>
      <c r="Z88" s="4"/>
      <c r="AA88" s="4"/>
      <c r="AB88" s="4"/>
      <c r="AC88" s="4"/>
      <c r="AD88" s="4">
        <f t="shared" si="1"/>
        <v>5</v>
      </c>
    </row>
    <row r="89" spans="1:30" ht="65.25" thickBot="1" x14ac:dyDescent="0.3">
      <c r="A89" s="3">
        <v>44957.466446759259</v>
      </c>
      <c r="B89" s="4" t="s">
        <v>25</v>
      </c>
      <c r="C89" s="4" t="s">
        <v>26</v>
      </c>
      <c r="D89" s="31" t="s">
        <v>42</v>
      </c>
      <c r="E89" s="4" t="s">
        <v>203</v>
      </c>
      <c r="F89" s="5">
        <v>627423234</v>
      </c>
      <c r="G89" s="4"/>
      <c r="H89" s="4" t="s">
        <v>45</v>
      </c>
      <c r="I89" s="5">
        <v>90</v>
      </c>
      <c r="J89" s="4" t="s">
        <v>101</v>
      </c>
      <c r="K89" s="5">
        <v>2</v>
      </c>
      <c r="L89" s="4" t="s">
        <v>50</v>
      </c>
      <c r="M89" s="4" t="s">
        <v>32</v>
      </c>
      <c r="N89" s="4" t="s">
        <v>33</v>
      </c>
      <c r="O89" s="6">
        <v>45000</v>
      </c>
      <c r="P89" s="4" t="s">
        <v>34</v>
      </c>
      <c r="Q89" s="4" t="s">
        <v>35</v>
      </c>
      <c r="R89" s="4" t="s">
        <v>36</v>
      </c>
      <c r="S89" s="4"/>
      <c r="T89" s="4"/>
      <c r="U89" s="4"/>
      <c r="V89" s="4" t="s">
        <v>1372</v>
      </c>
      <c r="W89" s="4"/>
      <c r="X89" s="4"/>
      <c r="Y89" s="4"/>
      <c r="Z89" s="4"/>
      <c r="AA89" s="4"/>
      <c r="AB89" s="4"/>
      <c r="AC89" s="4"/>
      <c r="AD89" s="4">
        <f t="shared" si="1"/>
        <v>5</v>
      </c>
    </row>
    <row r="90" spans="1:30" ht="65.25" thickBot="1" x14ac:dyDescent="0.3">
      <c r="A90" s="3">
        <v>44957.468761574077</v>
      </c>
      <c r="B90" s="4" t="s">
        <v>25</v>
      </c>
      <c r="C90" s="4" t="s">
        <v>26</v>
      </c>
      <c r="D90" s="31" t="s">
        <v>42</v>
      </c>
      <c r="E90" s="4" t="s">
        <v>204</v>
      </c>
      <c r="F90" s="5">
        <v>626581586</v>
      </c>
      <c r="G90" s="4"/>
      <c r="H90" s="4" t="s">
        <v>45</v>
      </c>
      <c r="I90" s="5">
        <v>90</v>
      </c>
      <c r="J90" s="4" t="s">
        <v>101</v>
      </c>
      <c r="K90" s="5">
        <v>3</v>
      </c>
      <c r="L90" s="4" t="s">
        <v>50</v>
      </c>
      <c r="M90" s="4" t="s">
        <v>32</v>
      </c>
      <c r="N90" s="4" t="s">
        <v>33</v>
      </c>
      <c r="O90" s="6">
        <v>44972</v>
      </c>
      <c r="P90" s="4" t="s">
        <v>34</v>
      </c>
      <c r="Q90" s="4" t="s">
        <v>35</v>
      </c>
      <c r="R90" s="4" t="s">
        <v>36</v>
      </c>
      <c r="S90" s="4"/>
      <c r="T90" s="4"/>
      <c r="U90" s="4"/>
      <c r="V90" s="4" t="s">
        <v>1372</v>
      </c>
      <c r="W90" s="4"/>
      <c r="X90" s="4"/>
      <c r="Y90" s="4"/>
      <c r="Z90" s="4"/>
      <c r="AA90" s="4"/>
      <c r="AB90" s="4"/>
      <c r="AC90" s="4"/>
      <c r="AD90" s="4">
        <f t="shared" si="1"/>
        <v>5</v>
      </c>
    </row>
    <row r="91" spans="1:30" ht="65.25" thickBot="1" x14ac:dyDescent="0.3">
      <c r="A91" s="3">
        <v>44957.472650462965</v>
      </c>
      <c r="B91" s="4" t="s">
        <v>25</v>
      </c>
      <c r="C91" s="4" t="s">
        <v>26</v>
      </c>
      <c r="D91" s="31" t="s">
        <v>42</v>
      </c>
      <c r="E91" s="4" t="s">
        <v>205</v>
      </c>
      <c r="F91" s="5">
        <v>620645347</v>
      </c>
      <c r="G91" s="4"/>
      <c r="H91" s="4" t="s">
        <v>49</v>
      </c>
      <c r="I91" s="5">
        <v>6</v>
      </c>
      <c r="J91" s="4" t="s">
        <v>101</v>
      </c>
      <c r="K91" s="5">
        <v>1</v>
      </c>
      <c r="L91" s="4" t="s">
        <v>50</v>
      </c>
      <c r="M91" s="4" t="s">
        <v>32</v>
      </c>
      <c r="N91" s="4" t="s">
        <v>33</v>
      </c>
      <c r="O91" s="6">
        <v>45000</v>
      </c>
      <c r="P91" s="4" t="s">
        <v>34</v>
      </c>
      <c r="Q91" s="4" t="s">
        <v>35</v>
      </c>
      <c r="R91" s="4" t="s">
        <v>36</v>
      </c>
      <c r="S91" s="4"/>
      <c r="T91" s="4"/>
      <c r="U91" s="4"/>
      <c r="V91" s="4" t="s">
        <v>1372</v>
      </c>
      <c r="W91" s="4"/>
      <c r="X91" s="4"/>
      <c r="Y91" s="4"/>
      <c r="Z91" s="4"/>
      <c r="AA91" s="4"/>
      <c r="AB91" s="4"/>
      <c r="AC91" s="4"/>
      <c r="AD91" s="4">
        <f t="shared" si="1"/>
        <v>5</v>
      </c>
    </row>
    <row r="92" spans="1:30" ht="65.25" thickBot="1" x14ac:dyDescent="0.3">
      <c r="A92" s="3">
        <v>44957.567662037036</v>
      </c>
      <c r="B92" s="4" t="s">
        <v>25</v>
      </c>
      <c r="C92" s="4" t="s">
        <v>26</v>
      </c>
      <c r="D92" s="31" t="s">
        <v>42</v>
      </c>
      <c r="E92" s="4" t="s">
        <v>206</v>
      </c>
      <c r="F92" s="5">
        <v>628612762</v>
      </c>
      <c r="G92" s="4"/>
      <c r="H92" s="4" t="s">
        <v>29</v>
      </c>
      <c r="I92" s="5">
        <v>10</v>
      </c>
      <c r="J92" s="4" t="s">
        <v>101</v>
      </c>
      <c r="K92" s="5">
        <v>25</v>
      </c>
      <c r="L92" s="4" t="s">
        <v>207</v>
      </c>
      <c r="M92" s="4" t="s">
        <v>32</v>
      </c>
      <c r="N92" s="4" t="s">
        <v>33</v>
      </c>
      <c r="O92" s="6">
        <v>44982</v>
      </c>
      <c r="P92" s="4" t="s">
        <v>34</v>
      </c>
      <c r="Q92" s="4" t="s">
        <v>35</v>
      </c>
      <c r="R92" s="4" t="s">
        <v>36</v>
      </c>
      <c r="S92" s="4" t="s">
        <v>109</v>
      </c>
      <c r="T92" s="5">
        <v>15</v>
      </c>
      <c r="U92" s="6">
        <v>44970</v>
      </c>
      <c r="V92" s="4" t="s">
        <v>1357</v>
      </c>
      <c r="W92" s="4"/>
      <c r="X92" s="4"/>
      <c r="Y92" s="4"/>
      <c r="Z92" s="4"/>
      <c r="AA92" s="4"/>
      <c r="AB92" s="4"/>
      <c r="AC92" s="4"/>
      <c r="AD92" s="4">
        <f t="shared" si="1"/>
        <v>5</v>
      </c>
    </row>
    <row r="93" spans="1:30" ht="27" thickBot="1" x14ac:dyDescent="0.3">
      <c r="A93" s="3">
        <v>44957.738113425927</v>
      </c>
      <c r="B93" s="4" t="s">
        <v>53</v>
      </c>
      <c r="C93" s="4" t="s">
        <v>53</v>
      </c>
      <c r="D93" s="31" t="s">
        <v>42</v>
      </c>
      <c r="E93" s="4" t="s">
        <v>208</v>
      </c>
      <c r="F93" s="5">
        <v>628392953</v>
      </c>
      <c r="G93" s="4"/>
      <c r="H93" s="4" t="s">
        <v>62</v>
      </c>
      <c r="I93" s="5">
        <v>5</v>
      </c>
      <c r="J93" s="4" t="s">
        <v>30</v>
      </c>
      <c r="K93" s="5">
        <v>1</v>
      </c>
      <c r="L93" s="4" t="s">
        <v>209</v>
      </c>
      <c r="M93" s="4" t="s">
        <v>209</v>
      </c>
      <c r="N93" s="4" t="s">
        <v>90</v>
      </c>
      <c r="O93" s="6">
        <v>44958</v>
      </c>
      <c r="P93" s="4"/>
      <c r="Q93" s="4" t="s">
        <v>58</v>
      </c>
      <c r="R93" s="4" t="s">
        <v>36</v>
      </c>
      <c r="S93" s="4" t="s">
        <v>59</v>
      </c>
      <c r="T93" s="5">
        <v>1</v>
      </c>
      <c r="U93" s="6">
        <v>44977</v>
      </c>
      <c r="V93" s="4" t="s">
        <v>1358</v>
      </c>
      <c r="W93" s="4"/>
      <c r="X93" s="4"/>
      <c r="Y93" s="4"/>
      <c r="Z93" s="4"/>
      <c r="AA93" s="4"/>
      <c r="AB93" s="4"/>
      <c r="AC93" s="4" t="s">
        <v>210</v>
      </c>
      <c r="AD93" s="4">
        <f t="shared" si="1"/>
        <v>5</v>
      </c>
    </row>
    <row r="94" spans="1:30" ht="39.75" thickBot="1" x14ac:dyDescent="0.3">
      <c r="A94" s="3">
        <v>44959.539872685185</v>
      </c>
      <c r="B94" s="4" t="s">
        <v>115</v>
      </c>
      <c r="C94" s="4" t="s">
        <v>116</v>
      </c>
      <c r="D94" s="31" t="s">
        <v>42</v>
      </c>
      <c r="E94" s="4" t="s">
        <v>211</v>
      </c>
      <c r="F94" s="5">
        <v>624213632</v>
      </c>
      <c r="G94" s="4"/>
      <c r="H94" s="4" t="s">
        <v>212</v>
      </c>
      <c r="I94" s="5">
        <v>18</v>
      </c>
      <c r="J94" s="4" t="s">
        <v>38</v>
      </c>
      <c r="K94" s="5">
        <v>0.5</v>
      </c>
      <c r="L94" s="4" t="s">
        <v>213</v>
      </c>
      <c r="M94" s="4" t="s">
        <v>214</v>
      </c>
      <c r="N94" s="4" t="s">
        <v>90</v>
      </c>
      <c r="O94" s="6">
        <v>45074</v>
      </c>
      <c r="P94" s="4" t="s">
        <v>215</v>
      </c>
      <c r="Q94" s="4" t="s">
        <v>122</v>
      </c>
      <c r="R94" s="4" t="s">
        <v>67</v>
      </c>
      <c r="S94" s="4"/>
      <c r="T94" s="4"/>
      <c r="U94" s="4"/>
      <c r="V94" s="4" t="s">
        <v>1372</v>
      </c>
      <c r="W94" s="4"/>
      <c r="X94" s="4"/>
      <c r="Y94" s="4"/>
      <c r="Z94" s="4"/>
      <c r="AA94" s="4"/>
      <c r="AB94" s="4"/>
      <c r="AC94" s="4"/>
      <c r="AD94" s="4">
        <f t="shared" si="1"/>
        <v>5</v>
      </c>
    </row>
    <row r="95" spans="1:30" ht="39.75" thickBot="1" x14ac:dyDescent="0.3">
      <c r="A95" s="3">
        <v>44960.653460648151</v>
      </c>
      <c r="B95" s="4" t="s">
        <v>79</v>
      </c>
      <c r="C95" s="4" t="s">
        <v>80</v>
      </c>
      <c r="D95" s="31" t="s">
        <v>42</v>
      </c>
      <c r="E95" s="4" t="s">
        <v>216</v>
      </c>
      <c r="F95" s="5">
        <v>622993813</v>
      </c>
      <c r="G95" s="5">
        <v>0</v>
      </c>
      <c r="H95" s="4" t="s">
        <v>82</v>
      </c>
      <c r="I95" s="5">
        <v>95</v>
      </c>
      <c r="J95" s="4" t="s">
        <v>30</v>
      </c>
      <c r="K95" s="5">
        <v>3</v>
      </c>
      <c r="L95" s="4" t="s">
        <v>88</v>
      </c>
      <c r="M95" s="4" t="s">
        <v>144</v>
      </c>
      <c r="N95" s="4" t="s">
        <v>90</v>
      </c>
      <c r="O95" s="6">
        <v>44943</v>
      </c>
      <c r="P95" s="4" t="s">
        <v>85</v>
      </c>
      <c r="Q95" s="4" t="s">
        <v>86</v>
      </c>
      <c r="R95" s="4" t="s">
        <v>36</v>
      </c>
      <c r="S95" s="4" t="s">
        <v>59</v>
      </c>
      <c r="T95" s="5">
        <v>3</v>
      </c>
      <c r="U95" s="6">
        <v>44960</v>
      </c>
      <c r="V95" s="4" t="s">
        <v>1355</v>
      </c>
      <c r="W95" s="4"/>
      <c r="X95" s="4"/>
      <c r="Y95" s="4"/>
      <c r="Z95" s="4"/>
      <c r="AA95" s="4"/>
      <c r="AB95" s="4"/>
      <c r="AC95" s="4"/>
      <c r="AD95" s="4">
        <f t="shared" si="1"/>
        <v>5</v>
      </c>
    </row>
    <row r="96" spans="1:30" ht="39.75" thickBot="1" x14ac:dyDescent="0.3">
      <c r="A96" s="3">
        <v>44960.656597222223</v>
      </c>
      <c r="B96" s="4" t="s">
        <v>79</v>
      </c>
      <c r="C96" s="4" t="s">
        <v>80</v>
      </c>
      <c r="D96" s="31" t="s">
        <v>42</v>
      </c>
      <c r="E96" s="4" t="s">
        <v>217</v>
      </c>
      <c r="F96" s="5">
        <v>628391086</v>
      </c>
      <c r="G96" s="5">
        <v>0</v>
      </c>
      <c r="H96" s="4" t="s">
        <v>82</v>
      </c>
      <c r="I96" s="5">
        <v>95</v>
      </c>
      <c r="J96" s="4" t="s">
        <v>30</v>
      </c>
      <c r="K96" s="5">
        <v>1</v>
      </c>
      <c r="L96" s="4" t="s">
        <v>88</v>
      </c>
      <c r="M96" s="4" t="s">
        <v>218</v>
      </c>
      <c r="N96" s="4" t="s">
        <v>90</v>
      </c>
      <c r="O96" s="6">
        <v>44946</v>
      </c>
      <c r="P96" s="4" t="s">
        <v>85</v>
      </c>
      <c r="Q96" s="4" t="s">
        <v>86</v>
      </c>
      <c r="R96" s="4" t="s">
        <v>36</v>
      </c>
      <c r="S96" s="4" t="s">
        <v>59</v>
      </c>
      <c r="T96" s="5">
        <v>1</v>
      </c>
      <c r="U96" s="6">
        <v>44960</v>
      </c>
      <c r="V96" s="4" t="s">
        <v>1355</v>
      </c>
      <c r="W96" s="4"/>
      <c r="X96" s="4"/>
      <c r="Y96" s="4"/>
      <c r="Z96" s="4"/>
      <c r="AA96" s="4"/>
      <c r="AB96" s="4"/>
      <c r="AC96" s="4"/>
      <c r="AD96" s="4">
        <f t="shared" si="1"/>
        <v>5</v>
      </c>
    </row>
    <row r="97" spans="1:30" ht="39.75" thickBot="1" x14ac:dyDescent="0.3">
      <c r="A97" s="3">
        <v>44960.65960648148</v>
      </c>
      <c r="B97" s="4" t="s">
        <v>79</v>
      </c>
      <c r="C97" s="4" t="s">
        <v>80</v>
      </c>
      <c r="D97" s="31" t="s">
        <v>42</v>
      </c>
      <c r="E97" s="4" t="s">
        <v>219</v>
      </c>
      <c r="F97" s="5">
        <v>628189296</v>
      </c>
      <c r="G97" s="5">
        <v>0</v>
      </c>
      <c r="H97" s="4" t="s">
        <v>82</v>
      </c>
      <c r="I97" s="5">
        <v>95</v>
      </c>
      <c r="J97" s="4" t="s">
        <v>30</v>
      </c>
      <c r="K97" s="5">
        <v>1</v>
      </c>
      <c r="L97" s="4" t="s">
        <v>88</v>
      </c>
      <c r="M97" s="4" t="s">
        <v>218</v>
      </c>
      <c r="N97" s="4" t="s">
        <v>90</v>
      </c>
      <c r="O97" s="6">
        <v>44949</v>
      </c>
      <c r="P97" s="4" t="s">
        <v>85</v>
      </c>
      <c r="Q97" s="4" t="s">
        <v>86</v>
      </c>
      <c r="R97" s="4" t="s">
        <v>36</v>
      </c>
      <c r="S97" s="4" t="s">
        <v>59</v>
      </c>
      <c r="T97" s="5">
        <v>1</v>
      </c>
      <c r="U97" s="6">
        <v>44960</v>
      </c>
      <c r="V97" s="4" t="s">
        <v>1355</v>
      </c>
      <c r="W97" s="4"/>
      <c r="X97" s="4"/>
      <c r="Y97" s="4"/>
      <c r="Z97" s="4"/>
      <c r="AA97" s="4"/>
      <c r="AB97" s="4"/>
      <c r="AC97" s="4"/>
      <c r="AD97" s="4">
        <f t="shared" si="1"/>
        <v>5</v>
      </c>
    </row>
    <row r="98" spans="1:30" ht="39.75" thickBot="1" x14ac:dyDescent="0.3">
      <c r="A98" s="3">
        <v>44960.66609953704</v>
      </c>
      <c r="B98" s="4" t="s">
        <v>79</v>
      </c>
      <c r="C98" s="4" t="s">
        <v>80</v>
      </c>
      <c r="D98" s="31" t="s">
        <v>42</v>
      </c>
      <c r="E98" s="4" t="s">
        <v>200</v>
      </c>
      <c r="F98" s="5">
        <v>628189296</v>
      </c>
      <c r="G98" s="5">
        <v>0</v>
      </c>
      <c r="H98" s="4" t="s">
        <v>82</v>
      </c>
      <c r="I98" s="5">
        <v>95</v>
      </c>
      <c r="J98" s="4" t="s">
        <v>30</v>
      </c>
      <c r="K98" s="5">
        <v>1</v>
      </c>
      <c r="L98" s="4" t="s">
        <v>88</v>
      </c>
      <c r="M98" s="4" t="s">
        <v>218</v>
      </c>
      <c r="N98" s="4" t="s">
        <v>90</v>
      </c>
      <c r="O98" s="6">
        <v>44950</v>
      </c>
      <c r="P98" s="4" t="s">
        <v>85</v>
      </c>
      <c r="Q98" s="4" t="s">
        <v>86</v>
      </c>
      <c r="R98" s="4" t="s">
        <v>36</v>
      </c>
      <c r="S98" s="4" t="s">
        <v>59</v>
      </c>
      <c r="T98" s="5">
        <v>1</v>
      </c>
      <c r="U98" s="6">
        <v>44960</v>
      </c>
      <c r="V98" s="4" t="s">
        <v>1355</v>
      </c>
      <c r="W98" s="4"/>
      <c r="X98" s="4"/>
      <c r="Y98" s="4"/>
      <c r="Z98" s="4"/>
      <c r="AA98" s="4"/>
      <c r="AB98" s="4"/>
      <c r="AC98" s="4"/>
      <c r="AD98" s="4">
        <f t="shared" si="1"/>
        <v>5</v>
      </c>
    </row>
    <row r="99" spans="1:30" ht="39.75" thickBot="1" x14ac:dyDescent="0.3">
      <c r="A99" s="3">
        <v>44960.669768518521</v>
      </c>
      <c r="B99" s="4" t="s">
        <v>79</v>
      </c>
      <c r="C99" s="4" t="s">
        <v>80</v>
      </c>
      <c r="D99" s="31" t="s">
        <v>42</v>
      </c>
      <c r="E99" s="4" t="s">
        <v>220</v>
      </c>
      <c r="F99" s="5">
        <v>628717030</v>
      </c>
      <c r="G99" s="5">
        <v>0</v>
      </c>
      <c r="H99" s="4" t="s">
        <v>82</v>
      </c>
      <c r="I99" s="5">
        <v>95</v>
      </c>
      <c r="J99" s="4" t="s">
        <v>30</v>
      </c>
      <c r="K99" s="5">
        <v>1</v>
      </c>
      <c r="L99" s="4" t="s">
        <v>88</v>
      </c>
      <c r="M99" s="4" t="s">
        <v>218</v>
      </c>
      <c r="N99" s="4" t="s">
        <v>90</v>
      </c>
      <c r="O99" s="6">
        <v>44956</v>
      </c>
      <c r="P99" s="4" t="s">
        <v>85</v>
      </c>
      <c r="Q99" s="4" t="s">
        <v>86</v>
      </c>
      <c r="R99" s="4" t="s">
        <v>36</v>
      </c>
      <c r="S99" s="4" t="s">
        <v>59</v>
      </c>
      <c r="T99" s="5">
        <v>1</v>
      </c>
      <c r="U99" s="6">
        <v>44960</v>
      </c>
      <c r="V99" s="4" t="s">
        <v>1355</v>
      </c>
      <c r="W99" s="4"/>
      <c r="X99" s="4"/>
      <c r="Y99" s="4"/>
      <c r="Z99" s="4"/>
      <c r="AA99" s="4"/>
      <c r="AB99" s="4"/>
      <c r="AC99" s="4"/>
      <c r="AD99" s="4">
        <f t="shared" si="1"/>
        <v>5</v>
      </c>
    </row>
    <row r="100" spans="1:30" ht="39.75" thickBot="1" x14ac:dyDescent="0.3">
      <c r="A100" s="3">
        <v>44960.672754629632</v>
      </c>
      <c r="B100" s="4" t="s">
        <v>79</v>
      </c>
      <c r="C100" s="4" t="s">
        <v>80</v>
      </c>
      <c r="D100" s="31" t="s">
        <v>42</v>
      </c>
      <c r="E100" s="4" t="s">
        <v>221</v>
      </c>
      <c r="F100" s="9">
        <v>628717030</v>
      </c>
      <c r="G100" s="5">
        <v>0</v>
      </c>
      <c r="H100" s="4" t="s">
        <v>82</v>
      </c>
      <c r="I100" s="5">
        <v>95</v>
      </c>
      <c r="J100" s="4" t="s">
        <v>30</v>
      </c>
      <c r="K100" s="5">
        <v>2</v>
      </c>
      <c r="L100" s="4" t="s">
        <v>88</v>
      </c>
      <c r="M100" s="4" t="s">
        <v>218</v>
      </c>
      <c r="N100" s="4" t="s">
        <v>90</v>
      </c>
      <c r="O100" s="6">
        <v>44957</v>
      </c>
      <c r="P100" s="4" t="s">
        <v>85</v>
      </c>
      <c r="Q100" s="4" t="s">
        <v>86</v>
      </c>
      <c r="R100" s="4" t="s">
        <v>36</v>
      </c>
      <c r="S100" s="4" t="s">
        <v>59</v>
      </c>
      <c r="T100" s="5">
        <v>1</v>
      </c>
      <c r="U100" s="6">
        <v>44960</v>
      </c>
      <c r="V100" s="4" t="s">
        <v>1355</v>
      </c>
      <c r="W100" s="4"/>
      <c r="X100" s="4"/>
      <c r="Y100" s="4"/>
      <c r="Z100" s="4"/>
      <c r="AA100" s="4"/>
      <c r="AB100" s="4"/>
      <c r="AC100" s="4"/>
      <c r="AD100" s="4">
        <f t="shared" si="1"/>
        <v>5</v>
      </c>
    </row>
    <row r="101" spans="1:30" ht="39.75" thickBot="1" x14ac:dyDescent="0.3">
      <c r="A101" s="3">
        <v>44960.676631944443</v>
      </c>
      <c r="B101" s="4" t="s">
        <v>79</v>
      </c>
      <c r="C101" s="4" t="s">
        <v>80</v>
      </c>
      <c r="D101" s="31" t="s">
        <v>27</v>
      </c>
      <c r="E101" s="4" t="s">
        <v>222</v>
      </c>
      <c r="F101" s="5">
        <v>628581868</v>
      </c>
      <c r="G101" s="5">
        <v>0</v>
      </c>
      <c r="H101" s="4" t="s">
        <v>82</v>
      </c>
      <c r="I101" s="5">
        <v>45</v>
      </c>
      <c r="J101" s="4" t="s">
        <v>38</v>
      </c>
      <c r="K101" s="5">
        <v>7</v>
      </c>
      <c r="L101" s="4" t="s">
        <v>223</v>
      </c>
      <c r="M101" s="4" t="s">
        <v>89</v>
      </c>
      <c r="N101" s="4" t="s">
        <v>47</v>
      </c>
      <c r="O101" s="6">
        <v>45056</v>
      </c>
      <c r="P101" s="4" t="s">
        <v>85</v>
      </c>
      <c r="Q101" s="4" t="s">
        <v>86</v>
      </c>
      <c r="R101" s="4" t="s">
        <v>36</v>
      </c>
      <c r="S101" s="4"/>
      <c r="T101" s="4"/>
      <c r="U101" s="4"/>
      <c r="V101" s="4" t="s">
        <v>1372</v>
      </c>
      <c r="W101" s="4"/>
      <c r="X101" s="4"/>
      <c r="Y101" s="4"/>
      <c r="Z101" s="4"/>
      <c r="AA101" s="4"/>
      <c r="AB101" s="4"/>
      <c r="AC101" s="4"/>
      <c r="AD101" s="4">
        <f t="shared" si="1"/>
        <v>5</v>
      </c>
    </row>
    <row r="102" spans="1:30" ht="27" thickBot="1" x14ac:dyDescent="0.3">
      <c r="A102" s="3">
        <v>44963.398622685185</v>
      </c>
      <c r="B102" s="4" t="s">
        <v>53</v>
      </c>
      <c r="C102" s="4" t="s">
        <v>53</v>
      </c>
      <c r="D102" s="31" t="s">
        <v>42</v>
      </c>
      <c r="E102" s="4" t="s">
        <v>139</v>
      </c>
      <c r="F102" s="5">
        <v>628735058</v>
      </c>
      <c r="G102" s="4"/>
      <c r="H102" s="4" t="s">
        <v>62</v>
      </c>
      <c r="I102" s="5">
        <v>3</v>
      </c>
      <c r="J102" s="4" t="s">
        <v>30</v>
      </c>
      <c r="K102" s="5">
        <v>3</v>
      </c>
      <c r="L102" s="4" t="s">
        <v>224</v>
      </c>
      <c r="M102" s="4" t="s">
        <v>224</v>
      </c>
      <c r="N102" s="4" t="s">
        <v>47</v>
      </c>
      <c r="O102" s="6">
        <v>44958</v>
      </c>
      <c r="P102" s="4"/>
      <c r="Q102" s="4" t="s">
        <v>58</v>
      </c>
      <c r="R102" s="4" t="s">
        <v>36</v>
      </c>
      <c r="S102" s="4"/>
      <c r="T102" s="4"/>
      <c r="U102" s="4"/>
      <c r="V102" s="4" t="s">
        <v>1372</v>
      </c>
      <c r="W102" s="4"/>
      <c r="X102" s="4"/>
      <c r="Y102" s="4"/>
      <c r="Z102" s="4"/>
      <c r="AA102" s="4"/>
      <c r="AB102" s="4"/>
      <c r="AC102" s="4"/>
      <c r="AD102" s="4">
        <f t="shared" si="1"/>
        <v>6</v>
      </c>
    </row>
    <row r="103" spans="1:30" ht="78" thickBot="1" x14ac:dyDescent="0.3">
      <c r="A103" s="3">
        <v>44963.780960648146</v>
      </c>
      <c r="B103" s="4" t="s">
        <v>1769</v>
      </c>
      <c r="C103" s="4" t="s">
        <v>226</v>
      </c>
      <c r="D103" s="31" t="s">
        <v>42</v>
      </c>
      <c r="E103" s="4" t="s">
        <v>227</v>
      </c>
      <c r="F103" s="5">
        <v>622869482</v>
      </c>
      <c r="G103" s="4"/>
      <c r="H103" s="4" t="s">
        <v>228</v>
      </c>
      <c r="I103" s="5">
        <v>12</v>
      </c>
      <c r="J103" s="4" t="s">
        <v>38</v>
      </c>
      <c r="K103" s="5">
        <v>3</v>
      </c>
      <c r="L103" s="4" t="s">
        <v>229</v>
      </c>
      <c r="M103" s="4" t="s">
        <v>230</v>
      </c>
      <c r="N103" s="4" t="s">
        <v>57</v>
      </c>
      <c r="O103" s="6">
        <v>44965</v>
      </c>
      <c r="P103" s="4" t="s">
        <v>231</v>
      </c>
      <c r="Q103" s="4" t="s">
        <v>232</v>
      </c>
      <c r="R103" s="4" t="s">
        <v>67</v>
      </c>
      <c r="S103" s="4" t="s">
        <v>109</v>
      </c>
      <c r="T103" s="5">
        <v>4</v>
      </c>
      <c r="U103" s="6">
        <v>44967</v>
      </c>
      <c r="V103" s="4" t="s">
        <v>1356</v>
      </c>
      <c r="W103" s="4"/>
      <c r="X103" s="4"/>
      <c r="Y103" s="4"/>
      <c r="Z103" s="4"/>
      <c r="AA103" s="4"/>
      <c r="AB103" s="4"/>
      <c r="AC103" s="4" t="s">
        <v>233</v>
      </c>
      <c r="AD103" s="4">
        <f t="shared" si="1"/>
        <v>6</v>
      </c>
    </row>
    <row r="104" spans="1:30" ht="27" thickBot="1" x14ac:dyDescent="0.3">
      <c r="A104" s="3">
        <v>44966.349270833336</v>
      </c>
      <c r="B104" s="4" t="s">
        <v>234</v>
      </c>
      <c r="C104" s="4" t="s">
        <v>235</v>
      </c>
      <c r="D104" s="31" t="s">
        <v>42</v>
      </c>
      <c r="E104" s="4" t="s">
        <v>236</v>
      </c>
      <c r="F104" s="5">
        <v>621322940</v>
      </c>
      <c r="G104" s="4"/>
      <c r="H104" s="4" t="s">
        <v>237</v>
      </c>
      <c r="I104" s="5">
        <v>67</v>
      </c>
      <c r="J104" s="4" t="s">
        <v>30</v>
      </c>
      <c r="K104" s="5">
        <v>8</v>
      </c>
      <c r="L104" s="4" t="s">
        <v>238</v>
      </c>
      <c r="M104" s="4" t="s">
        <v>239</v>
      </c>
      <c r="N104" s="4" t="s">
        <v>33</v>
      </c>
      <c r="O104" s="6">
        <v>44969</v>
      </c>
      <c r="P104" s="4"/>
      <c r="Q104" s="4" t="s">
        <v>240</v>
      </c>
      <c r="R104" s="4" t="s">
        <v>36</v>
      </c>
      <c r="S104" s="4" t="s">
        <v>59</v>
      </c>
      <c r="T104" s="5">
        <v>8</v>
      </c>
      <c r="U104" s="6">
        <v>44970</v>
      </c>
      <c r="V104" s="4" t="s">
        <v>1357</v>
      </c>
      <c r="W104" s="4"/>
      <c r="X104" s="4"/>
      <c r="Y104" s="4"/>
      <c r="Z104" s="4"/>
      <c r="AA104" s="4"/>
      <c r="AB104" s="4"/>
      <c r="AC104" s="4"/>
      <c r="AD104" s="4">
        <f t="shared" si="1"/>
        <v>6</v>
      </c>
    </row>
    <row r="105" spans="1:30" ht="52.5" thickBot="1" x14ac:dyDescent="0.3">
      <c r="A105" s="3">
        <v>44970.41511574074</v>
      </c>
      <c r="B105" s="4" t="s">
        <v>241</v>
      </c>
      <c r="C105" s="4" t="s">
        <v>242</v>
      </c>
      <c r="D105" s="31" t="s">
        <v>27</v>
      </c>
      <c r="E105" s="4" t="s">
        <v>243</v>
      </c>
      <c r="F105" s="5">
        <v>622384741</v>
      </c>
      <c r="G105" s="4"/>
      <c r="H105" s="4" t="s">
        <v>244</v>
      </c>
      <c r="I105" s="5">
        <v>138</v>
      </c>
      <c r="J105" s="4" t="s">
        <v>30</v>
      </c>
      <c r="K105" s="5">
        <v>50</v>
      </c>
      <c r="L105" s="4" t="s">
        <v>245</v>
      </c>
      <c r="M105" s="4" t="s">
        <v>246</v>
      </c>
      <c r="N105" s="4" t="s">
        <v>57</v>
      </c>
      <c r="O105" s="6">
        <v>44982</v>
      </c>
      <c r="P105" s="4"/>
      <c r="Q105" s="4" t="s">
        <v>247</v>
      </c>
      <c r="R105" s="4" t="s">
        <v>36</v>
      </c>
      <c r="S105" s="4"/>
      <c r="T105" s="4"/>
      <c r="U105" s="4"/>
      <c r="V105" s="4" t="s">
        <v>1372</v>
      </c>
      <c r="W105" s="4"/>
      <c r="X105" s="4"/>
      <c r="Y105" s="4"/>
      <c r="Z105" s="4"/>
      <c r="AA105" s="4"/>
      <c r="AB105" s="4"/>
      <c r="AC105" s="4"/>
      <c r="AD105" s="4">
        <f t="shared" si="1"/>
        <v>7</v>
      </c>
    </row>
    <row r="106" spans="1:30" ht="65.25" thickBot="1" x14ac:dyDescent="0.3">
      <c r="A106" s="3">
        <v>44970.473055555558</v>
      </c>
      <c r="B106" s="4" t="s">
        <v>25</v>
      </c>
      <c r="C106" s="4" t="s">
        <v>26</v>
      </c>
      <c r="D106" s="31" t="s">
        <v>42</v>
      </c>
      <c r="E106" s="4" t="s">
        <v>108</v>
      </c>
      <c r="F106" s="5">
        <v>622501048</v>
      </c>
      <c r="G106" s="5">
        <v>628406741</v>
      </c>
      <c r="H106" s="4" t="s">
        <v>29</v>
      </c>
      <c r="I106" s="5">
        <v>12</v>
      </c>
      <c r="J106" s="4" t="s">
        <v>101</v>
      </c>
      <c r="K106" s="5">
        <v>4</v>
      </c>
      <c r="L106" s="4" t="s">
        <v>113</v>
      </c>
      <c r="M106" s="4" t="s">
        <v>32</v>
      </c>
      <c r="N106" s="4" t="s">
        <v>33</v>
      </c>
      <c r="O106" s="6">
        <v>44970</v>
      </c>
      <c r="P106" s="4" t="s">
        <v>34</v>
      </c>
      <c r="Q106" s="4" t="s">
        <v>35</v>
      </c>
      <c r="R106" s="4" t="s">
        <v>36</v>
      </c>
      <c r="S106" s="4" t="s">
        <v>109</v>
      </c>
      <c r="T106" s="5">
        <v>2.5</v>
      </c>
      <c r="U106" s="6">
        <v>45007</v>
      </c>
      <c r="V106" s="4" t="s">
        <v>1346</v>
      </c>
      <c r="W106" s="4"/>
      <c r="X106" s="4"/>
      <c r="Y106" s="4"/>
      <c r="Z106" s="4"/>
      <c r="AA106" s="4"/>
      <c r="AB106" s="4"/>
      <c r="AC106" s="4"/>
      <c r="AD106" s="4">
        <f t="shared" si="1"/>
        <v>7</v>
      </c>
    </row>
    <row r="107" spans="1:30" ht="65.25" thickBot="1" x14ac:dyDescent="0.3">
      <c r="A107" s="3">
        <v>44970.577453703707</v>
      </c>
      <c r="B107" s="4" t="s">
        <v>25</v>
      </c>
      <c r="C107" s="4" t="s">
        <v>26</v>
      </c>
      <c r="D107" s="31" t="s">
        <v>42</v>
      </c>
      <c r="E107" s="4" t="s">
        <v>248</v>
      </c>
      <c r="F107" s="5">
        <v>624367136</v>
      </c>
      <c r="G107" s="4"/>
      <c r="H107" s="4" t="s">
        <v>49</v>
      </c>
      <c r="I107" s="5">
        <v>11</v>
      </c>
      <c r="J107" s="4" t="s">
        <v>101</v>
      </c>
      <c r="K107" s="5">
        <v>1</v>
      </c>
      <c r="L107" s="4" t="s">
        <v>164</v>
      </c>
      <c r="M107" s="4" t="s">
        <v>32</v>
      </c>
      <c r="N107" s="4" t="s">
        <v>33</v>
      </c>
      <c r="O107" s="6">
        <v>44974</v>
      </c>
      <c r="P107" s="4" t="s">
        <v>34</v>
      </c>
      <c r="Q107" s="4" t="s">
        <v>35</v>
      </c>
      <c r="R107" s="4" t="s">
        <v>36</v>
      </c>
      <c r="S107" s="4"/>
      <c r="T107" s="4"/>
      <c r="U107" s="4"/>
      <c r="V107" s="4" t="s">
        <v>1372</v>
      </c>
      <c r="W107" s="4"/>
      <c r="X107" s="4"/>
      <c r="Y107" s="4"/>
      <c r="Z107" s="4"/>
      <c r="AA107" s="4"/>
      <c r="AB107" s="4"/>
      <c r="AC107" s="4"/>
      <c r="AD107" s="4">
        <f t="shared" si="1"/>
        <v>7</v>
      </c>
    </row>
    <row r="108" spans="1:30" ht="39.75" thickBot="1" x14ac:dyDescent="0.3">
      <c r="A108" s="3">
        <v>44970.819965277777</v>
      </c>
      <c r="B108" s="4" t="s">
        <v>1769</v>
      </c>
      <c r="C108" s="4" t="s">
        <v>226</v>
      </c>
      <c r="D108" s="31" t="s">
        <v>42</v>
      </c>
      <c r="E108" s="4" t="s">
        <v>249</v>
      </c>
      <c r="F108" s="5">
        <v>622559196</v>
      </c>
      <c r="G108" s="4"/>
      <c r="H108" s="4" t="s">
        <v>228</v>
      </c>
      <c r="I108" s="5">
        <v>13</v>
      </c>
      <c r="J108" s="4" t="s">
        <v>38</v>
      </c>
      <c r="K108" s="5">
        <v>4</v>
      </c>
      <c r="L108" s="4" t="s">
        <v>250</v>
      </c>
      <c r="M108" s="4" t="s">
        <v>251</v>
      </c>
      <c r="N108" s="4" t="s">
        <v>57</v>
      </c>
      <c r="O108" s="6">
        <v>44971</v>
      </c>
      <c r="P108" s="4"/>
      <c r="Q108" s="4" t="s">
        <v>232</v>
      </c>
      <c r="R108" s="4" t="s">
        <v>252</v>
      </c>
      <c r="S108" s="4" t="s">
        <v>59</v>
      </c>
      <c r="T108" s="5">
        <v>3</v>
      </c>
      <c r="U108" s="6">
        <v>44977</v>
      </c>
      <c r="V108" s="4" t="s">
        <v>1358</v>
      </c>
      <c r="W108" s="4"/>
      <c r="X108" s="4"/>
      <c r="Y108" s="4"/>
      <c r="Z108" s="4"/>
      <c r="AA108" s="4"/>
      <c r="AB108" s="4"/>
      <c r="AC108" s="4"/>
      <c r="AD108" s="4">
        <f t="shared" si="1"/>
        <v>7</v>
      </c>
    </row>
    <row r="109" spans="1:30" ht="39.75" thickBot="1" x14ac:dyDescent="0.3">
      <c r="A109" s="3">
        <v>44970.923518518517</v>
      </c>
      <c r="B109" s="4" t="s">
        <v>253</v>
      </c>
      <c r="C109" s="4" t="s">
        <v>254</v>
      </c>
      <c r="D109" s="31" t="s">
        <v>27</v>
      </c>
      <c r="E109" s="4" t="s">
        <v>255</v>
      </c>
      <c r="F109" s="5">
        <v>620161706</v>
      </c>
      <c r="G109" s="4"/>
      <c r="H109" s="4" t="s">
        <v>256</v>
      </c>
      <c r="I109" s="5">
        <v>215</v>
      </c>
      <c r="J109" s="4" t="s">
        <v>101</v>
      </c>
      <c r="K109" s="5">
        <v>50</v>
      </c>
      <c r="L109" s="4" t="s">
        <v>257</v>
      </c>
      <c r="M109" s="4" t="s">
        <v>258</v>
      </c>
      <c r="N109" s="4" t="s">
        <v>33</v>
      </c>
      <c r="O109" s="6">
        <v>45214</v>
      </c>
      <c r="P109" s="4" t="s">
        <v>259</v>
      </c>
      <c r="Q109" s="4" t="s">
        <v>260</v>
      </c>
      <c r="R109" s="4" t="s">
        <v>36</v>
      </c>
      <c r="S109" s="4"/>
      <c r="T109" s="4"/>
      <c r="U109" s="4"/>
      <c r="V109" s="4" t="s">
        <v>1372</v>
      </c>
      <c r="W109" s="4"/>
      <c r="X109" s="4"/>
      <c r="Y109" s="4"/>
      <c r="Z109" s="4"/>
      <c r="AA109" s="4"/>
      <c r="AB109" s="4"/>
      <c r="AC109" s="4"/>
      <c r="AD109" s="4">
        <f t="shared" si="1"/>
        <v>7</v>
      </c>
    </row>
    <row r="110" spans="1:30" ht="52.5" thickBot="1" x14ac:dyDescent="0.3">
      <c r="A110" s="3">
        <v>44970.93240740741</v>
      </c>
      <c r="B110" s="4" t="s">
        <v>253</v>
      </c>
      <c r="C110" s="4" t="s">
        <v>254</v>
      </c>
      <c r="D110" s="31" t="s">
        <v>42</v>
      </c>
      <c r="E110" s="4" t="s">
        <v>261</v>
      </c>
      <c r="F110" s="5">
        <v>623024358</v>
      </c>
      <c r="G110" s="4"/>
      <c r="H110" s="4" t="s">
        <v>262</v>
      </c>
      <c r="I110" s="5">
        <v>25</v>
      </c>
      <c r="J110" s="4" t="s">
        <v>38</v>
      </c>
      <c r="K110" s="5">
        <v>5</v>
      </c>
      <c r="L110" s="4" t="s">
        <v>263</v>
      </c>
      <c r="M110" s="4" t="s">
        <v>264</v>
      </c>
      <c r="N110" s="4" t="s">
        <v>57</v>
      </c>
      <c r="O110" s="6">
        <v>45026</v>
      </c>
      <c r="P110" s="4" t="s">
        <v>265</v>
      </c>
      <c r="Q110" s="4" t="s">
        <v>260</v>
      </c>
      <c r="R110" s="4" t="s">
        <v>252</v>
      </c>
      <c r="S110" s="4"/>
      <c r="T110" s="4"/>
      <c r="U110" s="4"/>
      <c r="V110" s="4" t="s">
        <v>1372</v>
      </c>
      <c r="W110" s="4"/>
      <c r="X110" s="4"/>
      <c r="Y110" s="4"/>
      <c r="Z110" s="4"/>
      <c r="AA110" s="4"/>
      <c r="AB110" s="4"/>
      <c r="AC110" s="4"/>
      <c r="AD110" s="4">
        <f t="shared" si="1"/>
        <v>7</v>
      </c>
    </row>
    <row r="111" spans="1:30" ht="52.5" thickBot="1" x14ac:dyDescent="0.3">
      <c r="A111" s="3">
        <v>44970.938564814816</v>
      </c>
      <c r="B111" s="4" t="s">
        <v>253</v>
      </c>
      <c r="C111" s="4" t="s">
        <v>254</v>
      </c>
      <c r="D111" s="31" t="s">
        <v>42</v>
      </c>
      <c r="E111" s="4" t="s">
        <v>266</v>
      </c>
      <c r="F111" s="5">
        <v>628659814</v>
      </c>
      <c r="G111" s="4"/>
      <c r="H111" s="4" t="s">
        <v>262</v>
      </c>
      <c r="I111" s="5">
        <v>20</v>
      </c>
      <c r="J111" s="4" t="s">
        <v>38</v>
      </c>
      <c r="K111" s="5">
        <v>5</v>
      </c>
      <c r="L111" s="4" t="s">
        <v>52</v>
      </c>
      <c r="M111" s="4" t="s">
        <v>258</v>
      </c>
      <c r="N111" s="4" t="s">
        <v>33</v>
      </c>
      <c r="O111" s="6">
        <v>45097</v>
      </c>
      <c r="P111" s="4" t="s">
        <v>265</v>
      </c>
      <c r="Q111" s="4" t="s">
        <v>260</v>
      </c>
      <c r="R111" s="4" t="s">
        <v>36</v>
      </c>
      <c r="S111" s="4"/>
      <c r="T111" s="4"/>
      <c r="U111" s="4"/>
      <c r="V111" s="4" t="s">
        <v>1372</v>
      </c>
      <c r="W111" s="4"/>
      <c r="X111" s="4"/>
      <c r="Y111" s="4"/>
      <c r="Z111" s="4"/>
      <c r="AA111" s="4"/>
      <c r="AB111" s="4"/>
      <c r="AC111" s="4"/>
      <c r="AD111" s="4">
        <f t="shared" si="1"/>
        <v>7</v>
      </c>
    </row>
    <row r="112" spans="1:30" ht="65.25" thickBot="1" x14ac:dyDescent="0.3">
      <c r="A112" s="3">
        <v>44972.704675925925</v>
      </c>
      <c r="B112" s="4" t="s">
        <v>253</v>
      </c>
      <c r="C112" s="4" t="s">
        <v>254</v>
      </c>
      <c r="D112" s="31" t="s">
        <v>27</v>
      </c>
      <c r="E112" s="4" t="s">
        <v>267</v>
      </c>
      <c r="F112" s="5">
        <v>627137360</v>
      </c>
      <c r="G112" s="4"/>
      <c r="H112" s="4" t="s">
        <v>268</v>
      </c>
      <c r="I112" s="5">
        <v>215</v>
      </c>
      <c r="J112" s="4" t="s">
        <v>101</v>
      </c>
      <c r="K112" s="9">
        <v>5</v>
      </c>
      <c r="L112" s="4" t="s">
        <v>269</v>
      </c>
      <c r="M112" s="4" t="s">
        <v>258</v>
      </c>
      <c r="N112" s="4" t="s">
        <v>33</v>
      </c>
      <c r="O112" s="6">
        <v>44982</v>
      </c>
      <c r="P112" s="4" t="s">
        <v>270</v>
      </c>
      <c r="Q112" s="4" t="s">
        <v>260</v>
      </c>
      <c r="R112" s="4" t="s">
        <v>36</v>
      </c>
      <c r="S112" s="4"/>
      <c r="T112" s="4"/>
      <c r="U112" s="4"/>
      <c r="V112" s="4" t="s">
        <v>1372</v>
      </c>
      <c r="W112" s="4"/>
      <c r="X112" s="4"/>
      <c r="Y112" s="4"/>
      <c r="Z112" s="4"/>
      <c r="AA112" s="4"/>
      <c r="AB112" s="4"/>
      <c r="AC112" s="4"/>
      <c r="AD112" s="4">
        <f t="shared" si="1"/>
        <v>7</v>
      </c>
    </row>
    <row r="113" spans="1:30" ht="52.5" thickBot="1" x14ac:dyDescent="0.3">
      <c r="A113" s="3">
        <v>44972.877650462964</v>
      </c>
      <c r="B113" s="4" t="s">
        <v>253</v>
      </c>
      <c r="C113" s="4" t="s">
        <v>254</v>
      </c>
      <c r="D113" s="31" t="s">
        <v>27</v>
      </c>
      <c r="E113" s="4" t="s">
        <v>271</v>
      </c>
      <c r="F113" s="5">
        <v>627137360</v>
      </c>
      <c r="G113" s="4"/>
      <c r="H113" s="4" t="s">
        <v>268</v>
      </c>
      <c r="I113" s="5">
        <v>215</v>
      </c>
      <c r="J113" s="4" t="s">
        <v>101</v>
      </c>
      <c r="K113" s="9">
        <v>5</v>
      </c>
      <c r="L113" s="4" t="s">
        <v>263</v>
      </c>
      <c r="M113" s="4" t="s">
        <v>272</v>
      </c>
      <c r="N113" s="4" t="s">
        <v>47</v>
      </c>
      <c r="O113" s="6">
        <v>44982</v>
      </c>
      <c r="P113" s="4" t="s">
        <v>273</v>
      </c>
      <c r="Q113" s="4" t="s">
        <v>260</v>
      </c>
      <c r="R113" s="4" t="s">
        <v>252</v>
      </c>
      <c r="S113" s="4"/>
      <c r="T113" s="4"/>
      <c r="U113" s="4"/>
      <c r="V113" s="4" t="s">
        <v>1372</v>
      </c>
      <c r="W113" s="4"/>
      <c r="X113" s="4"/>
      <c r="Y113" s="4"/>
      <c r="Z113" s="4"/>
      <c r="AA113" s="4"/>
      <c r="AB113" s="4"/>
      <c r="AC113" s="4"/>
      <c r="AD113" s="4">
        <f t="shared" si="1"/>
        <v>7</v>
      </c>
    </row>
    <row r="114" spans="1:30" ht="27" thickBot="1" x14ac:dyDescent="0.3">
      <c r="A114" s="3">
        <v>44972.883622685185</v>
      </c>
      <c r="B114" s="4" t="s">
        <v>253</v>
      </c>
      <c r="C114" s="4" t="s">
        <v>254</v>
      </c>
      <c r="D114" s="31" t="s">
        <v>42</v>
      </c>
      <c r="E114" s="4" t="s">
        <v>274</v>
      </c>
      <c r="F114" s="5">
        <v>650544434</v>
      </c>
      <c r="G114" s="4"/>
      <c r="H114" s="4" t="s">
        <v>262</v>
      </c>
      <c r="I114" s="5">
        <v>22</v>
      </c>
      <c r="J114" s="4" t="s">
        <v>38</v>
      </c>
      <c r="K114" s="9">
        <v>4</v>
      </c>
      <c r="L114" s="4" t="s">
        <v>52</v>
      </c>
      <c r="M114" s="4" t="s">
        <v>258</v>
      </c>
      <c r="N114" s="4" t="s">
        <v>33</v>
      </c>
      <c r="O114" s="6">
        <v>45094</v>
      </c>
      <c r="P114" s="4" t="s">
        <v>275</v>
      </c>
      <c r="Q114" s="4" t="s">
        <v>260</v>
      </c>
      <c r="R114" s="4" t="s">
        <v>36</v>
      </c>
      <c r="S114" s="4"/>
      <c r="T114" s="4"/>
      <c r="U114" s="4"/>
      <c r="V114" s="4" t="s">
        <v>1372</v>
      </c>
      <c r="W114" s="4"/>
      <c r="X114" s="4"/>
      <c r="Y114" s="4"/>
      <c r="Z114" s="4"/>
      <c r="AA114" s="4"/>
      <c r="AB114" s="4"/>
      <c r="AC114" s="4"/>
      <c r="AD114" s="4">
        <f t="shared" si="1"/>
        <v>7</v>
      </c>
    </row>
    <row r="115" spans="1:30" ht="27" thickBot="1" x14ac:dyDescent="0.3">
      <c r="A115" s="3">
        <v>44976.617835648147</v>
      </c>
      <c r="B115" s="4" t="s">
        <v>1769</v>
      </c>
      <c r="C115" s="4" t="s">
        <v>226</v>
      </c>
      <c r="D115" s="31" t="s">
        <v>42</v>
      </c>
      <c r="E115" s="4" t="s">
        <v>276</v>
      </c>
      <c r="F115" s="5">
        <v>622577038</v>
      </c>
      <c r="G115" s="4"/>
      <c r="H115" s="4" t="s">
        <v>277</v>
      </c>
      <c r="I115" s="5">
        <v>5</v>
      </c>
      <c r="J115" s="4" t="s">
        <v>38</v>
      </c>
      <c r="K115" s="5">
        <v>3</v>
      </c>
      <c r="L115" s="4" t="s">
        <v>278</v>
      </c>
      <c r="M115" s="4" t="s">
        <v>279</v>
      </c>
      <c r="N115" s="4" t="s">
        <v>57</v>
      </c>
      <c r="O115" s="6">
        <v>44977</v>
      </c>
      <c r="P115" s="4"/>
      <c r="Q115" s="4" t="s">
        <v>232</v>
      </c>
      <c r="R115" s="4" t="s">
        <v>252</v>
      </c>
      <c r="S115" s="4" t="s">
        <v>109</v>
      </c>
      <c r="T115" s="5">
        <v>3</v>
      </c>
      <c r="U115" s="6">
        <v>44979</v>
      </c>
      <c r="V115" s="4" t="s">
        <v>1358</v>
      </c>
      <c r="W115" s="4"/>
      <c r="X115" s="4"/>
      <c r="Y115" s="4"/>
      <c r="Z115" s="4"/>
      <c r="AA115" s="4"/>
      <c r="AB115" s="4"/>
      <c r="AC115" s="4"/>
      <c r="AD115" s="4">
        <f t="shared" si="1"/>
        <v>8</v>
      </c>
    </row>
    <row r="116" spans="1:30" ht="27" thickBot="1" x14ac:dyDescent="0.3">
      <c r="A116" s="3">
        <v>44976.629895833335</v>
      </c>
      <c r="B116" s="4" t="s">
        <v>1769</v>
      </c>
      <c r="C116" s="4" t="s">
        <v>226</v>
      </c>
      <c r="D116" s="31" t="s">
        <v>27</v>
      </c>
      <c r="E116" s="4" t="s">
        <v>280</v>
      </c>
      <c r="F116" s="5">
        <v>621683998</v>
      </c>
      <c r="G116" s="4"/>
      <c r="H116" s="4" t="s">
        <v>228</v>
      </c>
      <c r="I116" s="5">
        <v>15</v>
      </c>
      <c r="J116" s="4" t="s">
        <v>38</v>
      </c>
      <c r="K116" s="5">
        <v>2</v>
      </c>
      <c r="L116" s="4" t="s">
        <v>281</v>
      </c>
      <c r="M116" s="4" t="s">
        <v>282</v>
      </c>
      <c r="N116" s="4" t="s">
        <v>57</v>
      </c>
      <c r="O116" s="6">
        <v>44986</v>
      </c>
      <c r="P116" s="4"/>
      <c r="Q116" s="4" t="s">
        <v>232</v>
      </c>
      <c r="R116" s="4" t="s">
        <v>67</v>
      </c>
      <c r="S116" s="4"/>
      <c r="T116" s="4"/>
      <c r="U116" s="4"/>
      <c r="V116" s="4" t="s">
        <v>1372</v>
      </c>
      <c r="W116" s="4"/>
      <c r="X116" s="4"/>
      <c r="Y116" s="4"/>
      <c r="Z116" s="4"/>
      <c r="AA116" s="4"/>
      <c r="AB116" s="4"/>
      <c r="AC116" s="4"/>
      <c r="AD116" s="4">
        <f t="shared" si="1"/>
        <v>8</v>
      </c>
    </row>
    <row r="117" spans="1:30" ht="39.75" thickBot="1" x14ac:dyDescent="0.3">
      <c r="A117" s="3">
        <v>44977.467442129629</v>
      </c>
      <c r="B117" s="4" t="s">
        <v>53</v>
      </c>
      <c r="C117" s="4" t="s">
        <v>53</v>
      </c>
      <c r="D117" s="31" t="s">
        <v>27</v>
      </c>
      <c r="E117" s="4" t="s">
        <v>283</v>
      </c>
      <c r="F117" s="5">
        <v>626491118</v>
      </c>
      <c r="G117" s="4"/>
      <c r="H117" s="4" t="s">
        <v>62</v>
      </c>
      <c r="I117" s="5">
        <v>8</v>
      </c>
      <c r="J117" s="4" t="s">
        <v>30</v>
      </c>
      <c r="K117" s="5">
        <v>4</v>
      </c>
      <c r="L117" s="4" t="s">
        <v>284</v>
      </c>
      <c r="M117" s="4" t="s">
        <v>284</v>
      </c>
      <c r="N117" s="4" t="s">
        <v>47</v>
      </c>
      <c r="O117" s="6">
        <v>44976</v>
      </c>
      <c r="P117" s="4"/>
      <c r="Q117" s="4" t="s">
        <v>58</v>
      </c>
      <c r="R117" s="4" t="s">
        <v>36</v>
      </c>
      <c r="S117" s="4" t="s">
        <v>59</v>
      </c>
      <c r="T117" s="5">
        <v>4</v>
      </c>
      <c r="U117" s="6">
        <v>44977</v>
      </c>
      <c r="V117" s="4" t="s">
        <v>1358</v>
      </c>
      <c r="W117" s="4"/>
      <c r="X117" s="4"/>
      <c r="Y117" s="4"/>
      <c r="Z117" s="4"/>
      <c r="AA117" s="4"/>
      <c r="AB117" s="4"/>
      <c r="AC117" s="4"/>
      <c r="AD117" s="4">
        <f t="shared" si="1"/>
        <v>8</v>
      </c>
    </row>
    <row r="118" spans="1:30" ht="27" thickBot="1" x14ac:dyDescent="0.3">
      <c r="A118" s="3">
        <v>44977.469965277778</v>
      </c>
      <c r="B118" s="4" t="s">
        <v>53</v>
      </c>
      <c r="C118" s="4" t="s">
        <v>53</v>
      </c>
      <c r="D118" s="31" t="s">
        <v>27</v>
      </c>
      <c r="E118" s="4" t="s">
        <v>285</v>
      </c>
      <c r="F118" s="5">
        <v>628845822</v>
      </c>
      <c r="G118" s="4"/>
      <c r="H118" s="4" t="s">
        <v>286</v>
      </c>
      <c r="I118" s="5">
        <v>90</v>
      </c>
      <c r="J118" s="4" t="s">
        <v>30</v>
      </c>
      <c r="K118" s="5">
        <v>20</v>
      </c>
      <c r="L118" s="4" t="s">
        <v>287</v>
      </c>
      <c r="M118" s="4" t="s">
        <v>288</v>
      </c>
      <c r="N118" s="4" t="s">
        <v>47</v>
      </c>
      <c r="O118" s="6">
        <v>44976</v>
      </c>
      <c r="P118" s="4"/>
      <c r="Q118" s="4" t="s">
        <v>58</v>
      </c>
      <c r="R118" s="4" t="s">
        <v>36</v>
      </c>
      <c r="S118" s="4" t="s">
        <v>59</v>
      </c>
      <c r="T118" s="5">
        <v>20</v>
      </c>
      <c r="U118" s="6">
        <v>44977</v>
      </c>
      <c r="V118" s="4" t="s">
        <v>1358</v>
      </c>
      <c r="W118" s="4"/>
      <c r="X118" s="4"/>
      <c r="Y118" s="4"/>
      <c r="Z118" s="4"/>
      <c r="AA118" s="4"/>
      <c r="AB118" s="4"/>
      <c r="AC118" s="4"/>
      <c r="AD118" s="4">
        <f t="shared" si="1"/>
        <v>8</v>
      </c>
    </row>
    <row r="119" spans="1:30" ht="39.75" thickBot="1" x14ac:dyDescent="0.3">
      <c r="A119" s="3">
        <v>44978.575138888889</v>
      </c>
      <c r="B119" s="4" t="s">
        <v>1768</v>
      </c>
      <c r="C119" s="4" t="s">
        <v>158</v>
      </c>
      <c r="D119" s="31" t="s">
        <v>27</v>
      </c>
      <c r="E119" s="4" t="s">
        <v>289</v>
      </c>
      <c r="F119" s="5">
        <v>623486083</v>
      </c>
      <c r="G119" s="5">
        <v>0</v>
      </c>
      <c r="H119" s="4" t="s">
        <v>126</v>
      </c>
      <c r="I119" s="5">
        <v>35</v>
      </c>
      <c r="J119" s="4" t="s">
        <v>30</v>
      </c>
      <c r="K119" s="5">
        <v>20</v>
      </c>
      <c r="L119" s="5">
        <v>0</v>
      </c>
      <c r="M119" s="5">
        <v>0</v>
      </c>
      <c r="N119" s="4" t="s">
        <v>57</v>
      </c>
      <c r="O119" s="6">
        <v>44995</v>
      </c>
      <c r="P119" s="4" t="s">
        <v>290</v>
      </c>
      <c r="Q119" s="4" t="s">
        <v>130</v>
      </c>
      <c r="R119" s="4" t="s">
        <v>36</v>
      </c>
      <c r="S119" s="4"/>
      <c r="T119" s="4"/>
      <c r="U119" s="4"/>
      <c r="V119" s="4" t="s">
        <v>1372</v>
      </c>
      <c r="W119" s="4"/>
      <c r="X119" s="4"/>
      <c r="Y119" s="4"/>
      <c r="Z119" s="4"/>
      <c r="AA119" s="4"/>
      <c r="AB119" s="4"/>
      <c r="AC119" s="4"/>
      <c r="AD119" s="4">
        <f t="shared" si="1"/>
        <v>8</v>
      </c>
    </row>
    <row r="120" spans="1:30" ht="39.75" thickBot="1" x14ac:dyDescent="0.3">
      <c r="A120" s="3">
        <v>44978.579583333332</v>
      </c>
      <c r="B120" s="4" t="s">
        <v>1768</v>
      </c>
      <c r="C120" s="4" t="s">
        <v>158</v>
      </c>
      <c r="D120" s="31" t="s">
        <v>42</v>
      </c>
      <c r="E120" s="4" t="s">
        <v>291</v>
      </c>
      <c r="F120" s="5">
        <v>628000478</v>
      </c>
      <c r="G120" s="5">
        <v>0</v>
      </c>
      <c r="H120" s="4" t="s">
        <v>160</v>
      </c>
      <c r="I120" s="5">
        <v>12</v>
      </c>
      <c r="J120" s="4" t="s">
        <v>38</v>
      </c>
      <c r="K120" s="4"/>
      <c r="L120" s="5">
        <v>0</v>
      </c>
      <c r="M120" s="5">
        <v>0</v>
      </c>
      <c r="N120" s="4" t="s">
        <v>57</v>
      </c>
      <c r="O120" s="6">
        <v>45078</v>
      </c>
      <c r="P120" s="4" t="s">
        <v>292</v>
      </c>
      <c r="Q120" s="4" t="s">
        <v>130</v>
      </c>
      <c r="R120" s="4" t="s">
        <v>36</v>
      </c>
      <c r="S120" s="4"/>
      <c r="T120" s="4"/>
      <c r="U120" s="4"/>
      <c r="V120" s="4" t="s">
        <v>1372</v>
      </c>
      <c r="W120" s="4"/>
      <c r="X120" s="4"/>
      <c r="Y120" s="4"/>
      <c r="Z120" s="4"/>
      <c r="AA120" s="4"/>
      <c r="AB120" s="4"/>
      <c r="AC120" s="4"/>
      <c r="AD120" s="4">
        <f t="shared" si="1"/>
        <v>8</v>
      </c>
    </row>
    <row r="121" spans="1:30" ht="39.75" thickBot="1" x14ac:dyDescent="0.3">
      <c r="A121" s="3">
        <v>44978.583449074074</v>
      </c>
      <c r="B121" s="4" t="s">
        <v>1768</v>
      </c>
      <c r="C121" s="4" t="s">
        <v>158</v>
      </c>
      <c r="D121" s="31" t="s">
        <v>27</v>
      </c>
      <c r="E121" s="4" t="s">
        <v>293</v>
      </c>
      <c r="F121" s="5">
        <v>628156512</v>
      </c>
      <c r="G121" s="5">
        <v>0</v>
      </c>
      <c r="H121" s="4" t="s">
        <v>294</v>
      </c>
      <c r="I121" s="5">
        <v>60</v>
      </c>
      <c r="J121" s="4" t="s">
        <v>38</v>
      </c>
      <c r="K121" s="5">
        <v>45</v>
      </c>
      <c r="L121" s="5">
        <v>0</v>
      </c>
      <c r="M121" s="5">
        <v>0</v>
      </c>
      <c r="N121" s="4" t="s">
        <v>47</v>
      </c>
      <c r="O121" s="6">
        <v>45000</v>
      </c>
      <c r="P121" s="4" t="s">
        <v>295</v>
      </c>
      <c r="Q121" s="4" t="s">
        <v>130</v>
      </c>
      <c r="R121" s="4" t="s">
        <v>36</v>
      </c>
      <c r="S121" s="4"/>
      <c r="T121" s="4"/>
      <c r="U121" s="4"/>
      <c r="V121" s="4" t="s">
        <v>1372</v>
      </c>
      <c r="W121" s="4"/>
      <c r="X121" s="4"/>
      <c r="Y121" s="4"/>
      <c r="Z121" s="4"/>
      <c r="AA121" s="4"/>
      <c r="AB121" s="4"/>
      <c r="AC121" s="4"/>
      <c r="AD121" s="4">
        <f t="shared" si="1"/>
        <v>8</v>
      </c>
    </row>
    <row r="122" spans="1:30" ht="39.75" thickBot="1" x14ac:dyDescent="0.3">
      <c r="A122" s="3">
        <v>44978.587337962963</v>
      </c>
      <c r="B122" s="4" t="s">
        <v>1768</v>
      </c>
      <c r="C122" s="4" t="s">
        <v>158</v>
      </c>
      <c r="D122" s="31" t="s">
        <v>27</v>
      </c>
      <c r="E122" s="4" t="s">
        <v>296</v>
      </c>
      <c r="F122" s="5">
        <v>628972657</v>
      </c>
      <c r="G122" s="5">
        <v>0</v>
      </c>
      <c r="H122" s="4" t="s">
        <v>126</v>
      </c>
      <c r="I122" s="5">
        <v>30</v>
      </c>
      <c r="J122" s="4" t="s">
        <v>101</v>
      </c>
      <c r="K122" s="5">
        <v>100</v>
      </c>
      <c r="L122" s="5">
        <v>0</v>
      </c>
      <c r="M122" s="5">
        <v>0</v>
      </c>
      <c r="N122" s="4" t="s">
        <v>47</v>
      </c>
      <c r="O122" s="6">
        <v>45078</v>
      </c>
      <c r="P122" s="4" t="s">
        <v>297</v>
      </c>
      <c r="Q122" s="4" t="s">
        <v>130</v>
      </c>
      <c r="R122" s="4" t="s">
        <v>36</v>
      </c>
      <c r="S122" s="4"/>
      <c r="T122" s="4"/>
      <c r="U122" s="4"/>
      <c r="V122" s="4" t="s">
        <v>1372</v>
      </c>
      <c r="W122" s="4"/>
      <c r="X122" s="4"/>
      <c r="Y122" s="4"/>
      <c r="Z122" s="4"/>
      <c r="AA122" s="4"/>
      <c r="AB122" s="4"/>
      <c r="AC122" s="4"/>
      <c r="AD122" s="4">
        <f t="shared" si="1"/>
        <v>8</v>
      </c>
    </row>
    <row r="123" spans="1:30" ht="39.75" thickBot="1" x14ac:dyDescent="0.3">
      <c r="A123" s="3">
        <v>44978.590960648151</v>
      </c>
      <c r="B123" s="4" t="s">
        <v>1768</v>
      </c>
      <c r="C123" s="4" t="s">
        <v>158</v>
      </c>
      <c r="D123" s="31" t="s">
        <v>42</v>
      </c>
      <c r="E123" s="4" t="s">
        <v>298</v>
      </c>
      <c r="F123" s="5">
        <v>621666431</v>
      </c>
      <c r="G123" s="5">
        <v>0</v>
      </c>
      <c r="H123" s="4" t="s">
        <v>160</v>
      </c>
      <c r="I123" s="5">
        <v>15</v>
      </c>
      <c r="J123" s="4" t="s">
        <v>101</v>
      </c>
      <c r="K123" s="5">
        <v>50</v>
      </c>
      <c r="L123" s="5">
        <v>0</v>
      </c>
      <c r="M123" s="5">
        <v>0</v>
      </c>
      <c r="N123" s="4" t="s">
        <v>47</v>
      </c>
      <c r="O123" s="6">
        <v>44995</v>
      </c>
      <c r="P123" s="4" t="s">
        <v>299</v>
      </c>
      <c r="Q123" s="4" t="s">
        <v>130</v>
      </c>
      <c r="R123" s="4" t="s">
        <v>36</v>
      </c>
      <c r="S123" s="4"/>
      <c r="T123" s="4"/>
      <c r="U123" s="4"/>
      <c r="V123" s="4" t="s">
        <v>1372</v>
      </c>
      <c r="W123" s="4"/>
      <c r="X123" s="4"/>
      <c r="Y123" s="4"/>
      <c r="Z123" s="4"/>
      <c r="AA123" s="4"/>
      <c r="AB123" s="4"/>
      <c r="AC123" s="4"/>
      <c r="AD123" s="4">
        <f t="shared" si="1"/>
        <v>8</v>
      </c>
    </row>
    <row r="124" spans="1:30" ht="39.75" thickBot="1" x14ac:dyDescent="0.3">
      <c r="A124" s="3">
        <v>44978.611250000002</v>
      </c>
      <c r="B124" s="4" t="s">
        <v>1768</v>
      </c>
      <c r="C124" s="4" t="s">
        <v>158</v>
      </c>
      <c r="D124" s="31" t="s">
        <v>42</v>
      </c>
      <c r="E124" s="4" t="s">
        <v>300</v>
      </c>
      <c r="F124" s="5">
        <v>625920834</v>
      </c>
      <c r="G124" s="5">
        <v>0</v>
      </c>
      <c r="H124" s="4" t="s">
        <v>294</v>
      </c>
      <c r="I124" s="5">
        <v>60</v>
      </c>
      <c r="J124" s="4" t="s">
        <v>101</v>
      </c>
      <c r="K124" s="5">
        <v>30</v>
      </c>
      <c r="L124" s="5">
        <v>0</v>
      </c>
      <c r="M124" s="5">
        <v>0</v>
      </c>
      <c r="N124" s="4" t="s">
        <v>47</v>
      </c>
      <c r="O124" s="6">
        <v>44990</v>
      </c>
      <c r="P124" s="4" t="s">
        <v>299</v>
      </c>
      <c r="Q124" s="4" t="s">
        <v>130</v>
      </c>
      <c r="R124" s="4" t="s">
        <v>36</v>
      </c>
      <c r="S124" s="4"/>
      <c r="T124" s="4"/>
      <c r="U124" s="4"/>
      <c r="V124" s="4" t="s">
        <v>1372</v>
      </c>
      <c r="W124" s="4"/>
      <c r="X124" s="4"/>
      <c r="Y124" s="4"/>
      <c r="Z124" s="4"/>
      <c r="AA124" s="4"/>
      <c r="AB124" s="4"/>
      <c r="AC124" s="4"/>
      <c r="AD124" s="4">
        <f t="shared" si="1"/>
        <v>8</v>
      </c>
    </row>
    <row r="125" spans="1:30" ht="39.75" thickBot="1" x14ac:dyDescent="0.3">
      <c r="A125" s="3">
        <v>44978.614525462966</v>
      </c>
      <c r="B125" s="4" t="s">
        <v>1768</v>
      </c>
      <c r="C125" s="4" t="s">
        <v>158</v>
      </c>
      <c r="D125" s="31" t="s">
        <v>42</v>
      </c>
      <c r="E125" s="4" t="s">
        <v>301</v>
      </c>
      <c r="F125" s="5">
        <v>623832792</v>
      </c>
      <c r="G125" s="5">
        <v>0</v>
      </c>
      <c r="H125" s="4" t="s">
        <v>160</v>
      </c>
      <c r="I125" s="5">
        <v>25</v>
      </c>
      <c r="J125" s="4" t="s">
        <v>101</v>
      </c>
      <c r="K125" s="5">
        <v>40</v>
      </c>
      <c r="L125" s="5">
        <v>0</v>
      </c>
      <c r="M125" s="5">
        <v>0</v>
      </c>
      <c r="N125" s="4" t="s">
        <v>47</v>
      </c>
      <c r="O125" s="6">
        <v>44995</v>
      </c>
      <c r="P125" s="4" t="s">
        <v>299</v>
      </c>
      <c r="Q125" s="4" t="s">
        <v>130</v>
      </c>
      <c r="R125" s="4" t="s">
        <v>36</v>
      </c>
      <c r="S125" s="4"/>
      <c r="T125" s="4"/>
      <c r="U125" s="4"/>
      <c r="V125" s="4" t="s">
        <v>1372</v>
      </c>
      <c r="W125" s="4"/>
      <c r="X125" s="4"/>
      <c r="Y125" s="4"/>
      <c r="Z125" s="4"/>
      <c r="AA125" s="4"/>
      <c r="AB125" s="4"/>
      <c r="AC125" s="4"/>
      <c r="AD125" s="4">
        <f t="shared" si="1"/>
        <v>8</v>
      </c>
    </row>
    <row r="126" spans="1:30" ht="39.75" thickBot="1" x14ac:dyDescent="0.3">
      <c r="A126" s="3">
        <v>44978.617962962962</v>
      </c>
      <c r="B126" s="4" t="s">
        <v>1768</v>
      </c>
      <c r="C126" s="4" t="s">
        <v>158</v>
      </c>
      <c r="D126" s="31" t="s">
        <v>42</v>
      </c>
      <c r="E126" s="4" t="s">
        <v>302</v>
      </c>
      <c r="F126" s="5">
        <v>625763959</v>
      </c>
      <c r="G126" s="5">
        <v>0</v>
      </c>
      <c r="H126" s="4" t="s">
        <v>303</v>
      </c>
      <c r="I126" s="5">
        <v>60</v>
      </c>
      <c r="J126" s="4" t="s">
        <v>101</v>
      </c>
      <c r="K126" s="5">
        <v>12</v>
      </c>
      <c r="L126" s="5">
        <v>0</v>
      </c>
      <c r="M126" s="5">
        <v>0</v>
      </c>
      <c r="N126" s="4" t="s">
        <v>47</v>
      </c>
      <c r="O126" s="6">
        <v>44972</v>
      </c>
      <c r="P126" s="4" t="s">
        <v>299</v>
      </c>
      <c r="Q126" s="4" t="s">
        <v>130</v>
      </c>
      <c r="R126" s="4" t="s">
        <v>36</v>
      </c>
      <c r="S126" s="4"/>
      <c r="T126" s="4"/>
      <c r="U126" s="4"/>
      <c r="V126" s="4" t="s">
        <v>1372</v>
      </c>
      <c r="W126" s="4"/>
      <c r="X126" s="4"/>
      <c r="Y126" s="4"/>
      <c r="Z126" s="4"/>
      <c r="AA126" s="4"/>
      <c r="AB126" s="4"/>
      <c r="AC126" s="4"/>
      <c r="AD126" s="4">
        <f t="shared" si="1"/>
        <v>8</v>
      </c>
    </row>
    <row r="127" spans="1:30" ht="39.75" thickBot="1" x14ac:dyDescent="0.3">
      <c r="A127" s="3">
        <v>44978.621087962965</v>
      </c>
      <c r="B127" s="4" t="s">
        <v>1768</v>
      </c>
      <c r="C127" s="4" t="s">
        <v>158</v>
      </c>
      <c r="D127" s="31" t="s">
        <v>42</v>
      </c>
      <c r="E127" s="4" t="s">
        <v>304</v>
      </c>
      <c r="F127" s="5">
        <v>620231554</v>
      </c>
      <c r="G127" s="5">
        <v>0</v>
      </c>
      <c r="H127" s="4" t="s">
        <v>305</v>
      </c>
      <c r="I127" s="5">
        <v>47</v>
      </c>
      <c r="J127" s="4" t="s">
        <v>101</v>
      </c>
      <c r="K127" s="5">
        <v>7</v>
      </c>
      <c r="L127" s="5">
        <v>0</v>
      </c>
      <c r="M127" s="5">
        <v>0</v>
      </c>
      <c r="N127" s="4" t="s">
        <v>47</v>
      </c>
      <c r="O127" s="6">
        <v>45078</v>
      </c>
      <c r="P127" s="4" t="s">
        <v>306</v>
      </c>
      <c r="Q127" s="4" t="s">
        <v>130</v>
      </c>
      <c r="R127" s="4" t="s">
        <v>36</v>
      </c>
      <c r="S127" s="4"/>
      <c r="T127" s="4"/>
      <c r="U127" s="4"/>
      <c r="V127" s="4" t="s">
        <v>1372</v>
      </c>
      <c r="W127" s="4"/>
      <c r="X127" s="4"/>
      <c r="Y127" s="4"/>
      <c r="Z127" s="4"/>
      <c r="AA127" s="4"/>
      <c r="AB127" s="4"/>
      <c r="AC127" s="4"/>
      <c r="AD127" s="4">
        <f t="shared" si="1"/>
        <v>8</v>
      </c>
    </row>
    <row r="128" spans="1:30" ht="39.75" thickBot="1" x14ac:dyDescent="0.3">
      <c r="A128" s="3">
        <v>44978.624201388891</v>
      </c>
      <c r="B128" s="4" t="s">
        <v>1768</v>
      </c>
      <c r="C128" s="4" t="s">
        <v>158</v>
      </c>
      <c r="D128" s="31" t="s">
        <v>42</v>
      </c>
      <c r="E128" s="4" t="s">
        <v>159</v>
      </c>
      <c r="F128" s="5">
        <v>625115036</v>
      </c>
      <c r="G128" s="5">
        <v>0</v>
      </c>
      <c r="H128" s="4" t="s">
        <v>160</v>
      </c>
      <c r="I128" s="5">
        <v>18</v>
      </c>
      <c r="J128" s="4" t="s">
        <v>101</v>
      </c>
      <c r="K128" s="5">
        <v>40</v>
      </c>
      <c r="L128" s="5">
        <v>0</v>
      </c>
      <c r="M128" s="5">
        <v>0</v>
      </c>
      <c r="N128" s="4" t="s">
        <v>47</v>
      </c>
      <c r="O128" s="6">
        <v>44990</v>
      </c>
      <c r="P128" s="4" t="s">
        <v>299</v>
      </c>
      <c r="Q128" s="4" t="s">
        <v>130</v>
      </c>
      <c r="R128" s="4" t="s">
        <v>36</v>
      </c>
      <c r="S128" s="4"/>
      <c r="T128" s="4"/>
      <c r="U128" s="4"/>
      <c r="V128" s="4" t="s">
        <v>1372</v>
      </c>
      <c r="W128" s="4"/>
      <c r="X128" s="4"/>
      <c r="Y128" s="4"/>
      <c r="Z128" s="4"/>
      <c r="AA128" s="4"/>
      <c r="AB128" s="4"/>
      <c r="AC128" s="4"/>
      <c r="AD128" s="4">
        <f t="shared" si="1"/>
        <v>8</v>
      </c>
    </row>
    <row r="129" spans="1:30" ht="39.75" thickBot="1" x14ac:dyDescent="0.3">
      <c r="A129" s="3">
        <v>44978.62976851852</v>
      </c>
      <c r="B129" s="4" t="s">
        <v>1768</v>
      </c>
      <c r="C129" s="4" t="s">
        <v>158</v>
      </c>
      <c r="D129" s="31" t="s">
        <v>42</v>
      </c>
      <c r="E129" s="4" t="s">
        <v>307</v>
      </c>
      <c r="F129" s="5">
        <v>622377618</v>
      </c>
      <c r="G129" s="5">
        <v>0</v>
      </c>
      <c r="H129" s="4" t="s">
        <v>308</v>
      </c>
      <c r="I129" s="5">
        <v>50</v>
      </c>
      <c r="J129" s="4" t="s">
        <v>101</v>
      </c>
      <c r="K129" s="5">
        <v>40</v>
      </c>
      <c r="L129" s="5">
        <v>0</v>
      </c>
      <c r="M129" s="5">
        <v>0</v>
      </c>
      <c r="N129" s="4" t="s">
        <v>47</v>
      </c>
      <c r="O129" s="6">
        <v>44995</v>
      </c>
      <c r="P129" s="4" t="s">
        <v>299</v>
      </c>
      <c r="Q129" s="4" t="s">
        <v>130</v>
      </c>
      <c r="R129" s="4" t="s">
        <v>36</v>
      </c>
      <c r="S129" s="4"/>
      <c r="T129" s="4"/>
      <c r="U129" s="4"/>
      <c r="V129" s="4" t="s">
        <v>1372</v>
      </c>
      <c r="W129" s="4"/>
      <c r="X129" s="4"/>
      <c r="Y129" s="4"/>
      <c r="Z129" s="4"/>
      <c r="AA129" s="4"/>
      <c r="AB129" s="4"/>
      <c r="AC129" s="4"/>
      <c r="AD129" s="4">
        <f t="shared" si="1"/>
        <v>8</v>
      </c>
    </row>
    <row r="130" spans="1:30" ht="39.75" thickBot="1" x14ac:dyDescent="0.3">
      <c r="A130" s="3">
        <v>44978.635462962964</v>
      </c>
      <c r="B130" s="4" t="s">
        <v>1768</v>
      </c>
      <c r="C130" s="4" t="s">
        <v>158</v>
      </c>
      <c r="D130" s="31" t="s">
        <v>42</v>
      </c>
      <c r="E130" s="4" t="s">
        <v>309</v>
      </c>
      <c r="F130" s="5">
        <v>623176610</v>
      </c>
      <c r="G130" s="5">
        <v>0</v>
      </c>
      <c r="H130" s="4" t="s">
        <v>308</v>
      </c>
      <c r="I130" s="5">
        <v>50</v>
      </c>
      <c r="J130" s="4" t="s">
        <v>101</v>
      </c>
      <c r="K130" s="5">
        <v>20</v>
      </c>
      <c r="L130" s="4" t="s">
        <v>161</v>
      </c>
      <c r="M130" s="5">
        <v>0</v>
      </c>
      <c r="N130" s="4" t="s">
        <v>47</v>
      </c>
      <c r="O130" s="6">
        <v>45078</v>
      </c>
      <c r="P130" s="4" t="s">
        <v>310</v>
      </c>
      <c r="Q130" s="4" t="s">
        <v>130</v>
      </c>
      <c r="R130" s="4" t="s">
        <v>36</v>
      </c>
      <c r="S130" s="4"/>
      <c r="T130" s="4"/>
      <c r="U130" s="4"/>
      <c r="V130" s="4" t="s">
        <v>1372</v>
      </c>
      <c r="W130" s="4"/>
      <c r="X130" s="4"/>
      <c r="Y130" s="4"/>
      <c r="Z130" s="4"/>
      <c r="AA130" s="4"/>
      <c r="AB130" s="4"/>
      <c r="AC130" s="4"/>
      <c r="AD130" s="4">
        <f t="shared" si="1"/>
        <v>8</v>
      </c>
    </row>
    <row r="131" spans="1:30" ht="39.75" thickBot="1" x14ac:dyDescent="0.3">
      <c r="A131" s="3">
        <v>44978.640625</v>
      </c>
      <c r="B131" s="4" t="s">
        <v>1768</v>
      </c>
      <c r="C131" s="4" t="s">
        <v>158</v>
      </c>
      <c r="D131" s="31" t="s">
        <v>42</v>
      </c>
      <c r="E131" s="4" t="s">
        <v>311</v>
      </c>
      <c r="F131" s="5">
        <v>623806610</v>
      </c>
      <c r="G131" s="5">
        <v>0</v>
      </c>
      <c r="H131" s="4" t="s">
        <v>308</v>
      </c>
      <c r="I131" s="5">
        <v>50</v>
      </c>
      <c r="J131" s="4" t="s">
        <v>101</v>
      </c>
      <c r="K131" s="5">
        <v>30</v>
      </c>
      <c r="L131" s="5">
        <v>0</v>
      </c>
      <c r="M131" s="5">
        <v>0</v>
      </c>
      <c r="N131" s="4" t="s">
        <v>47</v>
      </c>
      <c r="O131" s="6">
        <v>45078</v>
      </c>
      <c r="P131" s="4" t="s">
        <v>312</v>
      </c>
      <c r="Q131" s="4" t="s">
        <v>130</v>
      </c>
      <c r="R131" s="4" t="s">
        <v>36</v>
      </c>
      <c r="S131" s="4"/>
      <c r="T131" s="4"/>
      <c r="U131" s="4"/>
      <c r="V131" s="4" t="s">
        <v>1372</v>
      </c>
      <c r="W131" s="4"/>
      <c r="X131" s="4"/>
      <c r="Y131" s="4"/>
      <c r="Z131" s="4"/>
      <c r="AA131" s="4"/>
      <c r="AB131" s="4"/>
      <c r="AC131" s="4"/>
      <c r="AD131" s="4">
        <f t="shared" ref="AD131:AD194" si="2">WEEKNUM(LEFT(A131,10))</f>
        <v>8</v>
      </c>
    </row>
    <row r="132" spans="1:30" ht="27" thickBot="1" x14ac:dyDescent="0.3">
      <c r="A132" s="3">
        <v>44978.680810185186</v>
      </c>
      <c r="B132" s="4" t="s">
        <v>234</v>
      </c>
      <c r="C132" s="4" t="s">
        <v>235</v>
      </c>
      <c r="D132" s="31" t="s">
        <v>42</v>
      </c>
      <c r="E132" s="4" t="s">
        <v>313</v>
      </c>
      <c r="F132" s="5">
        <v>628779113</v>
      </c>
      <c r="G132" s="4"/>
      <c r="H132" s="4" t="s">
        <v>237</v>
      </c>
      <c r="I132" s="5">
        <v>72</v>
      </c>
      <c r="J132" s="4" t="s">
        <v>30</v>
      </c>
      <c r="K132" s="5">
        <v>5</v>
      </c>
      <c r="L132" s="4" t="s">
        <v>314</v>
      </c>
      <c r="M132" s="4" t="s">
        <v>314</v>
      </c>
      <c r="N132" s="4" t="s">
        <v>33</v>
      </c>
      <c r="O132" s="6">
        <v>44979</v>
      </c>
      <c r="P132" s="4"/>
      <c r="Q132" s="4" t="s">
        <v>240</v>
      </c>
      <c r="R132" s="4" t="s">
        <v>36</v>
      </c>
      <c r="S132" s="4" t="s">
        <v>59</v>
      </c>
      <c r="T132" s="5">
        <v>5</v>
      </c>
      <c r="U132" s="6">
        <v>44978</v>
      </c>
      <c r="V132" s="4" t="s">
        <v>1358</v>
      </c>
      <c r="W132" s="4"/>
      <c r="X132" s="4"/>
      <c r="Y132" s="4"/>
      <c r="Z132" s="4"/>
      <c r="AA132" s="4"/>
      <c r="AB132" s="4"/>
      <c r="AC132" s="4"/>
      <c r="AD132" s="4">
        <f t="shared" si="2"/>
        <v>8</v>
      </c>
    </row>
    <row r="133" spans="1:30" ht="27" thickBot="1" x14ac:dyDescent="0.3">
      <c r="A133" s="3">
        <v>44982.340127314812</v>
      </c>
      <c r="B133" s="4" t="s">
        <v>1769</v>
      </c>
      <c r="C133" s="4" t="s">
        <v>226</v>
      </c>
      <c r="D133" s="31" t="s">
        <v>42</v>
      </c>
      <c r="E133" s="4" t="s">
        <v>315</v>
      </c>
      <c r="F133" s="5">
        <v>621902292</v>
      </c>
      <c r="G133" s="4"/>
      <c r="H133" s="4" t="s">
        <v>228</v>
      </c>
      <c r="I133" s="5">
        <v>13</v>
      </c>
      <c r="J133" s="4" t="s">
        <v>30</v>
      </c>
      <c r="K133" s="5">
        <v>5</v>
      </c>
      <c r="L133" s="4" t="s">
        <v>93</v>
      </c>
      <c r="M133" s="4" t="s">
        <v>316</v>
      </c>
      <c r="N133" s="4" t="s">
        <v>33</v>
      </c>
      <c r="O133" s="6">
        <v>44982</v>
      </c>
      <c r="P133" s="4"/>
      <c r="Q133" s="4" t="s">
        <v>232</v>
      </c>
      <c r="R133" s="4" t="s">
        <v>36</v>
      </c>
      <c r="S133" s="4" t="s">
        <v>59</v>
      </c>
      <c r="T133" s="5">
        <v>5</v>
      </c>
      <c r="U133" s="6">
        <v>44982</v>
      </c>
      <c r="V133" s="4" t="s">
        <v>1358</v>
      </c>
      <c r="W133" s="4"/>
      <c r="X133" s="4"/>
      <c r="Y133" s="4"/>
      <c r="Z133" s="4"/>
      <c r="AA133" s="4"/>
      <c r="AB133" s="4"/>
      <c r="AC133" s="4"/>
      <c r="AD133" s="4">
        <f t="shared" si="2"/>
        <v>8</v>
      </c>
    </row>
    <row r="134" spans="1:30" ht="27" thickBot="1" x14ac:dyDescent="0.3">
      <c r="A134" s="3">
        <v>44982.695902777778</v>
      </c>
      <c r="B134" s="4" t="s">
        <v>1769</v>
      </c>
      <c r="C134" s="4" t="s">
        <v>226</v>
      </c>
      <c r="D134" s="31" t="s">
        <v>42</v>
      </c>
      <c r="E134" s="4" t="s">
        <v>317</v>
      </c>
      <c r="F134" s="5">
        <v>624468963</v>
      </c>
      <c r="G134" s="4"/>
      <c r="H134" s="4" t="s">
        <v>228</v>
      </c>
      <c r="I134" s="5">
        <v>18</v>
      </c>
      <c r="J134" s="4" t="s">
        <v>38</v>
      </c>
      <c r="K134" s="5">
        <v>1</v>
      </c>
      <c r="L134" s="4" t="s">
        <v>318</v>
      </c>
      <c r="M134" s="4" t="s">
        <v>316</v>
      </c>
      <c r="N134" s="4" t="s">
        <v>90</v>
      </c>
      <c r="O134" s="6">
        <v>44985</v>
      </c>
      <c r="P134" s="4"/>
      <c r="Q134" s="4" t="s">
        <v>232</v>
      </c>
      <c r="R134" s="4" t="s">
        <v>36</v>
      </c>
      <c r="S134" s="4"/>
      <c r="T134" s="4"/>
      <c r="U134" s="4"/>
      <c r="V134" s="4" t="s">
        <v>1372</v>
      </c>
      <c r="W134" s="4"/>
      <c r="X134" s="4"/>
      <c r="Y134" s="4"/>
      <c r="Z134" s="4"/>
      <c r="AA134" s="4"/>
      <c r="AB134" s="4"/>
      <c r="AC134" s="4"/>
      <c r="AD134" s="4">
        <f t="shared" si="2"/>
        <v>8</v>
      </c>
    </row>
    <row r="135" spans="1:30" ht="39.75" thickBot="1" x14ac:dyDescent="0.3">
      <c r="A135" s="3">
        <v>44983.839189814818</v>
      </c>
      <c r="B135" s="4" t="s">
        <v>79</v>
      </c>
      <c r="C135" s="4" t="s">
        <v>80</v>
      </c>
      <c r="D135" s="31" t="s">
        <v>42</v>
      </c>
      <c r="E135" s="4" t="s">
        <v>319</v>
      </c>
      <c r="F135" s="5">
        <v>622038835</v>
      </c>
      <c r="G135" s="5">
        <v>0</v>
      </c>
      <c r="H135" s="4" t="s">
        <v>92</v>
      </c>
      <c r="I135" s="5">
        <v>95</v>
      </c>
      <c r="J135" s="4" t="s">
        <v>30</v>
      </c>
      <c r="K135" s="5">
        <v>15</v>
      </c>
      <c r="L135" s="4" t="s">
        <v>320</v>
      </c>
      <c r="M135" s="4" t="s">
        <v>89</v>
      </c>
      <c r="N135" s="4" t="s">
        <v>90</v>
      </c>
      <c r="O135" s="6">
        <v>44988</v>
      </c>
      <c r="P135" s="4" t="s">
        <v>321</v>
      </c>
      <c r="Q135" s="4" t="s">
        <v>86</v>
      </c>
      <c r="R135" s="4" t="s">
        <v>36</v>
      </c>
      <c r="S135" s="4" t="s">
        <v>59</v>
      </c>
      <c r="T135" s="5">
        <v>15</v>
      </c>
      <c r="U135" s="6">
        <v>44983</v>
      </c>
      <c r="V135" s="4" t="s">
        <v>1359</v>
      </c>
      <c r="W135" s="4"/>
      <c r="X135" s="4"/>
      <c r="Y135" s="4"/>
      <c r="Z135" s="4"/>
      <c r="AA135" s="4"/>
      <c r="AB135" s="4"/>
      <c r="AC135" s="4"/>
      <c r="AD135" s="4">
        <f t="shared" si="2"/>
        <v>9</v>
      </c>
    </row>
    <row r="136" spans="1:30" ht="27" thickBot="1" x14ac:dyDescent="0.3">
      <c r="A136" s="3">
        <v>44985.526053240741</v>
      </c>
      <c r="B136" s="4" t="s">
        <v>1769</v>
      </c>
      <c r="C136" s="4" t="s">
        <v>226</v>
      </c>
      <c r="D136" s="31" t="s">
        <v>42</v>
      </c>
      <c r="E136" s="4" t="s">
        <v>322</v>
      </c>
      <c r="F136" s="5">
        <v>622549090</v>
      </c>
      <c r="G136" s="4"/>
      <c r="H136" s="4" t="s">
        <v>228</v>
      </c>
      <c r="I136" s="5">
        <v>13</v>
      </c>
      <c r="J136" s="4" t="s">
        <v>30</v>
      </c>
      <c r="K136" s="5">
        <v>5</v>
      </c>
      <c r="L136" s="4" t="s">
        <v>323</v>
      </c>
      <c r="M136" s="4" t="s">
        <v>316</v>
      </c>
      <c r="N136" s="4" t="s">
        <v>33</v>
      </c>
      <c r="O136" s="6">
        <v>44980</v>
      </c>
      <c r="P136" s="4"/>
      <c r="Q136" s="4" t="s">
        <v>232</v>
      </c>
      <c r="R136" s="4" t="s">
        <v>36</v>
      </c>
      <c r="S136" s="4" t="s">
        <v>59</v>
      </c>
      <c r="T136" s="5">
        <v>5</v>
      </c>
      <c r="U136" s="6">
        <v>44985</v>
      </c>
      <c r="V136" s="4" t="s">
        <v>1359</v>
      </c>
      <c r="W136" s="4"/>
      <c r="X136" s="4"/>
      <c r="Y136" s="4"/>
      <c r="Z136" s="4"/>
      <c r="AA136" s="4"/>
      <c r="AB136" s="4"/>
      <c r="AC136" s="4"/>
      <c r="AD136" s="4">
        <f t="shared" si="2"/>
        <v>9</v>
      </c>
    </row>
    <row r="137" spans="1:30" ht="103.5" thickBot="1" x14ac:dyDescent="0.3">
      <c r="A137" s="3">
        <v>44985.534386574072</v>
      </c>
      <c r="B137" s="4" t="s">
        <v>1769</v>
      </c>
      <c r="C137" s="4" t="s">
        <v>226</v>
      </c>
      <c r="D137" s="31" t="s">
        <v>42</v>
      </c>
      <c r="E137" s="4" t="s">
        <v>227</v>
      </c>
      <c r="F137" s="5">
        <v>622869482</v>
      </c>
      <c r="G137" s="4"/>
      <c r="H137" s="4" t="s">
        <v>228</v>
      </c>
      <c r="I137" s="5">
        <v>13</v>
      </c>
      <c r="J137" s="4" t="s">
        <v>38</v>
      </c>
      <c r="K137" s="5">
        <v>4</v>
      </c>
      <c r="L137" s="4" t="s">
        <v>324</v>
      </c>
      <c r="M137" s="4" t="s">
        <v>325</v>
      </c>
      <c r="N137" s="4" t="s">
        <v>57</v>
      </c>
      <c r="O137" s="6">
        <v>44967</v>
      </c>
      <c r="P137" s="4"/>
      <c r="Q137" s="4" t="s">
        <v>232</v>
      </c>
      <c r="R137" s="4" t="s">
        <v>67</v>
      </c>
      <c r="S137" s="4"/>
      <c r="T137" s="4"/>
      <c r="U137" s="4"/>
      <c r="V137" s="4" t="s">
        <v>1372</v>
      </c>
      <c r="W137" s="4"/>
      <c r="X137" s="4"/>
      <c r="Y137" s="4"/>
      <c r="Z137" s="4"/>
      <c r="AA137" s="4"/>
      <c r="AB137" s="4"/>
      <c r="AC137" s="4"/>
      <c r="AD137" s="4">
        <f t="shared" si="2"/>
        <v>9</v>
      </c>
    </row>
    <row r="138" spans="1:30" ht="27" thickBot="1" x14ac:dyDescent="0.3">
      <c r="A138" s="3">
        <v>44985.561284722222</v>
      </c>
      <c r="B138" s="4" t="s">
        <v>1769</v>
      </c>
      <c r="C138" s="4" t="s">
        <v>226</v>
      </c>
      <c r="D138" s="31" t="s">
        <v>42</v>
      </c>
      <c r="E138" s="4" t="s">
        <v>276</v>
      </c>
      <c r="F138" s="5">
        <v>622577038</v>
      </c>
      <c r="G138" s="4"/>
      <c r="H138" s="4" t="s">
        <v>277</v>
      </c>
      <c r="I138" s="5">
        <v>5</v>
      </c>
      <c r="J138" s="4" t="s">
        <v>38</v>
      </c>
      <c r="K138" s="5">
        <v>3</v>
      </c>
      <c r="L138" s="4" t="s">
        <v>278</v>
      </c>
      <c r="M138" s="4" t="s">
        <v>326</v>
      </c>
      <c r="N138" s="4" t="s">
        <v>57</v>
      </c>
      <c r="O138" s="6">
        <v>44976</v>
      </c>
      <c r="P138" s="4"/>
      <c r="Q138" s="4" t="s">
        <v>232</v>
      </c>
      <c r="R138" s="4" t="s">
        <v>252</v>
      </c>
      <c r="S138" s="4"/>
      <c r="T138" s="4"/>
      <c r="U138" s="4"/>
      <c r="V138" s="4" t="s">
        <v>1372</v>
      </c>
      <c r="W138" s="4"/>
      <c r="X138" s="4"/>
      <c r="Y138" s="4"/>
      <c r="Z138" s="4"/>
      <c r="AA138" s="4"/>
      <c r="AB138" s="4"/>
      <c r="AC138" s="4"/>
      <c r="AD138" s="4">
        <f t="shared" si="2"/>
        <v>9</v>
      </c>
    </row>
    <row r="139" spans="1:30" ht="27" thickBot="1" x14ac:dyDescent="0.3">
      <c r="A139" s="3">
        <v>44986.419791666667</v>
      </c>
      <c r="B139" s="4" t="s">
        <v>1769</v>
      </c>
      <c r="C139" s="4" t="s">
        <v>226</v>
      </c>
      <c r="D139" s="31" t="s">
        <v>42</v>
      </c>
      <c r="E139" s="4" t="s">
        <v>327</v>
      </c>
      <c r="F139" s="5">
        <v>624400963</v>
      </c>
      <c r="G139" s="4"/>
      <c r="H139" s="4" t="s">
        <v>228</v>
      </c>
      <c r="I139" s="5">
        <v>13</v>
      </c>
      <c r="J139" s="4" t="s">
        <v>30</v>
      </c>
      <c r="K139" s="5">
        <v>3</v>
      </c>
      <c r="L139" s="4" t="s">
        <v>93</v>
      </c>
      <c r="M139" s="4" t="s">
        <v>316</v>
      </c>
      <c r="N139" s="4" t="s">
        <v>33</v>
      </c>
      <c r="O139" s="6">
        <v>44986</v>
      </c>
      <c r="P139" s="4"/>
      <c r="Q139" s="4" t="s">
        <v>232</v>
      </c>
      <c r="R139" s="4" t="s">
        <v>36</v>
      </c>
      <c r="S139" s="4" t="s">
        <v>59</v>
      </c>
      <c r="T139" s="5">
        <v>3</v>
      </c>
      <c r="U139" s="6">
        <v>44986</v>
      </c>
      <c r="V139" s="4" t="s">
        <v>1359</v>
      </c>
      <c r="W139" s="4"/>
      <c r="X139" s="4"/>
      <c r="Y139" s="4"/>
      <c r="Z139" s="4"/>
      <c r="AA139" s="4"/>
      <c r="AB139" s="4"/>
      <c r="AC139" s="4"/>
      <c r="AD139" s="4">
        <f t="shared" si="2"/>
        <v>9</v>
      </c>
    </row>
    <row r="140" spans="1:30" ht="39.75" thickBot="1" x14ac:dyDescent="0.3">
      <c r="A140" s="3">
        <v>44986.533807870372</v>
      </c>
      <c r="B140" s="4" t="s">
        <v>79</v>
      </c>
      <c r="C140" s="4" t="s">
        <v>80</v>
      </c>
      <c r="D140" s="31" t="s">
        <v>42</v>
      </c>
      <c r="E140" s="4" t="s">
        <v>328</v>
      </c>
      <c r="F140" s="5">
        <v>628045423</v>
      </c>
      <c r="G140" s="5">
        <v>0</v>
      </c>
      <c r="H140" s="4" t="s">
        <v>329</v>
      </c>
      <c r="I140" s="5">
        <v>30</v>
      </c>
      <c r="J140" s="4" t="s">
        <v>38</v>
      </c>
      <c r="K140" s="5">
        <v>10</v>
      </c>
      <c r="L140" s="4" t="s">
        <v>330</v>
      </c>
      <c r="M140" s="4" t="s">
        <v>94</v>
      </c>
      <c r="N140" s="4" t="s">
        <v>47</v>
      </c>
      <c r="O140" s="6">
        <v>45011</v>
      </c>
      <c r="P140" s="4" t="s">
        <v>321</v>
      </c>
      <c r="Q140" s="4" t="s">
        <v>86</v>
      </c>
      <c r="R140" s="4" t="s">
        <v>36</v>
      </c>
      <c r="S140" s="4"/>
      <c r="T140" s="4"/>
      <c r="U140" s="4"/>
      <c r="V140" s="4" t="s">
        <v>1372</v>
      </c>
      <c r="W140" s="4"/>
      <c r="X140" s="4"/>
      <c r="Y140" s="4"/>
      <c r="Z140" s="4"/>
      <c r="AA140" s="4"/>
      <c r="AB140" s="4"/>
      <c r="AC140" s="4"/>
      <c r="AD140" s="4">
        <f t="shared" si="2"/>
        <v>9</v>
      </c>
    </row>
    <row r="141" spans="1:30" ht="39.75" thickBot="1" x14ac:dyDescent="0.3">
      <c r="A141" s="3">
        <v>44986.538564814815</v>
      </c>
      <c r="B141" s="4" t="s">
        <v>79</v>
      </c>
      <c r="C141" s="4" t="s">
        <v>80</v>
      </c>
      <c r="D141" s="31" t="s">
        <v>27</v>
      </c>
      <c r="E141" s="4" t="s">
        <v>331</v>
      </c>
      <c r="F141" s="5">
        <v>621812730</v>
      </c>
      <c r="G141" s="5">
        <v>0</v>
      </c>
      <c r="H141" s="4" t="s">
        <v>332</v>
      </c>
      <c r="I141" s="5">
        <v>155</v>
      </c>
      <c r="J141" s="4" t="s">
        <v>101</v>
      </c>
      <c r="K141" s="5">
        <v>25</v>
      </c>
      <c r="L141" s="4" t="s">
        <v>333</v>
      </c>
      <c r="M141" s="4" t="s">
        <v>89</v>
      </c>
      <c r="N141" s="4" t="s">
        <v>47</v>
      </c>
      <c r="O141" s="6">
        <v>45061</v>
      </c>
      <c r="P141" s="4" t="s">
        <v>334</v>
      </c>
      <c r="Q141" s="4" t="s">
        <v>86</v>
      </c>
      <c r="R141" s="4" t="s">
        <v>36</v>
      </c>
      <c r="S141" s="4"/>
      <c r="T141" s="4"/>
      <c r="U141" s="4"/>
      <c r="V141" s="4" t="s">
        <v>1372</v>
      </c>
      <c r="W141" s="4"/>
      <c r="X141" s="4"/>
      <c r="Y141" s="4"/>
      <c r="Z141" s="4"/>
      <c r="AA141" s="4"/>
      <c r="AB141" s="4"/>
      <c r="AC141" s="4"/>
      <c r="AD141" s="4">
        <f t="shared" si="2"/>
        <v>9</v>
      </c>
    </row>
    <row r="142" spans="1:30" ht="39.75" thickBot="1" x14ac:dyDescent="0.3">
      <c r="A142" s="3">
        <v>44986.543668981481</v>
      </c>
      <c r="B142" s="4" t="s">
        <v>79</v>
      </c>
      <c r="C142" s="4" t="s">
        <v>80</v>
      </c>
      <c r="D142" s="31" t="s">
        <v>42</v>
      </c>
      <c r="E142" s="4" t="s">
        <v>335</v>
      </c>
      <c r="F142" s="5">
        <v>623463992</v>
      </c>
      <c r="G142" s="5">
        <v>0</v>
      </c>
      <c r="H142" s="4" t="s">
        <v>336</v>
      </c>
      <c r="I142" s="5">
        <v>80</v>
      </c>
      <c r="J142" s="4" t="s">
        <v>38</v>
      </c>
      <c r="K142" s="5">
        <v>25</v>
      </c>
      <c r="L142" s="4" t="s">
        <v>337</v>
      </c>
      <c r="M142" s="4" t="s">
        <v>89</v>
      </c>
      <c r="N142" s="4" t="s">
        <v>90</v>
      </c>
      <c r="O142" s="6">
        <v>45051</v>
      </c>
      <c r="P142" s="4" t="s">
        <v>334</v>
      </c>
      <c r="Q142" s="4" t="s">
        <v>86</v>
      </c>
      <c r="R142" s="4" t="s">
        <v>36</v>
      </c>
      <c r="S142" s="4"/>
      <c r="T142" s="4"/>
      <c r="U142" s="4"/>
      <c r="V142" s="4" t="s">
        <v>1372</v>
      </c>
      <c r="W142" s="4"/>
      <c r="X142" s="4"/>
      <c r="Y142" s="4"/>
      <c r="Z142" s="4"/>
      <c r="AA142" s="4"/>
      <c r="AB142" s="4"/>
      <c r="AC142" s="4"/>
      <c r="AD142" s="4">
        <f t="shared" si="2"/>
        <v>9</v>
      </c>
    </row>
    <row r="143" spans="1:30" ht="39.75" thickBot="1" x14ac:dyDescent="0.3">
      <c r="A143" s="3">
        <v>44986.547615740739</v>
      </c>
      <c r="B143" s="4" t="s">
        <v>79</v>
      </c>
      <c r="C143" s="4" t="s">
        <v>80</v>
      </c>
      <c r="D143" s="31" t="s">
        <v>27</v>
      </c>
      <c r="E143" s="4" t="s">
        <v>338</v>
      </c>
      <c r="F143" s="5">
        <v>610592067</v>
      </c>
      <c r="G143" s="5">
        <v>0</v>
      </c>
      <c r="H143" s="4" t="s">
        <v>92</v>
      </c>
      <c r="I143" s="5">
        <v>100</v>
      </c>
      <c r="J143" s="4" t="s">
        <v>101</v>
      </c>
      <c r="K143" s="5">
        <v>50</v>
      </c>
      <c r="L143" s="4" t="s">
        <v>339</v>
      </c>
      <c r="M143" s="4" t="s">
        <v>89</v>
      </c>
      <c r="N143" s="4" t="s">
        <v>90</v>
      </c>
      <c r="O143" s="6">
        <v>45056</v>
      </c>
      <c r="P143" s="4" t="s">
        <v>334</v>
      </c>
      <c r="Q143" s="4" t="s">
        <v>86</v>
      </c>
      <c r="R143" s="4" t="s">
        <v>36</v>
      </c>
      <c r="S143" s="4"/>
      <c r="T143" s="4"/>
      <c r="U143" s="4"/>
      <c r="V143" s="4" t="s">
        <v>1372</v>
      </c>
      <c r="W143" s="4"/>
      <c r="X143" s="4"/>
      <c r="Y143" s="4"/>
      <c r="Z143" s="4"/>
      <c r="AA143" s="4"/>
      <c r="AB143" s="4"/>
      <c r="AC143" s="4"/>
      <c r="AD143" s="4">
        <f t="shared" si="2"/>
        <v>9</v>
      </c>
    </row>
    <row r="144" spans="1:30" ht="39.75" thickBot="1" x14ac:dyDescent="0.3">
      <c r="A144" s="3">
        <v>44986.551539351851</v>
      </c>
      <c r="B144" s="4" t="s">
        <v>79</v>
      </c>
      <c r="C144" s="4" t="s">
        <v>80</v>
      </c>
      <c r="D144" s="31" t="s">
        <v>42</v>
      </c>
      <c r="E144" s="4" t="s">
        <v>340</v>
      </c>
      <c r="F144" s="5">
        <v>621739984</v>
      </c>
      <c r="G144" s="5">
        <v>0</v>
      </c>
      <c r="H144" s="4" t="s">
        <v>92</v>
      </c>
      <c r="I144" s="5">
        <v>95</v>
      </c>
      <c r="J144" s="4" t="s">
        <v>38</v>
      </c>
      <c r="K144" s="5">
        <v>10</v>
      </c>
      <c r="L144" s="4" t="s">
        <v>341</v>
      </c>
      <c r="M144" s="4" t="s">
        <v>89</v>
      </c>
      <c r="N144" s="4" t="s">
        <v>90</v>
      </c>
      <c r="O144" s="6">
        <v>45071</v>
      </c>
      <c r="P144" s="4" t="s">
        <v>321</v>
      </c>
      <c r="Q144" s="4" t="s">
        <v>86</v>
      </c>
      <c r="R144" s="4" t="s">
        <v>36</v>
      </c>
      <c r="S144" s="4"/>
      <c r="T144" s="4"/>
      <c r="U144" s="4"/>
      <c r="V144" s="4" t="s">
        <v>1372</v>
      </c>
      <c r="W144" s="4"/>
      <c r="X144" s="4"/>
      <c r="Y144" s="4"/>
      <c r="Z144" s="4"/>
      <c r="AA144" s="4"/>
      <c r="AB144" s="4"/>
      <c r="AC144" s="4"/>
      <c r="AD144" s="4">
        <f t="shared" si="2"/>
        <v>9</v>
      </c>
    </row>
    <row r="145" spans="1:30" ht="27" thickBot="1" x14ac:dyDescent="0.3">
      <c r="A145" s="3">
        <v>44990.537314814814</v>
      </c>
      <c r="B145" s="4" t="s">
        <v>234</v>
      </c>
      <c r="C145" s="4" t="s">
        <v>235</v>
      </c>
      <c r="D145" s="31" t="s">
        <v>42</v>
      </c>
      <c r="E145" s="4" t="s">
        <v>342</v>
      </c>
      <c r="F145" s="5">
        <v>622497980</v>
      </c>
      <c r="G145" s="4"/>
      <c r="H145" s="4" t="s">
        <v>237</v>
      </c>
      <c r="I145" s="5">
        <v>67</v>
      </c>
      <c r="J145" s="4" t="s">
        <v>30</v>
      </c>
      <c r="K145" s="5">
        <v>4</v>
      </c>
      <c r="L145" s="4" t="s">
        <v>284</v>
      </c>
      <c r="M145" s="4" t="s">
        <v>284</v>
      </c>
      <c r="N145" s="4" t="s">
        <v>47</v>
      </c>
      <c r="O145" s="6">
        <v>44991</v>
      </c>
      <c r="P145" s="4"/>
      <c r="Q145" s="4" t="s">
        <v>240</v>
      </c>
      <c r="R145" s="4" t="s">
        <v>36</v>
      </c>
      <c r="S145" s="4" t="s">
        <v>59</v>
      </c>
      <c r="T145" s="5">
        <v>4</v>
      </c>
      <c r="U145" s="6">
        <v>44990</v>
      </c>
      <c r="V145" s="4" t="s">
        <v>1344</v>
      </c>
      <c r="W145" s="4"/>
      <c r="X145" s="4"/>
      <c r="Y145" s="4"/>
      <c r="Z145" s="4"/>
      <c r="AA145" s="4"/>
      <c r="AB145" s="4"/>
      <c r="AC145" s="4"/>
      <c r="AD145" s="4">
        <f t="shared" si="2"/>
        <v>10</v>
      </c>
    </row>
    <row r="146" spans="1:30" ht="52.5" thickBot="1" x14ac:dyDescent="0.3">
      <c r="A146" s="3">
        <v>44990.598113425927</v>
      </c>
      <c r="B146" s="4" t="s">
        <v>614</v>
      </c>
      <c r="C146" s="4" t="s">
        <v>344</v>
      </c>
      <c r="D146" s="31" t="s">
        <v>27</v>
      </c>
      <c r="E146" s="4" t="s">
        <v>345</v>
      </c>
      <c r="F146" s="5">
        <v>611143366</v>
      </c>
      <c r="G146" s="4"/>
      <c r="H146" s="4" t="s">
        <v>346</v>
      </c>
      <c r="I146" s="5">
        <v>35</v>
      </c>
      <c r="J146" s="4" t="s">
        <v>38</v>
      </c>
      <c r="K146" s="5">
        <v>2</v>
      </c>
      <c r="L146" s="4" t="s">
        <v>347</v>
      </c>
      <c r="M146" s="4" t="s">
        <v>347</v>
      </c>
      <c r="N146" s="4" t="s">
        <v>41</v>
      </c>
      <c r="O146" s="6">
        <v>44991</v>
      </c>
      <c r="P146" s="4"/>
      <c r="Q146" s="4" t="s">
        <v>348</v>
      </c>
      <c r="R146" s="4" t="s">
        <v>349</v>
      </c>
      <c r="S146" s="4" t="s">
        <v>59</v>
      </c>
      <c r="T146" s="5">
        <v>2</v>
      </c>
      <c r="U146" s="6">
        <v>44990</v>
      </c>
      <c r="V146" s="4" t="s">
        <v>1344</v>
      </c>
      <c r="W146" s="4"/>
      <c r="X146" s="4"/>
      <c r="Y146" s="4"/>
      <c r="Z146" s="4"/>
      <c r="AA146" s="4"/>
      <c r="AB146" s="4"/>
      <c r="AC146" s="4"/>
      <c r="AD146" s="4">
        <f t="shared" si="2"/>
        <v>10</v>
      </c>
    </row>
    <row r="147" spans="1:30" ht="52.5" thickBot="1" x14ac:dyDescent="0.3">
      <c r="A147" s="3">
        <v>44990.616932870369</v>
      </c>
      <c r="B147" s="4" t="s">
        <v>614</v>
      </c>
      <c r="C147" s="4" t="s">
        <v>350</v>
      </c>
      <c r="D147" s="31" t="s">
        <v>42</v>
      </c>
      <c r="E147" s="4" t="s">
        <v>351</v>
      </c>
      <c r="F147" s="5">
        <v>627225156</v>
      </c>
      <c r="G147" s="4"/>
      <c r="H147" s="4" t="s">
        <v>352</v>
      </c>
      <c r="I147" s="5">
        <v>25</v>
      </c>
      <c r="J147" s="4" t="s">
        <v>38</v>
      </c>
      <c r="K147" s="5">
        <v>2</v>
      </c>
      <c r="L147" s="4" t="s">
        <v>353</v>
      </c>
      <c r="M147" s="4" t="s">
        <v>354</v>
      </c>
      <c r="N147" s="4" t="s">
        <v>47</v>
      </c>
      <c r="O147" s="6">
        <v>44993</v>
      </c>
      <c r="P147" s="4"/>
      <c r="Q147" s="4" t="s">
        <v>348</v>
      </c>
      <c r="R147" s="4" t="s">
        <v>36</v>
      </c>
      <c r="S147" s="4" t="s">
        <v>59</v>
      </c>
      <c r="T147" s="5">
        <v>2</v>
      </c>
      <c r="U147" s="6">
        <v>44990</v>
      </c>
      <c r="V147" s="4" t="s">
        <v>1344</v>
      </c>
      <c r="W147" s="4"/>
      <c r="X147" s="4"/>
      <c r="Y147" s="4"/>
      <c r="Z147" s="4"/>
      <c r="AA147" s="4"/>
      <c r="AB147" s="4"/>
      <c r="AC147" s="4"/>
      <c r="AD147" s="4">
        <f t="shared" si="2"/>
        <v>10</v>
      </c>
    </row>
    <row r="148" spans="1:30" ht="27" thickBot="1" x14ac:dyDescent="0.3">
      <c r="A148" s="3">
        <v>44991.42428240741</v>
      </c>
      <c r="B148" s="4" t="s">
        <v>53</v>
      </c>
      <c r="C148" s="4" t="s">
        <v>53</v>
      </c>
      <c r="D148" s="31" t="s">
        <v>42</v>
      </c>
      <c r="E148" s="4" t="s">
        <v>355</v>
      </c>
      <c r="F148" s="5">
        <v>621063863</v>
      </c>
      <c r="G148" s="4"/>
      <c r="H148" s="4" t="s">
        <v>62</v>
      </c>
      <c r="I148" s="5">
        <v>9</v>
      </c>
      <c r="J148" s="4" t="s">
        <v>30</v>
      </c>
      <c r="K148" s="9">
        <v>7</v>
      </c>
      <c r="L148" s="4" t="s">
        <v>224</v>
      </c>
      <c r="M148" s="4" t="s">
        <v>224</v>
      </c>
      <c r="N148" s="4" t="s">
        <v>47</v>
      </c>
      <c r="O148" s="6">
        <v>44990</v>
      </c>
      <c r="P148" s="4"/>
      <c r="Q148" s="4" t="s">
        <v>58</v>
      </c>
      <c r="R148" s="4" t="s">
        <v>36</v>
      </c>
      <c r="S148" s="4" t="s">
        <v>59</v>
      </c>
      <c r="T148" s="9">
        <v>7</v>
      </c>
      <c r="U148" s="6">
        <v>44990</v>
      </c>
      <c r="V148" s="4" t="s">
        <v>1344</v>
      </c>
      <c r="W148" s="4"/>
      <c r="X148" s="4"/>
      <c r="Y148" s="4"/>
      <c r="Z148" s="4"/>
      <c r="AA148" s="4"/>
      <c r="AB148" s="4"/>
      <c r="AC148" s="4"/>
      <c r="AD148" s="4">
        <f t="shared" si="2"/>
        <v>10</v>
      </c>
    </row>
    <row r="149" spans="1:30" ht="39.75" thickBot="1" x14ac:dyDescent="0.3">
      <c r="A149" s="3">
        <v>44991.426307870373</v>
      </c>
      <c r="B149" s="4" t="s">
        <v>53</v>
      </c>
      <c r="C149" s="4" t="s">
        <v>53</v>
      </c>
      <c r="D149" s="31" t="s">
        <v>42</v>
      </c>
      <c r="E149" s="4" t="s">
        <v>283</v>
      </c>
      <c r="F149" s="5">
        <v>628022657</v>
      </c>
      <c r="G149" s="4"/>
      <c r="H149" s="4" t="s">
        <v>62</v>
      </c>
      <c r="I149" s="5">
        <v>10</v>
      </c>
      <c r="J149" s="4" t="s">
        <v>30</v>
      </c>
      <c r="K149" s="9">
        <v>2</v>
      </c>
      <c r="L149" s="4" t="s">
        <v>56</v>
      </c>
      <c r="M149" s="4" t="s">
        <v>56</v>
      </c>
      <c r="N149" s="4" t="s">
        <v>57</v>
      </c>
      <c r="O149" s="6">
        <v>44989</v>
      </c>
      <c r="P149" s="4"/>
      <c r="Q149" s="4" t="s">
        <v>58</v>
      </c>
      <c r="R149" s="4" t="s">
        <v>36</v>
      </c>
      <c r="S149" s="4" t="s">
        <v>59</v>
      </c>
      <c r="T149" s="9">
        <v>2</v>
      </c>
      <c r="U149" s="6">
        <v>44990</v>
      </c>
      <c r="V149" s="4" t="s">
        <v>1344</v>
      </c>
      <c r="W149" s="4"/>
      <c r="X149" s="4"/>
      <c r="Y149" s="4"/>
      <c r="Z149" s="4"/>
      <c r="AA149" s="4"/>
      <c r="AB149" s="4"/>
      <c r="AC149" s="4"/>
      <c r="AD149" s="4">
        <f t="shared" si="2"/>
        <v>10</v>
      </c>
    </row>
    <row r="150" spans="1:30" ht="39.75" thickBot="1" x14ac:dyDescent="0.3">
      <c r="A150" s="3">
        <v>44994.465844907405</v>
      </c>
      <c r="B150" s="4" t="s">
        <v>53</v>
      </c>
      <c r="C150" s="4" t="s">
        <v>53</v>
      </c>
      <c r="D150" s="31" t="s">
        <v>27</v>
      </c>
      <c r="E150" s="4" t="s">
        <v>285</v>
      </c>
      <c r="F150" s="5">
        <v>621550643</v>
      </c>
      <c r="G150" s="4"/>
      <c r="H150" s="4" t="s">
        <v>286</v>
      </c>
      <c r="I150" s="5">
        <v>90</v>
      </c>
      <c r="J150" s="4" t="s">
        <v>30</v>
      </c>
      <c r="K150" s="9">
        <v>10</v>
      </c>
      <c r="L150" s="4" t="s">
        <v>356</v>
      </c>
      <c r="M150" s="4" t="s">
        <v>288</v>
      </c>
      <c r="N150" s="4" t="s">
        <v>47</v>
      </c>
      <c r="O150" s="6">
        <v>44996</v>
      </c>
      <c r="P150" s="4"/>
      <c r="Q150" s="4" t="s">
        <v>58</v>
      </c>
      <c r="R150" s="4" t="s">
        <v>36</v>
      </c>
      <c r="S150" s="4" t="s">
        <v>59</v>
      </c>
      <c r="T150" s="9">
        <v>10</v>
      </c>
      <c r="U150" s="6">
        <v>45014</v>
      </c>
      <c r="V150" s="4" t="s">
        <v>1347</v>
      </c>
      <c r="W150" s="4"/>
      <c r="X150" s="4"/>
      <c r="Y150" s="4"/>
      <c r="Z150" s="4"/>
      <c r="AA150" s="4"/>
      <c r="AB150" s="4"/>
      <c r="AC150" s="4"/>
      <c r="AD150" s="4">
        <f t="shared" si="2"/>
        <v>10</v>
      </c>
    </row>
    <row r="151" spans="1:30" ht="39.75" thickBot="1" x14ac:dyDescent="0.3">
      <c r="A151" s="3">
        <v>44995.635763888888</v>
      </c>
      <c r="B151" s="4" t="s">
        <v>79</v>
      </c>
      <c r="C151" s="4" t="s">
        <v>80</v>
      </c>
      <c r="D151" s="31" t="s">
        <v>42</v>
      </c>
      <c r="E151" s="4" t="s">
        <v>357</v>
      </c>
      <c r="F151" s="5">
        <v>628729650</v>
      </c>
      <c r="G151" s="5">
        <v>0</v>
      </c>
      <c r="H151" s="4" t="s">
        <v>82</v>
      </c>
      <c r="I151" s="5">
        <v>95</v>
      </c>
      <c r="J151" s="4" t="s">
        <v>30</v>
      </c>
      <c r="K151" s="5">
        <v>1</v>
      </c>
      <c r="L151" s="4" t="s">
        <v>358</v>
      </c>
      <c r="M151" s="4" t="s">
        <v>89</v>
      </c>
      <c r="N151" s="4" t="s">
        <v>90</v>
      </c>
      <c r="O151" s="6">
        <v>44996</v>
      </c>
      <c r="P151" s="4" t="s">
        <v>85</v>
      </c>
      <c r="Q151" s="4" t="s">
        <v>86</v>
      </c>
      <c r="R151" s="4" t="s">
        <v>36</v>
      </c>
      <c r="S151" s="4" t="s">
        <v>59</v>
      </c>
      <c r="T151" s="5">
        <v>1</v>
      </c>
      <c r="U151" s="6">
        <v>45006</v>
      </c>
      <c r="V151" s="4" t="s">
        <v>1346</v>
      </c>
      <c r="W151" s="4"/>
      <c r="X151" s="4"/>
      <c r="Y151" s="4"/>
      <c r="Z151" s="4"/>
      <c r="AA151" s="4"/>
      <c r="AB151" s="4"/>
      <c r="AC151" s="4"/>
      <c r="AD151" s="4">
        <f t="shared" si="2"/>
        <v>10</v>
      </c>
    </row>
    <row r="152" spans="1:30" ht="65.25" thickBot="1" x14ac:dyDescent="0.3">
      <c r="A152" s="3">
        <v>44998.532048611109</v>
      </c>
      <c r="B152" s="4" t="s">
        <v>25</v>
      </c>
      <c r="C152" s="4" t="s">
        <v>26</v>
      </c>
      <c r="D152" s="31" t="s">
        <v>42</v>
      </c>
      <c r="E152" s="4" t="s">
        <v>359</v>
      </c>
      <c r="F152" s="5">
        <v>621775680</v>
      </c>
      <c r="G152" s="4"/>
      <c r="H152" s="4" t="s">
        <v>49</v>
      </c>
      <c r="I152" s="5">
        <v>15</v>
      </c>
      <c r="J152" s="4" t="s">
        <v>38</v>
      </c>
      <c r="K152" s="5">
        <v>2</v>
      </c>
      <c r="L152" s="4" t="s">
        <v>52</v>
      </c>
      <c r="M152" s="4" t="s">
        <v>32</v>
      </c>
      <c r="N152" s="4" t="s">
        <v>33</v>
      </c>
      <c r="O152" s="6">
        <v>45006</v>
      </c>
      <c r="P152" s="4" t="s">
        <v>34</v>
      </c>
      <c r="Q152" s="4" t="s">
        <v>35</v>
      </c>
      <c r="R152" s="4" t="s">
        <v>36</v>
      </c>
      <c r="S152" s="4" t="s">
        <v>59</v>
      </c>
      <c r="T152" s="5">
        <v>2</v>
      </c>
      <c r="U152" s="6">
        <v>44999</v>
      </c>
      <c r="V152" s="4" t="s">
        <v>1345</v>
      </c>
      <c r="W152" s="4"/>
      <c r="X152" s="4"/>
      <c r="Y152" s="4"/>
      <c r="Z152" s="4"/>
      <c r="AA152" s="4"/>
      <c r="AB152" s="4"/>
      <c r="AC152" s="4"/>
      <c r="AD152" s="4">
        <f t="shared" si="2"/>
        <v>11</v>
      </c>
    </row>
    <row r="153" spans="1:30" ht="27" thickBot="1" x14ac:dyDescent="0.3">
      <c r="A153" s="3">
        <v>44998.54488425926</v>
      </c>
      <c r="B153" s="4" t="s">
        <v>1769</v>
      </c>
      <c r="C153" s="4" t="s">
        <v>226</v>
      </c>
      <c r="D153" s="31" t="s">
        <v>42</v>
      </c>
      <c r="E153" s="4" t="s">
        <v>360</v>
      </c>
      <c r="F153" s="5">
        <v>628436179</v>
      </c>
      <c r="G153" s="4"/>
      <c r="H153" s="4" t="s">
        <v>277</v>
      </c>
      <c r="I153" s="5">
        <v>3</v>
      </c>
      <c r="J153" s="4" t="s">
        <v>38</v>
      </c>
      <c r="K153" s="5">
        <v>3</v>
      </c>
      <c r="L153" s="4" t="s">
        <v>361</v>
      </c>
      <c r="M153" s="4" t="s">
        <v>326</v>
      </c>
      <c r="N153" s="4" t="s">
        <v>57</v>
      </c>
      <c r="O153" s="6">
        <v>44973</v>
      </c>
      <c r="P153" s="4"/>
      <c r="Q153" s="4" t="s">
        <v>232</v>
      </c>
      <c r="R153" s="4" t="s">
        <v>252</v>
      </c>
      <c r="S153" s="4" t="s">
        <v>59</v>
      </c>
      <c r="T153" s="5">
        <v>3</v>
      </c>
      <c r="U153" s="6">
        <v>44973</v>
      </c>
      <c r="V153" s="4" t="s">
        <v>1357</v>
      </c>
      <c r="W153" s="4"/>
      <c r="X153" s="4"/>
      <c r="Y153" s="4"/>
      <c r="Z153" s="4"/>
      <c r="AA153" s="4"/>
      <c r="AB153" s="4"/>
      <c r="AC153" s="4"/>
      <c r="AD153" s="4">
        <f t="shared" si="2"/>
        <v>11</v>
      </c>
    </row>
    <row r="154" spans="1:30" ht="39.75" thickBot="1" x14ac:dyDescent="0.3">
      <c r="A154" s="3">
        <v>45000.534872685188</v>
      </c>
      <c r="B154" s="4" t="s">
        <v>79</v>
      </c>
      <c r="C154" s="4" t="s">
        <v>80</v>
      </c>
      <c r="D154" s="31" t="s">
        <v>42</v>
      </c>
      <c r="E154" s="4" t="s">
        <v>362</v>
      </c>
      <c r="F154" s="5">
        <v>622540775</v>
      </c>
      <c r="G154" s="5">
        <v>0</v>
      </c>
      <c r="H154" s="4" t="s">
        <v>92</v>
      </c>
      <c r="I154" s="5">
        <v>100</v>
      </c>
      <c r="J154" s="4" t="s">
        <v>38</v>
      </c>
      <c r="K154" s="5">
        <v>80</v>
      </c>
      <c r="L154" s="4" t="s">
        <v>363</v>
      </c>
      <c r="M154" s="4" t="s">
        <v>89</v>
      </c>
      <c r="N154" s="4" t="s">
        <v>90</v>
      </c>
      <c r="O154" s="6">
        <v>45021</v>
      </c>
      <c r="P154" s="4" t="s">
        <v>334</v>
      </c>
      <c r="Q154" s="4" t="s">
        <v>86</v>
      </c>
      <c r="R154" s="4" t="s">
        <v>36</v>
      </c>
      <c r="S154" s="4"/>
      <c r="T154" s="4"/>
      <c r="U154" s="4"/>
      <c r="V154" s="4" t="s">
        <v>1372</v>
      </c>
      <c r="W154" s="4"/>
      <c r="X154" s="4"/>
      <c r="Y154" s="4"/>
      <c r="Z154" s="4"/>
      <c r="AA154" s="4"/>
      <c r="AB154" s="4"/>
      <c r="AC154" s="4"/>
      <c r="AD154" s="4">
        <f t="shared" si="2"/>
        <v>11</v>
      </c>
    </row>
    <row r="155" spans="1:30" ht="39.75" thickBot="1" x14ac:dyDescent="0.3">
      <c r="A155" s="3">
        <v>45000.541562500002</v>
      </c>
      <c r="B155" s="4" t="s">
        <v>79</v>
      </c>
      <c r="C155" s="4" t="s">
        <v>80</v>
      </c>
      <c r="D155" s="31" t="s">
        <v>42</v>
      </c>
      <c r="E155" s="4" t="s">
        <v>364</v>
      </c>
      <c r="F155" s="5">
        <v>628483278</v>
      </c>
      <c r="G155" s="5">
        <v>0</v>
      </c>
      <c r="H155" s="4" t="s">
        <v>365</v>
      </c>
      <c r="I155" s="5">
        <v>85</v>
      </c>
      <c r="J155" s="4" t="s">
        <v>30</v>
      </c>
      <c r="K155" s="5">
        <v>10</v>
      </c>
      <c r="L155" s="4" t="s">
        <v>366</v>
      </c>
      <c r="M155" s="4" t="s">
        <v>89</v>
      </c>
      <c r="N155" s="4" t="s">
        <v>90</v>
      </c>
      <c r="O155" s="6">
        <v>45035</v>
      </c>
      <c r="P155" s="4" t="s">
        <v>321</v>
      </c>
      <c r="Q155" s="4" t="s">
        <v>86</v>
      </c>
      <c r="R155" s="4" t="s">
        <v>36</v>
      </c>
      <c r="S155" s="4" t="s">
        <v>59</v>
      </c>
      <c r="T155" s="5">
        <v>10</v>
      </c>
      <c r="U155" s="6">
        <v>45006</v>
      </c>
      <c r="V155" s="4" t="s">
        <v>1346</v>
      </c>
      <c r="W155" s="4"/>
      <c r="X155" s="4"/>
      <c r="Y155" s="4"/>
      <c r="Z155" s="4"/>
      <c r="AA155" s="4"/>
      <c r="AB155" s="4"/>
      <c r="AC155" s="4"/>
      <c r="AD155" s="4">
        <f t="shared" si="2"/>
        <v>11</v>
      </c>
    </row>
    <row r="156" spans="1:30" ht="39.75" thickBot="1" x14ac:dyDescent="0.3">
      <c r="A156" s="3">
        <v>45000.749259259261</v>
      </c>
      <c r="B156" s="4" t="s">
        <v>53</v>
      </c>
      <c r="C156" s="4" t="s">
        <v>53</v>
      </c>
      <c r="D156" s="31" t="s">
        <v>42</v>
      </c>
      <c r="E156" s="8" t="s">
        <v>367</v>
      </c>
      <c r="F156" s="5">
        <v>624196807</v>
      </c>
      <c r="G156" s="4"/>
      <c r="H156" s="4" t="s">
        <v>286</v>
      </c>
      <c r="I156" s="5">
        <v>75</v>
      </c>
      <c r="J156" s="4" t="s">
        <v>30</v>
      </c>
      <c r="K156" s="9">
        <v>2</v>
      </c>
      <c r="L156" s="4" t="s">
        <v>368</v>
      </c>
      <c r="M156" s="4" t="s">
        <v>369</v>
      </c>
      <c r="N156" s="4" t="s">
        <v>33</v>
      </c>
      <c r="O156" s="6">
        <v>45004</v>
      </c>
      <c r="P156" s="4"/>
      <c r="Q156" s="4" t="s">
        <v>58</v>
      </c>
      <c r="R156" s="4" t="s">
        <v>36</v>
      </c>
      <c r="S156" s="4" t="s">
        <v>59</v>
      </c>
      <c r="T156" s="9">
        <v>2</v>
      </c>
      <c r="U156" s="6">
        <v>45005</v>
      </c>
      <c r="V156" s="4" t="s">
        <v>1346</v>
      </c>
      <c r="W156" s="4"/>
      <c r="X156" s="4"/>
      <c r="Y156" s="4"/>
      <c r="Z156" s="4"/>
      <c r="AA156" s="4"/>
      <c r="AB156" s="4"/>
      <c r="AC156" s="4"/>
      <c r="AD156" s="4">
        <f t="shared" si="2"/>
        <v>11</v>
      </c>
    </row>
    <row r="157" spans="1:30" ht="27" thickBot="1" x14ac:dyDescent="0.3">
      <c r="A157" s="3">
        <v>45000.751284722224</v>
      </c>
      <c r="B157" s="4" t="s">
        <v>53</v>
      </c>
      <c r="C157" s="4" t="s">
        <v>53</v>
      </c>
      <c r="D157" s="31" t="s">
        <v>42</v>
      </c>
      <c r="E157" s="8" t="s">
        <v>370</v>
      </c>
      <c r="F157" s="5">
        <v>629394171</v>
      </c>
      <c r="G157" s="4"/>
      <c r="H157" s="4" t="s">
        <v>286</v>
      </c>
      <c r="I157" s="5">
        <v>75</v>
      </c>
      <c r="J157" s="4" t="s">
        <v>30</v>
      </c>
      <c r="K157" s="9">
        <v>2</v>
      </c>
      <c r="L157" s="4" t="s">
        <v>369</v>
      </c>
      <c r="M157" s="4" t="s">
        <v>369</v>
      </c>
      <c r="N157" s="4" t="s">
        <v>33</v>
      </c>
      <c r="O157" s="6">
        <v>45005</v>
      </c>
      <c r="P157" s="4"/>
      <c r="Q157" s="4" t="s">
        <v>58</v>
      </c>
      <c r="R157" s="4" t="s">
        <v>36</v>
      </c>
      <c r="S157" s="4" t="s">
        <v>59</v>
      </c>
      <c r="T157" s="9">
        <v>2</v>
      </c>
      <c r="U157" s="6">
        <v>45005</v>
      </c>
      <c r="V157" s="4" t="s">
        <v>1346</v>
      </c>
      <c r="W157" s="4"/>
      <c r="X157" s="4"/>
      <c r="Y157" s="4"/>
      <c r="Z157" s="4"/>
      <c r="AA157" s="4"/>
      <c r="AB157" s="4"/>
      <c r="AC157" s="4"/>
      <c r="AD157" s="4">
        <f t="shared" si="2"/>
        <v>11</v>
      </c>
    </row>
    <row r="158" spans="1:30" ht="65.25" thickBot="1" x14ac:dyDescent="0.3">
      <c r="A158" s="3">
        <v>45002.407060185185</v>
      </c>
      <c r="B158" s="4" t="s">
        <v>25</v>
      </c>
      <c r="C158" s="4" t="s">
        <v>26</v>
      </c>
      <c r="D158" s="31" t="s">
        <v>42</v>
      </c>
      <c r="E158" s="4" t="s">
        <v>371</v>
      </c>
      <c r="F158" s="5">
        <v>628612762</v>
      </c>
      <c r="G158" s="4"/>
      <c r="H158" s="4" t="s">
        <v>29</v>
      </c>
      <c r="I158" s="5">
        <v>8</v>
      </c>
      <c r="J158" s="4" t="s">
        <v>38</v>
      </c>
      <c r="K158" s="5">
        <v>2</v>
      </c>
      <c r="L158" s="4" t="s">
        <v>52</v>
      </c>
      <c r="M158" s="4" t="s">
        <v>32</v>
      </c>
      <c r="N158" s="4" t="s">
        <v>33</v>
      </c>
      <c r="O158" s="6">
        <v>45001</v>
      </c>
      <c r="P158" s="4" t="s">
        <v>34</v>
      </c>
      <c r="Q158" s="4" t="s">
        <v>35</v>
      </c>
      <c r="R158" s="4" t="s">
        <v>36</v>
      </c>
      <c r="S158" s="4" t="s">
        <v>59</v>
      </c>
      <c r="T158" s="5">
        <v>2</v>
      </c>
      <c r="U158" s="6">
        <v>45001</v>
      </c>
      <c r="V158" s="4" t="s">
        <v>1345</v>
      </c>
      <c r="W158" s="4"/>
      <c r="X158" s="4"/>
      <c r="Y158" s="4"/>
      <c r="Z158" s="4"/>
      <c r="AA158" s="4"/>
      <c r="AB158" s="4"/>
      <c r="AC158" s="4"/>
      <c r="AD158" s="4">
        <f t="shared" si="2"/>
        <v>11</v>
      </c>
    </row>
    <row r="159" spans="1:30" ht="52.5" thickBot="1" x14ac:dyDescent="0.3">
      <c r="A159" s="3">
        <v>45004.718414351853</v>
      </c>
      <c r="B159" s="4" t="s">
        <v>1769</v>
      </c>
      <c r="C159" s="4" t="s">
        <v>226</v>
      </c>
      <c r="D159" s="31" t="s">
        <v>42</v>
      </c>
      <c r="E159" s="4" t="s">
        <v>176</v>
      </c>
      <c r="F159" s="5">
        <v>628199581</v>
      </c>
      <c r="G159" s="4"/>
      <c r="H159" s="4" t="s">
        <v>277</v>
      </c>
      <c r="I159" s="5">
        <v>5</v>
      </c>
      <c r="J159" s="4" t="s">
        <v>38</v>
      </c>
      <c r="K159" s="5">
        <v>1</v>
      </c>
      <c r="L159" s="4" t="s">
        <v>31</v>
      </c>
      <c r="M159" s="4" t="s">
        <v>316</v>
      </c>
      <c r="N159" s="4" t="s">
        <v>33</v>
      </c>
      <c r="O159" s="6">
        <v>45005</v>
      </c>
      <c r="P159" s="4" t="s">
        <v>372</v>
      </c>
      <c r="Q159" s="4" t="s">
        <v>232</v>
      </c>
      <c r="R159" s="4" t="s">
        <v>36</v>
      </c>
      <c r="S159" s="4" t="s">
        <v>59</v>
      </c>
      <c r="T159" s="5">
        <v>1.5</v>
      </c>
      <c r="U159" s="6">
        <v>45005</v>
      </c>
      <c r="V159" s="4" t="s">
        <v>1346</v>
      </c>
      <c r="W159" s="4"/>
      <c r="X159" s="4"/>
      <c r="Y159" s="4"/>
      <c r="Z159" s="4"/>
      <c r="AA159" s="4"/>
      <c r="AB159" s="4"/>
      <c r="AC159" s="4"/>
      <c r="AD159" s="4">
        <f t="shared" si="2"/>
        <v>12</v>
      </c>
    </row>
    <row r="160" spans="1:30" ht="65.25" thickBot="1" x14ac:dyDescent="0.3">
      <c r="A160" s="3">
        <v>45005.334039351852</v>
      </c>
      <c r="B160" s="4" t="s">
        <v>25</v>
      </c>
      <c r="C160" s="4" t="s">
        <v>26</v>
      </c>
      <c r="D160" s="31" t="s">
        <v>42</v>
      </c>
      <c r="E160" s="4" t="s">
        <v>51</v>
      </c>
      <c r="F160" s="5">
        <v>621573030</v>
      </c>
      <c r="G160" s="4"/>
      <c r="H160" s="4" t="s">
        <v>45</v>
      </c>
      <c r="I160" s="5">
        <v>80</v>
      </c>
      <c r="J160" s="4" t="s">
        <v>38</v>
      </c>
      <c r="K160" s="5">
        <v>20</v>
      </c>
      <c r="L160" s="4" t="s">
        <v>373</v>
      </c>
      <c r="M160" s="4" t="s">
        <v>32</v>
      </c>
      <c r="N160" s="4" t="s">
        <v>33</v>
      </c>
      <c r="O160" s="6">
        <v>45007</v>
      </c>
      <c r="P160" s="4" t="s">
        <v>34</v>
      </c>
      <c r="Q160" s="4" t="s">
        <v>35</v>
      </c>
      <c r="R160" s="4" t="s">
        <v>36</v>
      </c>
      <c r="S160" s="4" t="s">
        <v>59</v>
      </c>
      <c r="T160" s="5">
        <v>10</v>
      </c>
      <c r="U160" s="6">
        <v>45005</v>
      </c>
      <c r="V160" s="4" t="s">
        <v>1346</v>
      </c>
      <c r="W160" s="4"/>
      <c r="X160" s="4"/>
      <c r="Y160" s="4"/>
      <c r="Z160" s="4"/>
      <c r="AA160" s="4"/>
      <c r="AB160" s="4"/>
      <c r="AC160" s="4"/>
      <c r="AD160" s="4">
        <f t="shared" si="2"/>
        <v>12</v>
      </c>
    </row>
    <row r="161" spans="1:30" ht="65.25" thickBot="1" x14ac:dyDescent="0.3">
      <c r="A161" s="3">
        <v>45005.338796296295</v>
      </c>
      <c r="B161" s="4" t="s">
        <v>25</v>
      </c>
      <c r="C161" s="4" t="s">
        <v>26</v>
      </c>
      <c r="D161" s="31" t="s">
        <v>42</v>
      </c>
      <c r="E161" s="4" t="s">
        <v>374</v>
      </c>
      <c r="F161" s="5">
        <v>628649465</v>
      </c>
      <c r="G161" s="4"/>
      <c r="H161" s="4" t="s">
        <v>45</v>
      </c>
      <c r="I161" s="5">
        <v>80</v>
      </c>
      <c r="J161" s="4" t="s">
        <v>38</v>
      </c>
      <c r="K161" s="5">
        <v>5</v>
      </c>
      <c r="L161" s="4" t="s">
        <v>164</v>
      </c>
      <c r="M161" s="4" t="s">
        <v>32</v>
      </c>
      <c r="N161" s="4" t="s">
        <v>33</v>
      </c>
      <c r="O161" s="6">
        <v>45009</v>
      </c>
      <c r="P161" s="4" t="s">
        <v>34</v>
      </c>
      <c r="Q161" s="4" t="s">
        <v>35</v>
      </c>
      <c r="R161" s="4" t="s">
        <v>36</v>
      </c>
      <c r="S161" s="4"/>
      <c r="T161" s="4"/>
      <c r="U161" s="4"/>
      <c r="V161" s="4" t="s">
        <v>1372</v>
      </c>
      <c r="W161" s="4"/>
      <c r="X161" s="4"/>
      <c r="Y161" s="4"/>
      <c r="Z161" s="4"/>
      <c r="AA161" s="4"/>
      <c r="AB161" s="4"/>
      <c r="AC161" s="4"/>
      <c r="AD161" s="4">
        <f t="shared" si="2"/>
        <v>12</v>
      </c>
    </row>
    <row r="162" spans="1:30" ht="65.25" thickBot="1" x14ac:dyDescent="0.3">
      <c r="A162" s="3">
        <v>45005.484895833331</v>
      </c>
      <c r="B162" s="4" t="s">
        <v>25</v>
      </c>
      <c r="C162" s="4" t="s">
        <v>26</v>
      </c>
      <c r="D162" s="31" t="s">
        <v>42</v>
      </c>
      <c r="E162" s="4" t="s">
        <v>375</v>
      </c>
      <c r="F162" s="5">
        <v>622936183</v>
      </c>
      <c r="G162" s="4"/>
      <c r="H162" s="4" t="s">
        <v>376</v>
      </c>
      <c r="I162" s="5">
        <v>12</v>
      </c>
      <c r="J162" s="4" t="s">
        <v>101</v>
      </c>
      <c r="K162" s="5">
        <v>25</v>
      </c>
      <c r="L162" s="4" t="s">
        <v>46</v>
      </c>
      <c r="M162" s="4" t="s">
        <v>32</v>
      </c>
      <c r="N162" s="4" t="s">
        <v>33</v>
      </c>
      <c r="O162" s="6">
        <v>45015</v>
      </c>
      <c r="P162" s="4" t="s">
        <v>34</v>
      </c>
      <c r="Q162" s="4" t="s">
        <v>35</v>
      </c>
      <c r="R162" s="4" t="s">
        <v>36</v>
      </c>
      <c r="S162" s="4"/>
      <c r="T162" s="4"/>
      <c r="U162" s="4"/>
      <c r="V162" s="4" t="s">
        <v>1372</v>
      </c>
      <c r="W162" s="4"/>
      <c r="X162" s="4"/>
      <c r="Y162" s="4"/>
      <c r="Z162" s="4"/>
      <c r="AA162" s="4"/>
      <c r="AB162" s="4"/>
      <c r="AC162" s="4"/>
      <c r="AD162" s="4">
        <f t="shared" si="2"/>
        <v>12</v>
      </c>
    </row>
    <row r="163" spans="1:30" ht="27" thickBot="1" x14ac:dyDescent="0.3">
      <c r="A163" s="3">
        <v>45005.72997685185</v>
      </c>
      <c r="B163" s="4" t="s">
        <v>53</v>
      </c>
      <c r="C163" s="4" t="s">
        <v>53</v>
      </c>
      <c r="D163" s="31" t="s">
        <v>42</v>
      </c>
      <c r="E163" s="4" t="s">
        <v>377</v>
      </c>
      <c r="F163" s="5">
        <v>622385518</v>
      </c>
      <c r="G163" s="4"/>
      <c r="H163" s="4" t="s">
        <v>286</v>
      </c>
      <c r="I163" s="5">
        <v>75</v>
      </c>
      <c r="J163" s="4" t="s">
        <v>30</v>
      </c>
      <c r="K163" s="5">
        <v>3</v>
      </c>
      <c r="L163" s="4" t="s">
        <v>369</v>
      </c>
      <c r="M163" s="4" t="s">
        <v>369</v>
      </c>
      <c r="N163" s="4" t="s">
        <v>33</v>
      </c>
      <c r="O163" s="6">
        <v>45002</v>
      </c>
      <c r="P163" s="4"/>
      <c r="Q163" s="4" t="s">
        <v>58</v>
      </c>
      <c r="R163" s="4" t="s">
        <v>36</v>
      </c>
      <c r="S163" s="4" t="s">
        <v>59</v>
      </c>
      <c r="T163" s="5">
        <v>3</v>
      </c>
      <c r="U163" s="6">
        <v>45006</v>
      </c>
      <c r="V163" s="4" t="s">
        <v>1346</v>
      </c>
      <c r="W163" s="4"/>
      <c r="X163" s="4"/>
      <c r="Y163" s="4"/>
      <c r="Z163" s="4"/>
      <c r="AA163" s="4"/>
      <c r="AB163" s="4"/>
      <c r="AC163" s="4"/>
      <c r="AD163" s="4">
        <f t="shared" si="2"/>
        <v>12</v>
      </c>
    </row>
    <row r="164" spans="1:30" ht="27" thickBot="1" x14ac:dyDescent="0.3">
      <c r="A164" s="3">
        <v>45005.732222222221</v>
      </c>
      <c r="B164" s="4" t="s">
        <v>53</v>
      </c>
      <c r="C164" s="4" t="s">
        <v>53</v>
      </c>
      <c r="D164" s="31" t="s">
        <v>42</v>
      </c>
      <c r="E164" s="4" t="s">
        <v>378</v>
      </c>
      <c r="F164" s="5">
        <v>610507642</v>
      </c>
      <c r="G164" s="4"/>
      <c r="H164" s="4" t="s">
        <v>286</v>
      </c>
      <c r="I164" s="5">
        <v>75</v>
      </c>
      <c r="J164" s="4" t="s">
        <v>30</v>
      </c>
      <c r="K164" s="5">
        <v>2</v>
      </c>
      <c r="L164" s="4" t="s">
        <v>369</v>
      </c>
      <c r="M164" s="4" t="s">
        <v>369</v>
      </c>
      <c r="N164" s="4" t="s">
        <v>33</v>
      </c>
      <c r="O164" s="6">
        <v>45003</v>
      </c>
      <c r="P164" s="4"/>
      <c r="Q164" s="4" t="s">
        <v>58</v>
      </c>
      <c r="R164" s="4" t="s">
        <v>36</v>
      </c>
      <c r="S164" s="4" t="s">
        <v>59</v>
      </c>
      <c r="T164" s="5">
        <v>2</v>
      </c>
      <c r="U164" s="6">
        <v>45006</v>
      </c>
      <c r="V164" s="4" t="s">
        <v>1346</v>
      </c>
      <c r="W164" s="4"/>
      <c r="X164" s="4"/>
      <c r="Y164" s="4"/>
      <c r="Z164" s="4"/>
      <c r="AA164" s="4"/>
      <c r="AB164" s="4"/>
      <c r="AC164" s="4"/>
      <c r="AD164" s="4">
        <f t="shared" si="2"/>
        <v>12</v>
      </c>
    </row>
    <row r="165" spans="1:30" ht="27" thickBot="1" x14ac:dyDescent="0.3">
      <c r="A165" s="3">
        <v>45005.734166666669</v>
      </c>
      <c r="B165" s="4" t="s">
        <v>53</v>
      </c>
      <c r="C165" s="4" t="s">
        <v>53</v>
      </c>
      <c r="D165" s="31" t="s">
        <v>42</v>
      </c>
      <c r="E165" s="4" t="s">
        <v>379</v>
      </c>
      <c r="F165" s="5">
        <v>629208918</v>
      </c>
      <c r="G165" s="4"/>
      <c r="H165" s="4" t="s">
        <v>286</v>
      </c>
      <c r="I165" s="5">
        <v>80</v>
      </c>
      <c r="J165" s="4" t="s">
        <v>30</v>
      </c>
      <c r="K165" s="5">
        <v>3</v>
      </c>
      <c r="L165" s="4" t="s">
        <v>369</v>
      </c>
      <c r="M165" s="4" t="s">
        <v>369</v>
      </c>
      <c r="N165" s="4" t="s">
        <v>33</v>
      </c>
      <c r="O165" s="6">
        <v>45003</v>
      </c>
      <c r="P165" s="4"/>
      <c r="Q165" s="4" t="s">
        <v>58</v>
      </c>
      <c r="R165" s="4" t="s">
        <v>36</v>
      </c>
      <c r="S165" s="4" t="s">
        <v>59</v>
      </c>
      <c r="T165" s="5">
        <v>3</v>
      </c>
      <c r="U165" s="6">
        <v>45006</v>
      </c>
      <c r="V165" s="4" t="s">
        <v>1346</v>
      </c>
      <c r="W165" s="4"/>
      <c r="X165" s="4"/>
      <c r="Y165" s="4"/>
      <c r="Z165" s="4"/>
      <c r="AA165" s="4"/>
      <c r="AB165" s="4"/>
      <c r="AC165" s="4"/>
      <c r="AD165" s="4">
        <f t="shared" si="2"/>
        <v>12</v>
      </c>
    </row>
    <row r="166" spans="1:30" ht="52.5" thickBot="1" x14ac:dyDescent="0.3">
      <c r="A166" s="3">
        <v>45005.737013888887</v>
      </c>
      <c r="B166" s="4" t="s">
        <v>53</v>
      </c>
      <c r="C166" s="4" t="s">
        <v>53</v>
      </c>
      <c r="D166" s="31" t="s">
        <v>27</v>
      </c>
      <c r="E166" s="4" t="s">
        <v>380</v>
      </c>
      <c r="F166" s="5">
        <v>628834336</v>
      </c>
      <c r="G166" s="4"/>
      <c r="H166" s="4" t="s">
        <v>286</v>
      </c>
      <c r="I166" s="5">
        <v>75</v>
      </c>
      <c r="J166" s="4" t="s">
        <v>30</v>
      </c>
      <c r="K166" s="5">
        <v>24</v>
      </c>
      <c r="L166" s="4" t="s">
        <v>381</v>
      </c>
      <c r="M166" s="4" t="s">
        <v>382</v>
      </c>
      <c r="N166" s="4" t="s">
        <v>33</v>
      </c>
      <c r="O166" s="6">
        <v>45010</v>
      </c>
      <c r="P166" s="4"/>
      <c r="Q166" s="4" t="s">
        <v>58</v>
      </c>
      <c r="R166" s="4" t="s">
        <v>36</v>
      </c>
      <c r="S166" s="4" t="s">
        <v>59</v>
      </c>
      <c r="T166" s="5">
        <v>24</v>
      </c>
      <c r="U166" s="6">
        <v>45006</v>
      </c>
      <c r="V166" s="4" t="s">
        <v>1346</v>
      </c>
      <c r="W166" s="4"/>
      <c r="X166" s="4"/>
      <c r="Y166" s="4"/>
      <c r="Z166" s="4"/>
      <c r="AA166" s="4"/>
      <c r="AB166" s="4"/>
      <c r="AC166" s="4"/>
      <c r="AD166" s="4">
        <f t="shared" si="2"/>
        <v>12</v>
      </c>
    </row>
    <row r="167" spans="1:30" ht="27" thickBot="1" x14ac:dyDescent="0.3">
      <c r="A167" s="3">
        <v>45006.435347222221</v>
      </c>
      <c r="B167" s="4" t="s">
        <v>1769</v>
      </c>
      <c r="C167" s="4" t="s">
        <v>226</v>
      </c>
      <c r="D167" s="31" t="s">
        <v>42</v>
      </c>
      <c r="E167" s="8" t="s">
        <v>383</v>
      </c>
      <c r="F167" s="9">
        <v>622042658</v>
      </c>
      <c r="G167" s="8"/>
      <c r="H167" s="8" t="s">
        <v>277</v>
      </c>
      <c r="I167" s="9">
        <v>2</v>
      </c>
      <c r="J167" s="8" t="s">
        <v>30</v>
      </c>
      <c r="K167" s="9">
        <v>2</v>
      </c>
      <c r="L167" s="4" t="s">
        <v>384</v>
      </c>
      <c r="M167" s="4" t="s">
        <v>316</v>
      </c>
      <c r="N167" s="4" t="s">
        <v>47</v>
      </c>
      <c r="O167" s="6">
        <v>45007</v>
      </c>
      <c r="P167" s="4"/>
      <c r="Q167" s="4" t="s">
        <v>232</v>
      </c>
      <c r="R167" s="4" t="s">
        <v>36</v>
      </c>
      <c r="S167" s="4" t="s">
        <v>59</v>
      </c>
      <c r="T167" s="9">
        <v>3.5</v>
      </c>
      <c r="U167" s="6">
        <v>45006</v>
      </c>
      <c r="V167" s="4" t="s">
        <v>1346</v>
      </c>
      <c r="W167" s="4"/>
      <c r="X167" s="4"/>
      <c r="Y167" s="4"/>
      <c r="Z167" s="4"/>
      <c r="AA167" s="4"/>
      <c r="AB167" s="4"/>
      <c r="AC167" s="4"/>
      <c r="AD167" s="4">
        <f t="shared" si="2"/>
        <v>12</v>
      </c>
    </row>
    <row r="168" spans="1:30" ht="65.25" thickBot="1" x14ac:dyDescent="0.3">
      <c r="A168" s="3">
        <v>45006.459409722222</v>
      </c>
      <c r="B168" s="4" t="s">
        <v>25</v>
      </c>
      <c r="C168" s="4" t="s">
        <v>26</v>
      </c>
      <c r="D168" s="31" t="s">
        <v>42</v>
      </c>
      <c r="E168" s="4" t="s">
        <v>248</v>
      </c>
      <c r="F168" s="5">
        <v>624367136</v>
      </c>
      <c r="G168" s="4"/>
      <c r="H168" s="4" t="s">
        <v>49</v>
      </c>
      <c r="I168" s="5">
        <v>12</v>
      </c>
      <c r="J168" s="4" t="s">
        <v>38</v>
      </c>
      <c r="K168" s="5">
        <v>1</v>
      </c>
      <c r="L168" s="4" t="s">
        <v>385</v>
      </c>
      <c r="M168" s="4" t="s">
        <v>32</v>
      </c>
      <c r="N168" s="4" t="s">
        <v>33</v>
      </c>
      <c r="O168" s="6">
        <v>45002</v>
      </c>
      <c r="P168" s="4" t="s">
        <v>34</v>
      </c>
      <c r="Q168" s="4" t="s">
        <v>35</v>
      </c>
      <c r="R168" s="4" t="s">
        <v>36</v>
      </c>
      <c r="S168" s="4" t="s">
        <v>59</v>
      </c>
      <c r="T168" s="5">
        <v>1</v>
      </c>
      <c r="U168" s="6">
        <v>45005</v>
      </c>
      <c r="V168" s="4" t="s">
        <v>1346</v>
      </c>
      <c r="W168" s="4"/>
      <c r="X168" s="4"/>
      <c r="Y168" s="4"/>
      <c r="Z168" s="4"/>
      <c r="AA168" s="4"/>
      <c r="AB168" s="4"/>
      <c r="AC168" s="4"/>
      <c r="AD168" s="4">
        <f t="shared" si="2"/>
        <v>12</v>
      </c>
    </row>
    <row r="169" spans="1:30" ht="65.25" thickBot="1" x14ac:dyDescent="0.3">
      <c r="A169" s="3">
        <v>45006.464236111111</v>
      </c>
      <c r="B169" s="4" t="s">
        <v>25</v>
      </c>
      <c r="C169" s="4" t="s">
        <v>26</v>
      </c>
      <c r="D169" s="31" t="s">
        <v>42</v>
      </c>
      <c r="E169" s="4" t="s">
        <v>386</v>
      </c>
      <c r="F169" s="5">
        <v>628095010</v>
      </c>
      <c r="G169" s="4"/>
      <c r="H169" s="4" t="s">
        <v>29</v>
      </c>
      <c r="I169" s="5">
        <v>12</v>
      </c>
      <c r="J169" s="4" t="s">
        <v>38</v>
      </c>
      <c r="K169" s="5">
        <v>2</v>
      </c>
      <c r="L169" s="4" t="s">
        <v>387</v>
      </c>
      <c r="M169" s="4" t="s">
        <v>32</v>
      </c>
      <c r="N169" s="4" t="s">
        <v>33</v>
      </c>
      <c r="O169" s="6">
        <v>45006</v>
      </c>
      <c r="P169" s="4" t="s">
        <v>34</v>
      </c>
      <c r="Q169" s="4" t="s">
        <v>35</v>
      </c>
      <c r="R169" s="4" t="s">
        <v>36</v>
      </c>
      <c r="S169" s="4" t="s">
        <v>59</v>
      </c>
      <c r="T169" s="5">
        <v>2</v>
      </c>
      <c r="U169" s="6">
        <v>45007</v>
      </c>
      <c r="V169" s="4" t="s">
        <v>1346</v>
      </c>
      <c r="W169" s="4"/>
      <c r="X169" s="4"/>
      <c r="Y169" s="4"/>
      <c r="Z169" s="4"/>
      <c r="AA169" s="4"/>
      <c r="AB169" s="4"/>
      <c r="AC169" s="4"/>
      <c r="AD169" s="4">
        <f t="shared" si="2"/>
        <v>12</v>
      </c>
    </row>
    <row r="170" spans="1:30" ht="52.5" thickBot="1" x14ac:dyDescent="0.3">
      <c r="A170" s="3">
        <v>45006.510983796295</v>
      </c>
      <c r="B170" s="4" t="s">
        <v>1768</v>
      </c>
      <c r="C170" s="4" t="s">
        <v>158</v>
      </c>
      <c r="D170" s="31" t="s">
        <v>42</v>
      </c>
      <c r="E170" s="4" t="s">
        <v>388</v>
      </c>
      <c r="F170" s="5">
        <v>628193453</v>
      </c>
      <c r="G170" s="5">
        <v>0</v>
      </c>
      <c r="H170" s="4" t="s">
        <v>389</v>
      </c>
      <c r="I170" s="5">
        <v>12</v>
      </c>
      <c r="J170" s="4" t="s">
        <v>101</v>
      </c>
      <c r="K170" s="8">
        <v>6</v>
      </c>
      <c r="L170" s="4" t="s">
        <v>161</v>
      </c>
      <c r="M170" s="4" t="s">
        <v>161</v>
      </c>
      <c r="N170" s="4" t="s">
        <v>47</v>
      </c>
      <c r="O170" s="6">
        <v>45017</v>
      </c>
      <c r="P170" s="4" t="s">
        <v>390</v>
      </c>
      <c r="Q170" s="4" t="s">
        <v>130</v>
      </c>
      <c r="R170" s="4" t="s">
        <v>36</v>
      </c>
      <c r="S170" s="4"/>
      <c r="T170" s="4"/>
      <c r="U170" s="4"/>
      <c r="V170" s="4" t="s">
        <v>1372</v>
      </c>
      <c r="W170" s="4"/>
      <c r="X170" s="4"/>
      <c r="Y170" s="4"/>
      <c r="Z170" s="4"/>
      <c r="AA170" s="4"/>
      <c r="AB170" s="4"/>
      <c r="AC170" s="4"/>
      <c r="AD170" s="4">
        <f t="shared" si="2"/>
        <v>12</v>
      </c>
    </row>
    <row r="171" spans="1:30" ht="39.75" thickBot="1" x14ac:dyDescent="0.3">
      <c r="A171" s="3">
        <v>45006.698888888888</v>
      </c>
      <c r="B171" s="4" t="s">
        <v>391</v>
      </c>
      <c r="C171" s="4" t="s">
        <v>392</v>
      </c>
      <c r="D171" s="31" t="s">
        <v>42</v>
      </c>
      <c r="E171" s="4" t="s">
        <v>393</v>
      </c>
      <c r="F171" s="5">
        <v>622588398</v>
      </c>
      <c r="G171" s="5">
        <v>622588398</v>
      </c>
      <c r="H171" s="4" t="s">
        <v>394</v>
      </c>
      <c r="I171" s="5">
        <v>18</v>
      </c>
      <c r="J171" s="4" t="s">
        <v>30</v>
      </c>
      <c r="K171" s="5">
        <v>8</v>
      </c>
      <c r="L171" s="4" t="s">
        <v>395</v>
      </c>
      <c r="M171" s="4" t="s">
        <v>395</v>
      </c>
      <c r="N171" s="4" t="s">
        <v>33</v>
      </c>
      <c r="O171" s="6">
        <v>45250</v>
      </c>
      <c r="P171" s="4" t="s">
        <v>396</v>
      </c>
      <c r="Q171" s="4" t="s">
        <v>397</v>
      </c>
      <c r="R171" s="4" t="s">
        <v>36</v>
      </c>
      <c r="S171" s="4"/>
      <c r="T171" s="4"/>
      <c r="U171" s="4"/>
      <c r="V171" s="4" t="s">
        <v>1372</v>
      </c>
      <c r="W171" s="4"/>
      <c r="X171" s="4"/>
      <c r="Y171" s="4"/>
      <c r="Z171" s="4"/>
      <c r="AA171" s="4"/>
      <c r="AB171" s="4"/>
      <c r="AC171" s="4"/>
      <c r="AD171" s="4">
        <f t="shared" si="2"/>
        <v>12</v>
      </c>
    </row>
    <row r="172" spans="1:30" ht="39.75" thickBot="1" x14ac:dyDescent="0.3">
      <c r="A172" s="3">
        <v>45007.527870370373</v>
      </c>
      <c r="B172" s="4" t="s">
        <v>1769</v>
      </c>
      <c r="C172" s="4" t="s">
        <v>226</v>
      </c>
      <c r="D172" s="31" t="s">
        <v>42</v>
      </c>
      <c r="E172" s="4" t="s">
        <v>398</v>
      </c>
      <c r="F172" s="5">
        <v>620940903</v>
      </c>
      <c r="G172" s="4"/>
      <c r="H172" s="4" t="s">
        <v>228</v>
      </c>
      <c r="I172" s="5">
        <v>25</v>
      </c>
      <c r="J172" s="4" t="s">
        <v>38</v>
      </c>
      <c r="K172" s="5">
        <v>2</v>
      </c>
      <c r="L172" s="4" t="s">
        <v>73</v>
      </c>
      <c r="M172" s="4" t="s">
        <v>316</v>
      </c>
      <c r="N172" s="4" t="s">
        <v>57</v>
      </c>
      <c r="O172" s="6">
        <v>45008</v>
      </c>
      <c r="P172" s="4" t="s">
        <v>399</v>
      </c>
      <c r="Q172" s="4" t="s">
        <v>232</v>
      </c>
      <c r="R172" s="4" t="s">
        <v>36</v>
      </c>
      <c r="S172" s="4" t="s">
        <v>59</v>
      </c>
      <c r="T172" s="5">
        <v>2.5</v>
      </c>
      <c r="U172" s="6">
        <v>45007</v>
      </c>
      <c r="V172" s="4" t="s">
        <v>1346</v>
      </c>
      <c r="W172" s="4"/>
      <c r="X172" s="4"/>
      <c r="Y172" s="4"/>
      <c r="Z172" s="4"/>
      <c r="AA172" s="4"/>
      <c r="AB172" s="4"/>
      <c r="AC172" s="4"/>
      <c r="AD172" s="4">
        <f t="shared" si="2"/>
        <v>12</v>
      </c>
    </row>
    <row r="173" spans="1:30" ht="27" thickBot="1" x14ac:dyDescent="0.3">
      <c r="A173" s="3">
        <v>45008.420613425929</v>
      </c>
      <c r="B173" s="4" t="s">
        <v>1770</v>
      </c>
      <c r="C173" s="4" t="s">
        <v>254</v>
      </c>
      <c r="D173" s="31" t="s">
        <v>42</v>
      </c>
      <c r="E173" s="4" t="s">
        <v>401</v>
      </c>
      <c r="F173" s="5">
        <v>628204012</v>
      </c>
      <c r="G173" s="5">
        <v>625448612</v>
      </c>
      <c r="H173" s="4" t="s">
        <v>402</v>
      </c>
      <c r="I173" s="5">
        <v>50</v>
      </c>
      <c r="J173" s="4" t="s">
        <v>30</v>
      </c>
      <c r="K173" s="5">
        <v>10</v>
      </c>
      <c r="L173" s="4" t="s">
        <v>333</v>
      </c>
      <c r="M173" s="4" t="s">
        <v>403</v>
      </c>
      <c r="N173" s="4" t="s">
        <v>90</v>
      </c>
      <c r="O173" s="6">
        <v>45009</v>
      </c>
      <c r="P173" s="4" t="s">
        <v>404</v>
      </c>
      <c r="Q173" s="4" t="s">
        <v>405</v>
      </c>
      <c r="R173" s="4" t="s">
        <v>36</v>
      </c>
      <c r="S173" s="4" t="s">
        <v>59</v>
      </c>
      <c r="T173" s="5">
        <v>10</v>
      </c>
      <c r="U173" s="6">
        <v>45008</v>
      </c>
      <c r="V173" s="4" t="s">
        <v>1346</v>
      </c>
      <c r="W173" s="4"/>
      <c r="X173" s="4"/>
      <c r="Y173" s="4"/>
      <c r="Z173" s="4"/>
      <c r="AA173" s="4"/>
      <c r="AB173" s="4"/>
      <c r="AC173" s="4"/>
      <c r="AD173" s="4">
        <f t="shared" si="2"/>
        <v>12</v>
      </c>
    </row>
    <row r="174" spans="1:30" ht="39.75" thickBot="1" x14ac:dyDescent="0.3">
      <c r="A174" s="3">
        <v>45008.630057870374</v>
      </c>
      <c r="B174" s="4" t="s">
        <v>253</v>
      </c>
      <c r="C174" s="4" t="s">
        <v>406</v>
      </c>
      <c r="D174" s="31" t="s">
        <v>42</v>
      </c>
      <c r="E174" s="4" t="s">
        <v>407</v>
      </c>
      <c r="F174" s="5">
        <v>622932910</v>
      </c>
      <c r="G174" s="4"/>
      <c r="H174" s="4" t="s">
        <v>408</v>
      </c>
      <c r="I174" s="5">
        <v>45</v>
      </c>
      <c r="J174" s="4" t="s">
        <v>38</v>
      </c>
      <c r="K174" s="5">
        <v>5</v>
      </c>
      <c r="L174" s="4" t="s">
        <v>409</v>
      </c>
      <c r="M174" s="4" t="s">
        <v>410</v>
      </c>
      <c r="N174" s="4" t="s">
        <v>41</v>
      </c>
      <c r="O174" s="6">
        <v>45010</v>
      </c>
      <c r="P174" s="4"/>
      <c r="Q174" s="4" t="s">
        <v>260</v>
      </c>
      <c r="R174" s="4" t="s">
        <v>36</v>
      </c>
      <c r="S174" s="4" t="s">
        <v>59</v>
      </c>
      <c r="T174" s="5">
        <v>5</v>
      </c>
      <c r="U174" s="6">
        <v>45012</v>
      </c>
      <c r="V174" s="4" t="s">
        <v>1347</v>
      </c>
      <c r="W174" s="4"/>
      <c r="X174" s="4"/>
      <c r="Y174" s="4"/>
      <c r="Z174" s="4"/>
      <c r="AA174" s="4"/>
      <c r="AB174" s="4"/>
      <c r="AC174" s="4"/>
      <c r="AD174" s="4">
        <f t="shared" si="2"/>
        <v>12</v>
      </c>
    </row>
    <row r="175" spans="1:30" ht="27" thickBot="1" x14ac:dyDescent="0.3">
      <c r="A175" s="3">
        <v>45009.518553240741</v>
      </c>
      <c r="B175" s="4" t="s">
        <v>25</v>
      </c>
      <c r="C175" s="5">
        <v>2</v>
      </c>
      <c r="D175" s="31" t="s">
        <v>42</v>
      </c>
      <c r="E175" s="4" t="s">
        <v>108</v>
      </c>
      <c r="F175" s="5">
        <v>622501048</v>
      </c>
      <c r="G175" s="4"/>
      <c r="H175" s="4" t="s">
        <v>29</v>
      </c>
      <c r="I175" s="5">
        <v>12</v>
      </c>
      <c r="J175" s="4" t="s">
        <v>132</v>
      </c>
      <c r="K175" s="5">
        <v>2</v>
      </c>
      <c r="L175" s="4" t="s">
        <v>52</v>
      </c>
      <c r="M175" s="4" t="s">
        <v>32</v>
      </c>
      <c r="N175" s="4" t="s">
        <v>33</v>
      </c>
      <c r="O175" s="6">
        <v>45014</v>
      </c>
      <c r="P175" s="4" t="s">
        <v>34</v>
      </c>
      <c r="Q175" s="4" t="s">
        <v>35</v>
      </c>
      <c r="R175" s="4" t="s">
        <v>36</v>
      </c>
      <c r="S175" s="4"/>
      <c r="T175" s="4"/>
      <c r="U175" s="4"/>
      <c r="V175" s="4" t="s">
        <v>1372</v>
      </c>
      <c r="W175" s="4"/>
      <c r="X175" s="4"/>
      <c r="Y175" s="4"/>
      <c r="Z175" s="4"/>
      <c r="AA175" s="4"/>
      <c r="AB175" s="4"/>
      <c r="AC175" s="4"/>
      <c r="AD175" s="4">
        <f t="shared" si="2"/>
        <v>12</v>
      </c>
    </row>
    <row r="176" spans="1:30" ht="65.25" thickBot="1" x14ac:dyDescent="0.3">
      <c r="A176" s="3">
        <v>45009.527627314812</v>
      </c>
      <c r="B176" s="4" t="s">
        <v>25</v>
      </c>
      <c r="C176" s="4" t="s">
        <v>26</v>
      </c>
      <c r="D176" s="31" t="s">
        <v>42</v>
      </c>
      <c r="E176" s="4" t="s">
        <v>411</v>
      </c>
      <c r="F176" s="5">
        <v>628329575</v>
      </c>
      <c r="G176" s="4"/>
      <c r="H176" s="4" t="s">
        <v>111</v>
      </c>
      <c r="I176" s="5">
        <v>14</v>
      </c>
      <c r="J176" s="4" t="s">
        <v>38</v>
      </c>
      <c r="K176" s="5">
        <v>3</v>
      </c>
      <c r="L176" s="4" t="s">
        <v>412</v>
      </c>
      <c r="M176" s="4" t="s">
        <v>32</v>
      </c>
      <c r="N176" s="4" t="s">
        <v>33</v>
      </c>
      <c r="O176" s="6">
        <v>45010</v>
      </c>
      <c r="P176" s="4" t="s">
        <v>34</v>
      </c>
      <c r="Q176" s="4" t="s">
        <v>35</v>
      </c>
      <c r="R176" s="4" t="s">
        <v>36</v>
      </c>
      <c r="S176" s="4"/>
      <c r="T176" s="4"/>
      <c r="U176" s="4"/>
      <c r="V176" s="4" t="s">
        <v>1372</v>
      </c>
      <c r="W176" s="4"/>
      <c r="X176" s="4"/>
      <c r="Y176" s="4"/>
      <c r="Z176" s="4"/>
      <c r="AA176" s="4"/>
      <c r="AB176" s="4"/>
      <c r="AC176" s="4"/>
      <c r="AD176" s="4">
        <f t="shared" si="2"/>
        <v>12</v>
      </c>
    </row>
    <row r="177" spans="1:30" ht="65.25" thickBot="1" x14ac:dyDescent="0.3">
      <c r="A177" s="3">
        <v>45009.533668981479</v>
      </c>
      <c r="B177" s="4" t="s">
        <v>25</v>
      </c>
      <c r="C177" s="4" t="s">
        <v>26</v>
      </c>
      <c r="D177" s="31" t="s">
        <v>42</v>
      </c>
      <c r="E177" s="4" t="s">
        <v>108</v>
      </c>
      <c r="F177" s="5">
        <v>622501048</v>
      </c>
      <c r="G177" s="4"/>
      <c r="H177" s="4" t="s">
        <v>29</v>
      </c>
      <c r="I177" s="5">
        <v>12</v>
      </c>
      <c r="J177" s="4" t="s">
        <v>132</v>
      </c>
      <c r="K177" s="5">
        <v>2</v>
      </c>
      <c r="L177" s="4" t="s">
        <v>52</v>
      </c>
      <c r="M177" s="4" t="s">
        <v>32</v>
      </c>
      <c r="N177" s="4" t="s">
        <v>33</v>
      </c>
      <c r="O177" s="6">
        <v>45015</v>
      </c>
      <c r="P177" s="4" t="s">
        <v>413</v>
      </c>
      <c r="Q177" s="4" t="s">
        <v>35</v>
      </c>
      <c r="R177" s="4" t="s">
        <v>36</v>
      </c>
      <c r="S177" s="4" t="s">
        <v>59</v>
      </c>
      <c r="T177" s="5">
        <v>2.5</v>
      </c>
      <c r="U177" s="6">
        <v>45007</v>
      </c>
      <c r="V177" s="4" t="s">
        <v>1346</v>
      </c>
      <c r="W177" s="4"/>
      <c r="X177" s="4"/>
      <c r="Y177" s="4"/>
      <c r="Z177" s="4"/>
      <c r="AA177" s="4"/>
      <c r="AB177" s="4"/>
      <c r="AC177" s="4"/>
      <c r="AD177" s="4">
        <f t="shared" si="2"/>
        <v>12</v>
      </c>
    </row>
    <row r="178" spans="1:30" ht="27" thickBot="1" x14ac:dyDescent="0.3">
      <c r="A178" s="3">
        <v>45009.722662037035</v>
      </c>
      <c r="B178" s="4" t="s">
        <v>1769</v>
      </c>
      <c r="C178" s="4" t="s">
        <v>226</v>
      </c>
      <c r="D178" s="31" t="s">
        <v>42</v>
      </c>
      <c r="E178" s="4" t="s">
        <v>414</v>
      </c>
      <c r="F178" s="5">
        <v>624302875</v>
      </c>
      <c r="G178" s="4"/>
      <c r="H178" s="4" t="s">
        <v>228</v>
      </c>
      <c r="I178" s="5">
        <v>25</v>
      </c>
      <c r="J178" s="4" t="s">
        <v>38</v>
      </c>
      <c r="K178" s="5">
        <v>1</v>
      </c>
      <c r="L178" s="4" t="s">
        <v>415</v>
      </c>
      <c r="M178" s="4" t="s">
        <v>416</v>
      </c>
      <c r="N178" s="4" t="s">
        <v>57</v>
      </c>
      <c r="O178" s="6">
        <v>45009</v>
      </c>
      <c r="P178" s="4"/>
      <c r="Q178" s="4" t="s">
        <v>232</v>
      </c>
      <c r="R178" s="4" t="s">
        <v>252</v>
      </c>
      <c r="S178" s="4" t="s">
        <v>59</v>
      </c>
      <c r="T178" s="5">
        <v>1</v>
      </c>
      <c r="U178" s="6">
        <v>45009</v>
      </c>
      <c r="V178" s="4" t="s">
        <v>1346</v>
      </c>
      <c r="W178" s="4"/>
      <c r="X178" s="4"/>
      <c r="Y178" s="4"/>
      <c r="Z178" s="4"/>
      <c r="AA178" s="4"/>
      <c r="AB178" s="4"/>
      <c r="AC178" s="4"/>
      <c r="AD178" s="4">
        <f t="shared" si="2"/>
        <v>12</v>
      </c>
    </row>
    <row r="179" spans="1:30" ht="39.75" thickBot="1" x14ac:dyDescent="0.3">
      <c r="A179" s="3">
        <v>45010.556550925925</v>
      </c>
      <c r="B179" s="4" t="s">
        <v>253</v>
      </c>
      <c r="C179" s="4" t="s">
        <v>417</v>
      </c>
      <c r="D179" s="31" t="s">
        <v>27</v>
      </c>
      <c r="E179" s="4" t="s">
        <v>418</v>
      </c>
      <c r="F179" s="5">
        <v>628720898</v>
      </c>
      <c r="G179" s="4"/>
      <c r="H179" s="4" t="s">
        <v>262</v>
      </c>
      <c r="I179" s="5">
        <v>10</v>
      </c>
      <c r="J179" s="4" t="s">
        <v>38</v>
      </c>
      <c r="K179" s="5">
        <v>10</v>
      </c>
      <c r="L179" s="4" t="s">
        <v>409</v>
      </c>
      <c r="M179" s="4" t="s">
        <v>409</v>
      </c>
      <c r="N179" s="4" t="s">
        <v>90</v>
      </c>
      <c r="O179" s="6">
        <v>45006</v>
      </c>
      <c r="P179" s="4"/>
      <c r="Q179" s="4" t="s">
        <v>260</v>
      </c>
      <c r="R179" s="4" t="s">
        <v>36</v>
      </c>
      <c r="S179" s="4" t="s">
        <v>59</v>
      </c>
      <c r="T179" s="5">
        <v>10</v>
      </c>
      <c r="U179" s="6">
        <v>45012</v>
      </c>
      <c r="V179" s="4" t="s">
        <v>1347</v>
      </c>
      <c r="W179" s="4"/>
      <c r="X179" s="4"/>
      <c r="Y179" s="4"/>
      <c r="Z179" s="4"/>
      <c r="AA179" s="4"/>
      <c r="AB179" s="4"/>
      <c r="AC179" s="4"/>
      <c r="AD179" s="4">
        <f t="shared" si="2"/>
        <v>12</v>
      </c>
    </row>
    <row r="180" spans="1:30" ht="27" thickBot="1" x14ac:dyDescent="0.3">
      <c r="A180" s="3">
        <v>45010.688032407408</v>
      </c>
      <c r="B180" s="4" t="s">
        <v>1769</v>
      </c>
      <c r="C180" s="4" t="s">
        <v>226</v>
      </c>
      <c r="D180" s="31" t="s">
        <v>42</v>
      </c>
      <c r="E180" s="4" t="s">
        <v>419</v>
      </c>
      <c r="F180" s="5">
        <v>621317998</v>
      </c>
      <c r="G180" s="4"/>
      <c r="H180" s="4" t="s">
        <v>228</v>
      </c>
      <c r="I180" s="5">
        <v>25</v>
      </c>
      <c r="J180" s="4" t="s">
        <v>38</v>
      </c>
      <c r="K180" s="5">
        <v>1</v>
      </c>
      <c r="L180" s="4" t="s">
        <v>73</v>
      </c>
      <c r="M180" s="4" t="s">
        <v>316</v>
      </c>
      <c r="N180" s="4" t="s">
        <v>57</v>
      </c>
      <c r="O180" s="6">
        <v>45010</v>
      </c>
      <c r="P180" s="4"/>
      <c r="Q180" s="4" t="s">
        <v>232</v>
      </c>
      <c r="R180" s="4" t="s">
        <v>36</v>
      </c>
      <c r="S180" s="4" t="s">
        <v>59</v>
      </c>
      <c r="T180" s="5">
        <v>1.5</v>
      </c>
      <c r="U180" s="6">
        <v>45010</v>
      </c>
      <c r="V180" s="4" t="s">
        <v>1346</v>
      </c>
      <c r="W180" s="4"/>
      <c r="X180" s="4"/>
      <c r="Y180" s="4"/>
      <c r="Z180" s="4"/>
      <c r="AA180" s="4"/>
      <c r="AB180" s="4"/>
      <c r="AC180" s="4"/>
      <c r="AD180" s="4">
        <f t="shared" si="2"/>
        <v>12</v>
      </c>
    </row>
    <row r="181" spans="1:30" ht="27" thickBot="1" x14ac:dyDescent="0.3">
      <c r="A181" s="3">
        <v>45010.696273148147</v>
      </c>
      <c r="B181" s="4" t="s">
        <v>1769</v>
      </c>
      <c r="C181" s="4" t="s">
        <v>226</v>
      </c>
      <c r="D181" s="31" t="s">
        <v>42</v>
      </c>
      <c r="E181" s="4" t="s">
        <v>420</v>
      </c>
      <c r="F181" s="5">
        <v>626445494</v>
      </c>
      <c r="G181" s="4"/>
      <c r="H181" s="4" t="s">
        <v>228</v>
      </c>
      <c r="I181" s="5">
        <v>15</v>
      </c>
      <c r="J181" s="4" t="s">
        <v>38</v>
      </c>
      <c r="K181" s="5">
        <v>1</v>
      </c>
      <c r="L181" s="4" t="s">
        <v>421</v>
      </c>
      <c r="M181" s="4" t="s">
        <v>316</v>
      </c>
      <c r="N181" s="4" t="s">
        <v>33</v>
      </c>
      <c r="O181" s="6">
        <v>45010</v>
      </c>
      <c r="P181" s="4"/>
      <c r="Q181" s="4" t="s">
        <v>232</v>
      </c>
      <c r="R181" s="4" t="s">
        <v>36</v>
      </c>
      <c r="S181" s="4"/>
      <c r="T181" s="4"/>
      <c r="U181" s="4"/>
      <c r="V181" s="4" t="s">
        <v>1372</v>
      </c>
      <c r="W181" s="4"/>
      <c r="X181" s="4"/>
      <c r="Y181" s="4"/>
      <c r="Z181" s="4"/>
      <c r="AA181" s="4"/>
      <c r="AB181" s="4"/>
      <c r="AC181" s="4"/>
      <c r="AD181" s="4">
        <f t="shared" si="2"/>
        <v>12</v>
      </c>
    </row>
    <row r="182" spans="1:30" ht="65.25" thickBot="1" x14ac:dyDescent="0.3">
      <c r="A182" s="3">
        <v>45012.357812499999</v>
      </c>
      <c r="B182" s="4" t="s">
        <v>1769</v>
      </c>
      <c r="C182" s="4" t="s">
        <v>226</v>
      </c>
      <c r="D182" s="31" t="s">
        <v>42</v>
      </c>
      <c r="E182" s="4" t="s">
        <v>422</v>
      </c>
      <c r="F182" s="5">
        <v>628084780</v>
      </c>
      <c r="G182" s="4"/>
      <c r="H182" s="4" t="s">
        <v>228</v>
      </c>
      <c r="I182" s="5">
        <v>18</v>
      </c>
      <c r="J182" s="4" t="s">
        <v>38</v>
      </c>
      <c r="K182" s="5">
        <v>1</v>
      </c>
      <c r="L182" s="4" t="s">
        <v>281</v>
      </c>
      <c r="M182" s="4" t="s">
        <v>282</v>
      </c>
      <c r="N182" s="4" t="s">
        <v>57</v>
      </c>
      <c r="O182" s="6">
        <v>45011</v>
      </c>
      <c r="P182" s="4" t="s">
        <v>423</v>
      </c>
      <c r="Q182" s="4" t="s">
        <v>232</v>
      </c>
      <c r="R182" s="4" t="s">
        <v>67</v>
      </c>
      <c r="S182" s="4" t="s">
        <v>59</v>
      </c>
      <c r="T182" s="5">
        <v>1.5</v>
      </c>
      <c r="U182" s="6">
        <v>45012</v>
      </c>
      <c r="V182" s="4" t="s">
        <v>1347</v>
      </c>
      <c r="W182" s="4"/>
      <c r="X182" s="4"/>
      <c r="Y182" s="4"/>
      <c r="Z182" s="4"/>
      <c r="AA182" s="4"/>
      <c r="AB182" s="4"/>
      <c r="AC182" s="4"/>
      <c r="AD182" s="4">
        <f t="shared" si="2"/>
        <v>13</v>
      </c>
    </row>
    <row r="183" spans="1:30" ht="27" thickBot="1" x14ac:dyDescent="0.3">
      <c r="A183" s="3">
        <v>45012.519965277781</v>
      </c>
      <c r="B183" s="4" t="s">
        <v>1769</v>
      </c>
      <c r="C183" s="4" t="s">
        <v>226</v>
      </c>
      <c r="D183" s="31" t="s">
        <v>42</v>
      </c>
      <c r="E183" s="4" t="s">
        <v>424</v>
      </c>
      <c r="F183" s="5">
        <v>622552214</v>
      </c>
      <c r="G183" s="4"/>
      <c r="H183" s="4" t="s">
        <v>228</v>
      </c>
      <c r="I183" s="5">
        <v>15</v>
      </c>
      <c r="J183" s="4" t="s">
        <v>38</v>
      </c>
      <c r="K183" s="5">
        <v>2</v>
      </c>
      <c r="L183" s="4" t="s">
        <v>361</v>
      </c>
      <c r="M183" s="4" t="s">
        <v>425</v>
      </c>
      <c r="N183" s="4" t="s">
        <v>57</v>
      </c>
      <c r="O183" s="6">
        <v>45012</v>
      </c>
      <c r="P183" s="4"/>
      <c r="Q183" s="4" t="s">
        <v>232</v>
      </c>
      <c r="R183" s="4" t="s">
        <v>36</v>
      </c>
      <c r="S183" s="4" t="s">
        <v>59</v>
      </c>
      <c r="T183" s="5">
        <v>2</v>
      </c>
      <c r="U183" s="6">
        <v>45012</v>
      </c>
      <c r="V183" s="4" t="s">
        <v>1347</v>
      </c>
      <c r="W183" s="4"/>
      <c r="X183" s="4"/>
      <c r="Y183" s="4"/>
      <c r="Z183" s="4"/>
      <c r="AA183" s="4"/>
      <c r="AB183" s="4"/>
      <c r="AC183" s="4"/>
      <c r="AD183" s="4">
        <f t="shared" si="2"/>
        <v>13</v>
      </c>
    </row>
    <row r="184" spans="1:30" ht="27" thickBot="1" x14ac:dyDescent="0.3">
      <c r="A184" s="3">
        <v>45013.462071759262</v>
      </c>
      <c r="B184" s="4" t="s">
        <v>1769</v>
      </c>
      <c r="C184" s="4" t="s">
        <v>226</v>
      </c>
      <c r="D184" s="31" t="s">
        <v>27</v>
      </c>
      <c r="E184" s="4" t="s">
        <v>426</v>
      </c>
      <c r="F184" s="5">
        <v>628190387</v>
      </c>
      <c r="G184" s="4"/>
      <c r="H184" s="4" t="s">
        <v>228</v>
      </c>
      <c r="I184" s="5">
        <v>30</v>
      </c>
      <c r="J184" s="4" t="s">
        <v>38</v>
      </c>
      <c r="K184" s="5">
        <v>5</v>
      </c>
      <c r="L184" s="4" t="s">
        <v>281</v>
      </c>
      <c r="M184" s="4" t="s">
        <v>282</v>
      </c>
      <c r="N184" s="4" t="s">
        <v>57</v>
      </c>
      <c r="O184" s="6">
        <v>45013</v>
      </c>
      <c r="P184" s="4"/>
      <c r="Q184" s="4" t="s">
        <v>232</v>
      </c>
      <c r="R184" s="4" t="s">
        <v>67</v>
      </c>
      <c r="S184" s="4" t="s">
        <v>59</v>
      </c>
      <c r="T184" s="5">
        <v>5</v>
      </c>
      <c r="U184" s="6">
        <v>45014</v>
      </c>
      <c r="V184" s="4" t="s">
        <v>1347</v>
      </c>
      <c r="W184" s="4"/>
      <c r="X184" s="4"/>
      <c r="Y184" s="4"/>
      <c r="Z184" s="4"/>
      <c r="AA184" s="4"/>
      <c r="AB184" s="4"/>
      <c r="AC184" s="4"/>
      <c r="AD184" s="4">
        <f t="shared" si="2"/>
        <v>13</v>
      </c>
    </row>
    <row r="185" spans="1:30" ht="27" thickBot="1" x14ac:dyDescent="0.3">
      <c r="A185" s="3">
        <v>45014.599641203706</v>
      </c>
      <c r="B185" s="4" t="s">
        <v>1769</v>
      </c>
      <c r="C185" s="4" t="s">
        <v>226</v>
      </c>
      <c r="D185" s="31" t="s">
        <v>42</v>
      </c>
      <c r="E185" s="4" t="s">
        <v>427</v>
      </c>
      <c r="F185" s="5">
        <v>626445494</v>
      </c>
      <c r="G185" s="4"/>
      <c r="H185" s="4" t="s">
        <v>228</v>
      </c>
      <c r="I185" s="5">
        <v>15</v>
      </c>
      <c r="J185" s="4" t="s">
        <v>38</v>
      </c>
      <c r="K185" s="5">
        <v>1</v>
      </c>
      <c r="L185" s="4" t="s">
        <v>421</v>
      </c>
      <c r="M185" s="4" t="s">
        <v>316</v>
      </c>
      <c r="N185" s="4" t="s">
        <v>33</v>
      </c>
      <c r="O185" s="6">
        <v>45010</v>
      </c>
      <c r="P185" s="4"/>
      <c r="Q185" s="4" t="s">
        <v>232</v>
      </c>
      <c r="R185" s="4" t="s">
        <v>36</v>
      </c>
      <c r="S185" s="4" t="s">
        <v>59</v>
      </c>
      <c r="T185" s="5">
        <v>1</v>
      </c>
      <c r="U185" s="6">
        <v>45010</v>
      </c>
      <c r="V185" s="4" t="s">
        <v>1346</v>
      </c>
      <c r="W185" s="4"/>
      <c r="X185" s="4"/>
      <c r="Y185" s="4"/>
      <c r="Z185" s="4"/>
      <c r="AA185" s="4"/>
      <c r="AB185" s="4"/>
      <c r="AC185" s="4"/>
      <c r="AD185" s="4">
        <f t="shared" si="2"/>
        <v>13</v>
      </c>
    </row>
    <row r="186" spans="1:30" ht="27" thickBot="1" x14ac:dyDescent="0.3">
      <c r="A186" s="3">
        <v>45014.604895833334</v>
      </c>
      <c r="B186" s="4" t="s">
        <v>1769</v>
      </c>
      <c r="C186" s="4" t="s">
        <v>226</v>
      </c>
      <c r="D186" s="31" t="s">
        <v>42</v>
      </c>
      <c r="E186" s="4" t="s">
        <v>198</v>
      </c>
      <c r="F186" s="5">
        <v>628403137</v>
      </c>
      <c r="G186" s="4"/>
      <c r="H186" s="4" t="s">
        <v>228</v>
      </c>
      <c r="I186" s="5">
        <v>25</v>
      </c>
      <c r="J186" s="4" t="s">
        <v>38</v>
      </c>
      <c r="K186" s="5">
        <v>3</v>
      </c>
      <c r="L186" s="4" t="s">
        <v>395</v>
      </c>
      <c r="M186" s="4" t="s">
        <v>316</v>
      </c>
      <c r="N186" s="4" t="s">
        <v>33</v>
      </c>
      <c r="O186" s="6">
        <v>45014</v>
      </c>
      <c r="P186" s="4"/>
      <c r="Q186" s="4" t="s">
        <v>232</v>
      </c>
      <c r="R186" s="4" t="s">
        <v>36</v>
      </c>
      <c r="S186" s="4" t="s">
        <v>59</v>
      </c>
      <c r="T186" s="5">
        <v>3</v>
      </c>
      <c r="U186" s="6">
        <v>45015</v>
      </c>
      <c r="V186" s="4" t="s">
        <v>1347</v>
      </c>
      <c r="W186" s="4"/>
      <c r="X186" s="4"/>
      <c r="Y186" s="4"/>
      <c r="Z186" s="4"/>
      <c r="AA186" s="4"/>
      <c r="AB186" s="4"/>
      <c r="AC186" s="4"/>
      <c r="AD186" s="4">
        <f t="shared" si="2"/>
        <v>13</v>
      </c>
    </row>
    <row r="187" spans="1:30" ht="192.75" thickBot="1" x14ac:dyDescent="0.3">
      <c r="A187" s="3">
        <v>45014.631793981483</v>
      </c>
      <c r="B187" s="4" t="s">
        <v>1769</v>
      </c>
      <c r="C187" s="4" t="s">
        <v>226</v>
      </c>
      <c r="D187" s="31" t="s">
        <v>42</v>
      </c>
      <c r="E187" s="4" t="s">
        <v>426</v>
      </c>
      <c r="F187" s="5">
        <v>628190387</v>
      </c>
      <c r="G187" s="4"/>
      <c r="H187" s="4" t="s">
        <v>228</v>
      </c>
      <c r="I187" s="5">
        <v>25</v>
      </c>
      <c r="J187" s="4" t="s">
        <v>38</v>
      </c>
      <c r="K187" s="5">
        <v>5</v>
      </c>
      <c r="L187" s="4" t="s">
        <v>281</v>
      </c>
      <c r="M187" s="4" t="s">
        <v>282</v>
      </c>
      <c r="N187" s="4" t="s">
        <v>57</v>
      </c>
      <c r="O187" s="6">
        <v>45013</v>
      </c>
      <c r="P187" s="4" t="s">
        <v>428</v>
      </c>
      <c r="Q187" s="4" t="s">
        <v>232</v>
      </c>
      <c r="R187" s="4" t="s">
        <v>67</v>
      </c>
      <c r="S187" s="4" t="s">
        <v>59</v>
      </c>
      <c r="T187" s="5">
        <v>5</v>
      </c>
      <c r="U187" s="6">
        <v>45014</v>
      </c>
      <c r="V187" s="4" t="s">
        <v>1347</v>
      </c>
      <c r="W187" s="4"/>
      <c r="X187" s="4"/>
      <c r="Y187" s="4"/>
      <c r="Z187" s="4"/>
      <c r="AA187" s="4"/>
      <c r="AB187" s="4"/>
      <c r="AC187" s="4"/>
      <c r="AD187" s="4">
        <f t="shared" si="2"/>
        <v>13</v>
      </c>
    </row>
    <row r="188" spans="1:30" ht="27" thickBot="1" x14ac:dyDescent="0.3">
      <c r="A188" s="3">
        <v>45016.365266203706</v>
      </c>
      <c r="B188" s="4" t="s">
        <v>1769</v>
      </c>
      <c r="C188" s="4" t="s">
        <v>226</v>
      </c>
      <c r="D188" s="31" t="s">
        <v>42</v>
      </c>
      <c r="E188" s="4" t="s">
        <v>429</v>
      </c>
      <c r="F188" s="5">
        <v>621245366</v>
      </c>
      <c r="G188" s="4"/>
      <c r="H188" s="4" t="s">
        <v>228</v>
      </c>
      <c r="I188" s="5">
        <v>25</v>
      </c>
      <c r="J188" s="4" t="s">
        <v>38</v>
      </c>
      <c r="K188" s="5">
        <v>1</v>
      </c>
      <c r="L188" s="4" t="s">
        <v>430</v>
      </c>
      <c r="M188" s="4" t="s">
        <v>316</v>
      </c>
      <c r="N188" s="4" t="s">
        <v>90</v>
      </c>
      <c r="O188" s="6">
        <v>45015</v>
      </c>
      <c r="P188" s="4"/>
      <c r="Q188" s="4" t="s">
        <v>232</v>
      </c>
      <c r="R188" s="4" t="s">
        <v>36</v>
      </c>
      <c r="S188" s="4" t="s">
        <v>59</v>
      </c>
      <c r="T188" s="5">
        <v>1</v>
      </c>
      <c r="U188" s="6">
        <v>45016</v>
      </c>
      <c r="V188" s="4" t="s">
        <v>1347</v>
      </c>
      <c r="W188" s="4"/>
      <c r="X188" s="4"/>
      <c r="Y188" s="4"/>
      <c r="Z188" s="4"/>
      <c r="AA188" s="4"/>
      <c r="AB188" s="4"/>
      <c r="AC188" s="4"/>
      <c r="AD188" s="4">
        <f t="shared" si="2"/>
        <v>13</v>
      </c>
    </row>
    <row r="189" spans="1:30" ht="39.75" thickBot="1" x14ac:dyDescent="0.3">
      <c r="A189" s="3">
        <v>45016.44085648148</v>
      </c>
      <c r="B189" s="4" t="s">
        <v>79</v>
      </c>
      <c r="C189" s="4" t="s">
        <v>80</v>
      </c>
      <c r="D189" s="31" t="s">
        <v>42</v>
      </c>
      <c r="E189" s="4" t="s">
        <v>431</v>
      </c>
      <c r="F189" s="5">
        <v>628154646</v>
      </c>
      <c r="G189" s="5">
        <v>0</v>
      </c>
      <c r="H189" s="4" t="s">
        <v>432</v>
      </c>
      <c r="I189" s="5">
        <v>12</v>
      </c>
      <c r="J189" s="4" t="s">
        <v>38</v>
      </c>
      <c r="K189" s="5">
        <v>1</v>
      </c>
      <c r="L189" s="4" t="s">
        <v>433</v>
      </c>
      <c r="M189" s="4" t="s">
        <v>316</v>
      </c>
      <c r="N189" s="4" t="s">
        <v>33</v>
      </c>
      <c r="O189" s="6">
        <v>45016</v>
      </c>
      <c r="P189" s="4" t="s">
        <v>434</v>
      </c>
      <c r="Q189" s="4" t="s">
        <v>86</v>
      </c>
      <c r="R189" s="4" t="s">
        <v>67</v>
      </c>
      <c r="S189" s="4" t="s">
        <v>59</v>
      </c>
      <c r="T189" s="5">
        <v>1</v>
      </c>
      <c r="U189" s="6">
        <v>45016</v>
      </c>
      <c r="V189" s="4" t="s">
        <v>1347</v>
      </c>
      <c r="W189" s="4"/>
      <c r="X189" s="4"/>
      <c r="Y189" s="4"/>
      <c r="Z189" s="4"/>
      <c r="AA189" s="4"/>
      <c r="AB189" s="4"/>
      <c r="AC189" s="4"/>
      <c r="AD189" s="4">
        <f t="shared" si="2"/>
        <v>13</v>
      </c>
    </row>
    <row r="190" spans="1:30" ht="39.75" thickBot="1" x14ac:dyDescent="0.3">
      <c r="A190" s="3">
        <v>45016.447511574072</v>
      </c>
      <c r="B190" s="4" t="s">
        <v>79</v>
      </c>
      <c r="C190" s="4" t="s">
        <v>80</v>
      </c>
      <c r="D190" s="31" t="s">
        <v>42</v>
      </c>
      <c r="E190" s="4" t="s">
        <v>435</v>
      </c>
      <c r="F190" s="5">
        <v>628308285</v>
      </c>
      <c r="G190" s="5">
        <v>0</v>
      </c>
      <c r="H190" s="4" t="s">
        <v>436</v>
      </c>
      <c r="I190" s="5">
        <v>12</v>
      </c>
      <c r="J190" s="4" t="s">
        <v>30</v>
      </c>
      <c r="K190" s="5">
        <v>2</v>
      </c>
      <c r="L190" s="4" t="s">
        <v>437</v>
      </c>
      <c r="M190" s="4" t="s">
        <v>89</v>
      </c>
      <c r="N190" s="4" t="s">
        <v>33</v>
      </c>
      <c r="O190" s="6">
        <v>45017</v>
      </c>
      <c r="P190" s="4" t="s">
        <v>85</v>
      </c>
      <c r="Q190" s="4" t="s">
        <v>86</v>
      </c>
      <c r="R190" s="4" t="s">
        <v>36</v>
      </c>
      <c r="S190" s="8" t="s">
        <v>59</v>
      </c>
      <c r="T190" s="5">
        <v>2</v>
      </c>
      <c r="U190" s="6">
        <v>45016</v>
      </c>
      <c r="V190" s="4" t="s">
        <v>1347</v>
      </c>
      <c r="W190" s="4"/>
      <c r="X190" s="4"/>
      <c r="Y190" s="4"/>
      <c r="Z190" s="4"/>
      <c r="AA190" s="4"/>
      <c r="AB190" s="4"/>
      <c r="AC190" s="4"/>
      <c r="AD190" s="4">
        <f t="shared" si="2"/>
        <v>13</v>
      </c>
    </row>
    <row r="191" spans="1:30" ht="39.75" thickBot="1" x14ac:dyDescent="0.3">
      <c r="A191" s="3">
        <v>45016.452488425923</v>
      </c>
      <c r="B191" s="4" t="s">
        <v>79</v>
      </c>
      <c r="C191" s="4" t="s">
        <v>80</v>
      </c>
      <c r="D191" s="31" t="s">
        <v>42</v>
      </c>
      <c r="E191" s="4" t="s">
        <v>438</v>
      </c>
      <c r="F191" s="5">
        <v>666596193</v>
      </c>
      <c r="G191" s="5">
        <v>0</v>
      </c>
      <c r="H191" s="4" t="s">
        <v>365</v>
      </c>
      <c r="I191" s="5">
        <v>85</v>
      </c>
      <c r="J191" s="4" t="s">
        <v>30</v>
      </c>
      <c r="K191" s="5">
        <v>2</v>
      </c>
      <c r="L191" s="4" t="s">
        <v>439</v>
      </c>
      <c r="M191" s="4" t="s">
        <v>89</v>
      </c>
      <c r="N191" s="4" t="s">
        <v>47</v>
      </c>
      <c r="O191" s="6">
        <v>45018</v>
      </c>
      <c r="P191" s="4" t="s">
        <v>85</v>
      </c>
      <c r="Q191" s="4" t="s">
        <v>86</v>
      </c>
      <c r="R191" s="4" t="s">
        <v>36</v>
      </c>
      <c r="S191" s="8" t="s">
        <v>59</v>
      </c>
      <c r="T191" s="5">
        <v>2</v>
      </c>
      <c r="U191" s="6">
        <v>45016</v>
      </c>
      <c r="V191" s="4" t="s">
        <v>1347</v>
      </c>
      <c r="W191" s="4"/>
      <c r="X191" s="4"/>
      <c r="Y191" s="4"/>
      <c r="Z191" s="4"/>
      <c r="AA191" s="4"/>
      <c r="AB191" s="4"/>
      <c r="AC191" s="4"/>
      <c r="AD191" s="4">
        <f t="shared" si="2"/>
        <v>13</v>
      </c>
    </row>
    <row r="192" spans="1:30" ht="27" thickBot="1" x14ac:dyDescent="0.3">
      <c r="A192" s="3">
        <v>45016.595775462964</v>
      </c>
      <c r="B192" s="4" t="s">
        <v>1769</v>
      </c>
      <c r="C192" s="4" t="s">
        <v>226</v>
      </c>
      <c r="D192" s="31" t="s">
        <v>42</v>
      </c>
      <c r="E192" s="4" t="s">
        <v>440</v>
      </c>
      <c r="F192" s="5">
        <v>629193335</v>
      </c>
      <c r="G192" s="4"/>
      <c r="H192" s="4" t="s">
        <v>228</v>
      </c>
      <c r="I192" s="5">
        <v>25</v>
      </c>
      <c r="J192" s="4" t="s">
        <v>38</v>
      </c>
      <c r="K192" s="5">
        <v>2</v>
      </c>
      <c r="L192" s="4" t="s">
        <v>46</v>
      </c>
      <c r="M192" s="4" t="s">
        <v>316</v>
      </c>
      <c r="N192" s="4" t="s">
        <v>33</v>
      </c>
      <c r="O192" s="6">
        <v>45016</v>
      </c>
      <c r="P192" s="4"/>
      <c r="Q192" s="4" t="s">
        <v>232</v>
      </c>
      <c r="R192" s="4" t="s">
        <v>36</v>
      </c>
      <c r="S192" s="4" t="s">
        <v>59</v>
      </c>
      <c r="T192" s="5">
        <v>2</v>
      </c>
      <c r="U192" s="6">
        <v>45016</v>
      </c>
      <c r="V192" s="4" t="s">
        <v>1347</v>
      </c>
      <c r="W192" s="4"/>
      <c r="X192" s="4"/>
      <c r="Y192" s="4"/>
      <c r="Z192" s="4"/>
      <c r="AA192" s="4"/>
      <c r="AB192" s="4"/>
      <c r="AC192" s="4"/>
      <c r="AD192" s="4">
        <f t="shared" si="2"/>
        <v>13</v>
      </c>
    </row>
    <row r="193" spans="1:30" ht="65.25" thickBot="1" x14ac:dyDescent="0.3">
      <c r="A193" s="3">
        <v>45016.84238425926</v>
      </c>
      <c r="B193" s="4" t="s">
        <v>25</v>
      </c>
      <c r="C193" s="4" t="s">
        <v>26</v>
      </c>
      <c r="D193" s="31" t="s">
        <v>42</v>
      </c>
      <c r="E193" s="4" t="s">
        <v>441</v>
      </c>
      <c r="F193" s="5">
        <v>622564008</v>
      </c>
      <c r="G193" s="4"/>
      <c r="H193" s="4" t="s">
        <v>111</v>
      </c>
      <c r="I193" s="5">
        <v>12</v>
      </c>
      <c r="J193" s="4" t="s">
        <v>38</v>
      </c>
      <c r="K193" s="5">
        <v>3</v>
      </c>
      <c r="L193" s="4" t="s">
        <v>442</v>
      </c>
      <c r="M193" s="4" t="s">
        <v>32</v>
      </c>
      <c r="N193" s="4" t="s">
        <v>33</v>
      </c>
      <c r="O193" s="6">
        <v>45016</v>
      </c>
      <c r="P193" s="4" t="s">
        <v>34</v>
      </c>
      <c r="Q193" s="4" t="s">
        <v>35</v>
      </c>
      <c r="R193" s="4" t="s">
        <v>36</v>
      </c>
      <c r="S193" s="4" t="s">
        <v>59</v>
      </c>
      <c r="T193" s="5">
        <v>5</v>
      </c>
      <c r="U193" s="6">
        <v>45016</v>
      </c>
      <c r="V193" s="4" t="s">
        <v>1347</v>
      </c>
      <c r="W193" s="4" t="s">
        <v>733</v>
      </c>
      <c r="X193" s="4"/>
      <c r="Y193" s="4"/>
      <c r="Z193" s="4"/>
      <c r="AA193" s="4"/>
      <c r="AB193" s="4"/>
      <c r="AC193" s="4"/>
      <c r="AD193" s="4">
        <f t="shared" si="2"/>
        <v>13</v>
      </c>
    </row>
    <row r="194" spans="1:30" ht="65.25" thickBot="1" x14ac:dyDescent="0.3">
      <c r="A194" s="3">
        <v>45016.846365740741</v>
      </c>
      <c r="B194" s="4" t="s">
        <v>25</v>
      </c>
      <c r="C194" s="4" t="s">
        <v>26</v>
      </c>
      <c r="D194" s="31" t="s">
        <v>42</v>
      </c>
      <c r="E194" s="4" t="s">
        <v>443</v>
      </c>
      <c r="F194" s="5">
        <v>622901681</v>
      </c>
      <c r="G194" s="4"/>
      <c r="H194" s="4" t="s">
        <v>29</v>
      </c>
      <c r="I194" s="5">
        <v>5</v>
      </c>
      <c r="J194" s="4" t="s">
        <v>38</v>
      </c>
      <c r="K194" s="5">
        <v>2</v>
      </c>
      <c r="L194" s="4" t="s">
        <v>52</v>
      </c>
      <c r="M194" s="4" t="s">
        <v>32</v>
      </c>
      <c r="N194" s="4" t="s">
        <v>33</v>
      </c>
      <c r="O194" s="6">
        <v>45018</v>
      </c>
      <c r="P194" s="4" t="s">
        <v>34</v>
      </c>
      <c r="Q194" s="4" t="s">
        <v>35</v>
      </c>
      <c r="R194" s="4" t="s">
        <v>36</v>
      </c>
      <c r="S194" s="4" t="s">
        <v>59</v>
      </c>
      <c r="T194" s="5">
        <v>2</v>
      </c>
      <c r="U194" s="6">
        <v>45016</v>
      </c>
      <c r="V194" s="4" t="s">
        <v>1347</v>
      </c>
      <c r="W194" s="4"/>
      <c r="X194" s="4"/>
      <c r="Y194" s="4"/>
      <c r="Z194" s="4"/>
      <c r="AA194" s="4"/>
      <c r="AB194" s="4"/>
      <c r="AC194" s="4"/>
      <c r="AD194" s="4">
        <f t="shared" si="2"/>
        <v>13</v>
      </c>
    </row>
    <row r="195" spans="1:30" ht="39.75" thickBot="1" x14ac:dyDescent="0.3">
      <c r="A195" s="3">
        <v>45017.37128472222</v>
      </c>
      <c r="B195" s="4" t="s">
        <v>1769</v>
      </c>
      <c r="C195" s="4" t="s">
        <v>226</v>
      </c>
      <c r="D195" s="31" t="s">
        <v>27</v>
      </c>
      <c r="E195" s="4" t="s">
        <v>444</v>
      </c>
      <c r="F195" s="5">
        <v>628787084</v>
      </c>
      <c r="G195" s="4"/>
      <c r="H195" s="4" t="s">
        <v>445</v>
      </c>
      <c r="I195" s="5">
        <v>34</v>
      </c>
      <c r="J195" s="4" t="s">
        <v>38</v>
      </c>
      <c r="K195" s="5">
        <v>5</v>
      </c>
      <c r="L195" s="4" t="s">
        <v>31</v>
      </c>
      <c r="M195" s="4" t="s">
        <v>316</v>
      </c>
      <c r="N195" s="4" t="s">
        <v>47</v>
      </c>
      <c r="O195" s="6">
        <v>45017</v>
      </c>
      <c r="P195" s="4"/>
      <c r="Q195" s="4" t="s">
        <v>232</v>
      </c>
      <c r="R195" s="4" t="s">
        <v>36</v>
      </c>
      <c r="S195" s="4" t="s">
        <v>59</v>
      </c>
      <c r="T195" s="5">
        <v>10</v>
      </c>
      <c r="U195" s="6">
        <v>45017</v>
      </c>
      <c r="V195" s="4" t="s">
        <v>1347</v>
      </c>
      <c r="W195" s="4"/>
      <c r="X195" s="4"/>
      <c r="Y195" s="4"/>
      <c r="Z195" s="4"/>
      <c r="AA195" s="4"/>
      <c r="AB195" s="4"/>
      <c r="AC195" s="4"/>
      <c r="AD195" s="4">
        <f t="shared" ref="AD195:AD258" si="3">WEEKNUM(LEFT(A195,10))</f>
        <v>13</v>
      </c>
    </row>
    <row r="196" spans="1:30" ht="27" thickBot="1" x14ac:dyDescent="0.3">
      <c r="A196" s="3">
        <v>45017.522268518522</v>
      </c>
      <c r="B196" s="4" t="s">
        <v>391</v>
      </c>
      <c r="C196" s="4" t="s">
        <v>392</v>
      </c>
      <c r="D196" s="31" t="s">
        <v>42</v>
      </c>
      <c r="E196" s="4" t="s">
        <v>446</v>
      </c>
      <c r="F196" s="5">
        <v>625411748</v>
      </c>
      <c r="G196" s="5">
        <v>625411748</v>
      </c>
      <c r="H196" s="4" t="s">
        <v>447</v>
      </c>
      <c r="I196" s="5">
        <v>18</v>
      </c>
      <c r="J196" s="4" t="s">
        <v>30</v>
      </c>
      <c r="K196" s="5">
        <v>10</v>
      </c>
      <c r="L196" s="4" t="s">
        <v>448</v>
      </c>
      <c r="M196" s="4" t="s">
        <v>448</v>
      </c>
      <c r="N196" s="4" t="s">
        <v>47</v>
      </c>
      <c r="O196" s="6">
        <v>45026</v>
      </c>
      <c r="P196" s="4" t="s">
        <v>449</v>
      </c>
      <c r="Q196" s="4" t="s">
        <v>397</v>
      </c>
      <c r="R196" s="4" t="s">
        <v>252</v>
      </c>
      <c r="S196" s="4" t="s">
        <v>59</v>
      </c>
      <c r="T196" s="5">
        <v>10</v>
      </c>
      <c r="U196" s="6">
        <v>45021</v>
      </c>
      <c r="V196" s="4" t="s">
        <v>1348</v>
      </c>
      <c r="W196" s="4"/>
      <c r="X196" s="4"/>
      <c r="Y196" s="4"/>
      <c r="Z196" s="4"/>
      <c r="AA196" s="4"/>
      <c r="AB196" s="4"/>
      <c r="AC196" s="4"/>
      <c r="AD196" s="4">
        <f t="shared" si="3"/>
        <v>13</v>
      </c>
    </row>
    <row r="197" spans="1:30" ht="27" thickBot="1" x14ac:dyDescent="0.3">
      <c r="A197" s="3">
        <v>45018.630532407406</v>
      </c>
      <c r="B197" s="4" t="s">
        <v>234</v>
      </c>
      <c r="C197" s="4" t="s">
        <v>235</v>
      </c>
      <c r="D197" s="31" t="s">
        <v>42</v>
      </c>
      <c r="E197" s="8" t="s">
        <v>450</v>
      </c>
      <c r="F197" s="5">
        <v>662434317</v>
      </c>
      <c r="G197" s="4"/>
      <c r="H197" s="4" t="s">
        <v>451</v>
      </c>
      <c r="I197" s="5">
        <v>64</v>
      </c>
      <c r="J197" s="4" t="s">
        <v>30</v>
      </c>
      <c r="K197" s="5">
        <v>2.5</v>
      </c>
      <c r="L197" s="4" t="s">
        <v>333</v>
      </c>
      <c r="M197" s="4" t="s">
        <v>333</v>
      </c>
      <c r="N197" s="4" t="s">
        <v>33</v>
      </c>
      <c r="O197" s="6">
        <v>45019</v>
      </c>
      <c r="P197" s="4"/>
      <c r="Q197" s="4" t="s">
        <v>240</v>
      </c>
      <c r="R197" s="4" t="s">
        <v>36</v>
      </c>
      <c r="S197" s="4" t="s">
        <v>59</v>
      </c>
      <c r="T197" s="5">
        <v>2.5</v>
      </c>
      <c r="U197" s="6">
        <v>45018</v>
      </c>
      <c r="V197" s="4" t="s">
        <v>1348</v>
      </c>
      <c r="W197" s="4"/>
      <c r="X197" s="4"/>
      <c r="Y197" s="4"/>
      <c r="Z197" s="4"/>
      <c r="AA197" s="4"/>
      <c r="AB197" s="4"/>
      <c r="AC197" s="4"/>
      <c r="AD197" s="4">
        <f t="shared" si="3"/>
        <v>14</v>
      </c>
    </row>
    <row r="198" spans="1:30" ht="65.25" thickBot="1" x14ac:dyDescent="0.3">
      <c r="A198" s="3">
        <v>45019.321087962962</v>
      </c>
      <c r="B198" s="4" t="s">
        <v>25</v>
      </c>
      <c r="C198" s="4" t="s">
        <v>26</v>
      </c>
      <c r="D198" s="31" t="s">
        <v>42</v>
      </c>
      <c r="E198" s="4" t="s">
        <v>452</v>
      </c>
      <c r="F198" s="5">
        <v>621816250</v>
      </c>
      <c r="G198" s="4"/>
      <c r="H198" s="4" t="s">
        <v>45</v>
      </c>
      <c r="I198" s="5">
        <v>65</v>
      </c>
      <c r="J198" s="4" t="s">
        <v>38</v>
      </c>
      <c r="K198" s="5">
        <v>13</v>
      </c>
      <c r="L198" s="4" t="s">
        <v>453</v>
      </c>
      <c r="M198" s="4" t="s">
        <v>453</v>
      </c>
      <c r="N198" s="4" t="s">
        <v>57</v>
      </c>
      <c r="O198" s="6">
        <v>45026</v>
      </c>
      <c r="P198" s="4" t="s">
        <v>34</v>
      </c>
      <c r="Q198" s="4" t="s">
        <v>35</v>
      </c>
      <c r="R198" s="4" t="s">
        <v>454</v>
      </c>
      <c r="S198" s="4" t="s">
        <v>59</v>
      </c>
      <c r="T198" s="5">
        <v>5</v>
      </c>
      <c r="U198" s="6">
        <v>45019</v>
      </c>
      <c r="V198" s="4" t="s">
        <v>1348</v>
      </c>
      <c r="W198" s="4"/>
      <c r="X198" s="4"/>
      <c r="Y198" s="4"/>
      <c r="Z198" s="4"/>
      <c r="AA198" s="4"/>
      <c r="AB198" s="4"/>
      <c r="AC198" s="4"/>
      <c r="AD198" s="4">
        <f t="shared" si="3"/>
        <v>14</v>
      </c>
    </row>
    <row r="199" spans="1:30" ht="65.25" thickBot="1" x14ac:dyDescent="0.3">
      <c r="A199" s="3">
        <v>45019.407476851855</v>
      </c>
      <c r="B199" s="4" t="s">
        <v>25</v>
      </c>
      <c r="C199" s="4" t="s">
        <v>26</v>
      </c>
      <c r="D199" s="31" t="s">
        <v>42</v>
      </c>
      <c r="E199" s="4" t="s">
        <v>374</v>
      </c>
      <c r="F199" s="5">
        <v>628649465</v>
      </c>
      <c r="G199" s="4"/>
      <c r="H199" s="4" t="s">
        <v>45</v>
      </c>
      <c r="I199" s="5">
        <v>90</v>
      </c>
      <c r="J199" s="4" t="s">
        <v>38</v>
      </c>
      <c r="K199" s="4" t="s">
        <v>455</v>
      </c>
      <c r="L199" s="4" t="s">
        <v>52</v>
      </c>
      <c r="M199" s="4" t="s">
        <v>32</v>
      </c>
      <c r="N199" s="4" t="s">
        <v>33</v>
      </c>
      <c r="O199" s="6">
        <v>45019</v>
      </c>
      <c r="P199" s="4" t="s">
        <v>456</v>
      </c>
      <c r="Q199" s="4" t="s">
        <v>35</v>
      </c>
      <c r="R199" s="4" t="s">
        <v>36</v>
      </c>
      <c r="S199" s="4" t="s">
        <v>59</v>
      </c>
      <c r="T199" s="5">
        <v>2.5</v>
      </c>
      <c r="U199" s="6">
        <v>45019</v>
      </c>
      <c r="V199" s="4" t="s">
        <v>1348</v>
      </c>
      <c r="W199" s="4"/>
      <c r="X199" s="4"/>
      <c r="Y199" s="4"/>
      <c r="Z199" s="4"/>
      <c r="AA199" s="4"/>
      <c r="AB199" s="4"/>
      <c r="AC199" s="4"/>
      <c r="AD199" s="4">
        <f t="shared" si="3"/>
        <v>14</v>
      </c>
    </row>
    <row r="200" spans="1:30" ht="39.75" thickBot="1" x14ac:dyDescent="0.3">
      <c r="A200" s="3">
        <v>45019.431539351855</v>
      </c>
      <c r="B200" s="4" t="s">
        <v>253</v>
      </c>
      <c r="C200" s="4" t="s">
        <v>457</v>
      </c>
      <c r="D200" s="31" t="s">
        <v>42</v>
      </c>
      <c r="E200" s="4" t="s">
        <v>458</v>
      </c>
      <c r="F200" s="5">
        <v>620161706</v>
      </c>
      <c r="G200" s="4"/>
      <c r="H200" s="4" t="s">
        <v>459</v>
      </c>
      <c r="I200" s="5">
        <v>180</v>
      </c>
      <c r="J200" s="4" t="s">
        <v>38</v>
      </c>
      <c r="K200" s="5">
        <v>50</v>
      </c>
      <c r="L200" s="4" t="s">
        <v>252</v>
      </c>
      <c r="M200" s="4" t="s">
        <v>252</v>
      </c>
      <c r="N200" s="4" t="s">
        <v>57</v>
      </c>
      <c r="O200" s="6">
        <v>45026</v>
      </c>
      <c r="P200" s="4" t="s">
        <v>460</v>
      </c>
      <c r="Q200" s="4" t="s">
        <v>260</v>
      </c>
      <c r="R200" s="4" t="s">
        <v>252</v>
      </c>
      <c r="S200" s="4"/>
      <c r="T200" s="4"/>
      <c r="U200" s="4"/>
      <c r="V200" s="4" t="s">
        <v>1372</v>
      </c>
      <c r="W200" s="4"/>
      <c r="X200" s="4"/>
      <c r="Y200" s="4"/>
      <c r="Z200" s="4"/>
      <c r="AA200" s="4"/>
      <c r="AB200" s="4"/>
      <c r="AC200" s="4"/>
      <c r="AD200" s="4">
        <f t="shared" si="3"/>
        <v>14</v>
      </c>
    </row>
    <row r="201" spans="1:30" ht="39.75" thickBot="1" x14ac:dyDescent="0.3">
      <c r="A201" s="3">
        <v>45019.724652777775</v>
      </c>
      <c r="B201" s="4" t="s">
        <v>253</v>
      </c>
      <c r="C201" s="4" t="s">
        <v>461</v>
      </c>
      <c r="D201" s="31" t="s">
        <v>42</v>
      </c>
      <c r="E201" s="4" t="s">
        <v>462</v>
      </c>
      <c r="F201" s="5">
        <v>628659311</v>
      </c>
      <c r="G201" s="4"/>
      <c r="H201" s="4" t="s">
        <v>262</v>
      </c>
      <c r="I201" s="5">
        <v>20</v>
      </c>
      <c r="J201" s="4" t="s">
        <v>38</v>
      </c>
      <c r="K201" s="5">
        <v>4</v>
      </c>
      <c r="L201" s="4" t="s">
        <v>463</v>
      </c>
      <c r="M201" s="4" t="s">
        <v>463</v>
      </c>
      <c r="N201" s="4" t="s">
        <v>90</v>
      </c>
      <c r="O201" s="6">
        <v>45023</v>
      </c>
      <c r="P201" s="4"/>
      <c r="Q201" s="4" t="s">
        <v>260</v>
      </c>
      <c r="R201" s="4" t="s">
        <v>36</v>
      </c>
      <c r="S201" s="4"/>
      <c r="T201" s="4"/>
      <c r="U201" s="4"/>
      <c r="V201" s="4" t="s">
        <v>1372</v>
      </c>
      <c r="W201" s="4"/>
      <c r="X201" s="4"/>
      <c r="Y201" s="4"/>
      <c r="Z201" s="4"/>
      <c r="AA201" s="4"/>
      <c r="AB201" s="4"/>
      <c r="AC201" s="4"/>
      <c r="AD201" s="4">
        <f t="shared" si="3"/>
        <v>14</v>
      </c>
    </row>
    <row r="202" spans="1:30" ht="39.75" thickBot="1" x14ac:dyDescent="0.3">
      <c r="A202" s="3">
        <v>45019.729085648149</v>
      </c>
      <c r="B202" s="4" t="s">
        <v>253</v>
      </c>
      <c r="C202" s="4" t="s">
        <v>461</v>
      </c>
      <c r="D202" s="31" t="s">
        <v>42</v>
      </c>
      <c r="E202" s="4" t="s">
        <v>464</v>
      </c>
      <c r="F202" s="5">
        <v>623024358</v>
      </c>
      <c r="G202" s="4"/>
      <c r="H202" s="4" t="s">
        <v>262</v>
      </c>
      <c r="I202" s="5">
        <v>25</v>
      </c>
      <c r="J202" s="4" t="s">
        <v>38</v>
      </c>
      <c r="K202" s="5">
        <v>5</v>
      </c>
      <c r="L202" s="4" t="s">
        <v>465</v>
      </c>
      <c r="M202" s="4" t="s">
        <v>466</v>
      </c>
      <c r="N202" s="4" t="s">
        <v>57</v>
      </c>
      <c r="O202" s="6">
        <v>45028</v>
      </c>
      <c r="P202" s="4"/>
      <c r="Q202" s="4" t="s">
        <v>260</v>
      </c>
      <c r="R202" s="4" t="s">
        <v>252</v>
      </c>
      <c r="S202" s="4"/>
      <c r="T202" s="4"/>
      <c r="U202" s="4"/>
      <c r="V202" s="4" t="s">
        <v>1372</v>
      </c>
      <c r="W202" s="4"/>
      <c r="X202" s="4"/>
      <c r="Y202" s="4"/>
      <c r="Z202" s="4"/>
      <c r="AA202" s="4"/>
      <c r="AB202" s="4"/>
      <c r="AC202" s="4"/>
      <c r="AD202" s="4">
        <f t="shared" si="3"/>
        <v>14</v>
      </c>
    </row>
    <row r="203" spans="1:30" ht="39.75" thickBot="1" x14ac:dyDescent="0.3">
      <c r="A203" s="3">
        <v>45019.73101851852</v>
      </c>
      <c r="B203" s="4" t="s">
        <v>253</v>
      </c>
      <c r="C203" s="4" t="s">
        <v>461</v>
      </c>
      <c r="D203" s="31" t="s">
        <v>42</v>
      </c>
      <c r="E203" s="4" t="s">
        <v>467</v>
      </c>
      <c r="F203" s="5">
        <v>622644426</v>
      </c>
      <c r="G203" s="4"/>
      <c r="H203" s="4" t="s">
        <v>262</v>
      </c>
      <c r="I203" s="5">
        <v>15</v>
      </c>
      <c r="J203" s="4" t="s">
        <v>38</v>
      </c>
      <c r="K203" s="5">
        <v>4</v>
      </c>
      <c r="L203" s="4" t="s">
        <v>463</v>
      </c>
      <c r="M203" s="4" t="s">
        <v>468</v>
      </c>
      <c r="N203" s="4" t="s">
        <v>47</v>
      </c>
      <c r="O203" s="6">
        <v>45029</v>
      </c>
      <c r="P203" s="4"/>
      <c r="Q203" s="4" t="s">
        <v>260</v>
      </c>
      <c r="R203" s="4" t="s">
        <v>36</v>
      </c>
      <c r="S203" s="4"/>
      <c r="T203" s="4"/>
      <c r="U203" s="4"/>
      <c r="V203" s="4" t="s">
        <v>1372</v>
      </c>
      <c r="W203" s="4"/>
      <c r="X203" s="4"/>
      <c r="Y203" s="4"/>
      <c r="Z203" s="4"/>
      <c r="AA203" s="4"/>
      <c r="AB203" s="4"/>
      <c r="AC203" s="4"/>
      <c r="AD203" s="4">
        <f t="shared" si="3"/>
        <v>14</v>
      </c>
    </row>
    <row r="204" spans="1:30" ht="39.75" thickBot="1" x14ac:dyDescent="0.3">
      <c r="A204" s="3">
        <v>45019.733599537038</v>
      </c>
      <c r="B204" s="4" t="s">
        <v>253</v>
      </c>
      <c r="C204" s="4" t="s">
        <v>461</v>
      </c>
      <c r="D204" s="31" t="s">
        <v>42</v>
      </c>
      <c r="E204" s="4" t="s">
        <v>469</v>
      </c>
      <c r="F204" s="5">
        <v>628660594</v>
      </c>
      <c r="G204" s="4"/>
      <c r="H204" s="4" t="s">
        <v>262</v>
      </c>
      <c r="I204" s="5">
        <v>20</v>
      </c>
      <c r="J204" s="4" t="s">
        <v>38</v>
      </c>
      <c r="K204" s="5">
        <v>3</v>
      </c>
      <c r="L204" s="4" t="s">
        <v>470</v>
      </c>
      <c r="M204" s="4" t="s">
        <v>468</v>
      </c>
      <c r="N204" s="4" t="s">
        <v>47</v>
      </c>
      <c r="O204" s="6">
        <v>45027</v>
      </c>
      <c r="P204" s="4"/>
      <c r="Q204" s="4" t="s">
        <v>260</v>
      </c>
      <c r="R204" s="4" t="s">
        <v>36</v>
      </c>
      <c r="S204" s="4"/>
      <c r="T204" s="4"/>
      <c r="U204" s="4"/>
      <c r="V204" s="4" t="s">
        <v>1372</v>
      </c>
      <c r="W204" s="4"/>
      <c r="X204" s="4"/>
      <c r="Y204" s="4"/>
      <c r="Z204" s="4"/>
      <c r="AA204" s="4"/>
      <c r="AB204" s="4"/>
      <c r="AC204" s="4"/>
      <c r="AD204" s="4">
        <f t="shared" si="3"/>
        <v>14</v>
      </c>
    </row>
    <row r="205" spans="1:30" ht="39.75" thickBot="1" x14ac:dyDescent="0.3">
      <c r="A205" s="3">
        <v>45019.737673611111</v>
      </c>
      <c r="B205" s="4" t="s">
        <v>253</v>
      </c>
      <c r="C205" s="4" t="s">
        <v>461</v>
      </c>
      <c r="D205" s="31" t="s">
        <v>42</v>
      </c>
      <c r="E205" s="4" t="s">
        <v>471</v>
      </c>
      <c r="F205" s="5">
        <v>622139331</v>
      </c>
      <c r="G205" s="4"/>
      <c r="H205" s="4" t="s">
        <v>472</v>
      </c>
      <c r="I205" s="5">
        <v>10</v>
      </c>
      <c r="J205" s="4" t="s">
        <v>38</v>
      </c>
      <c r="K205" s="5">
        <v>10</v>
      </c>
      <c r="L205" s="4" t="s">
        <v>463</v>
      </c>
      <c r="M205" s="4" t="s">
        <v>468</v>
      </c>
      <c r="N205" s="4" t="s">
        <v>90</v>
      </c>
      <c r="O205" s="6">
        <v>45031</v>
      </c>
      <c r="P205" s="4"/>
      <c r="Q205" s="4" t="s">
        <v>260</v>
      </c>
      <c r="R205" s="4" t="s">
        <v>36</v>
      </c>
      <c r="S205" s="4"/>
      <c r="T205" s="4"/>
      <c r="U205" s="4"/>
      <c r="V205" s="4" t="s">
        <v>1372</v>
      </c>
      <c r="W205" s="4"/>
      <c r="X205" s="4"/>
      <c r="Y205" s="4"/>
      <c r="Z205" s="4"/>
      <c r="AA205" s="4"/>
      <c r="AB205" s="4"/>
      <c r="AC205" s="4"/>
      <c r="AD205" s="4">
        <f t="shared" si="3"/>
        <v>14</v>
      </c>
    </row>
    <row r="206" spans="1:30" ht="39.75" thickBot="1" x14ac:dyDescent="0.3">
      <c r="A206" s="3">
        <v>45019.74050925926</v>
      </c>
      <c r="B206" s="4" t="s">
        <v>253</v>
      </c>
      <c r="C206" s="4" t="s">
        <v>461</v>
      </c>
      <c r="D206" s="31" t="s">
        <v>42</v>
      </c>
      <c r="E206" s="4" t="s">
        <v>473</v>
      </c>
      <c r="F206" s="5">
        <v>611611460</v>
      </c>
      <c r="G206" s="4"/>
      <c r="H206" s="4" t="s">
        <v>474</v>
      </c>
      <c r="I206" s="5">
        <v>140</v>
      </c>
      <c r="J206" s="4" t="s">
        <v>38</v>
      </c>
      <c r="K206" s="5">
        <v>60</v>
      </c>
      <c r="L206" s="4" t="s">
        <v>463</v>
      </c>
      <c r="M206" s="4" t="s">
        <v>468</v>
      </c>
      <c r="N206" s="4" t="s">
        <v>90</v>
      </c>
      <c r="O206" s="6">
        <v>45026</v>
      </c>
      <c r="P206" s="4"/>
      <c r="Q206" s="4" t="s">
        <v>260</v>
      </c>
      <c r="R206" s="4" t="s">
        <v>36</v>
      </c>
      <c r="S206" s="4"/>
      <c r="T206" s="4"/>
      <c r="U206" s="4"/>
      <c r="V206" s="4" t="s">
        <v>1372</v>
      </c>
      <c r="W206" s="4"/>
      <c r="X206" s="4"/>
      <c r="Y206" s="4"/>
      <c r="Z206" s="4"/>
      <c r="AA206" s="4"/>
      <c r="AB206" s="4"/>
      <c r="AC206" s="4"/>
      <c r="AD206" s="4">
        <f t="shared" si="3"/>
        <v>14</v>
      </c>
    </row>
    <row r="207" spans="1:30" ht="27" thickBot="1" x14ac:dyDescent="0.3">
      <c r="A207" s="3">
        <v>45020.425162037034</v>
      </c>
      <c r="B207" s="4" t="s">
        <v>1770</v>
      </c>
      <c r="C207" s="4" t="s">
        <v>254</v>
      </c>
      <c r="D207" s="31" t="s">
        <v>42</v>
      </c>
      <c r="E207" s="4" t="s">
        <v>475</v>
      </c>
      <c r="F207" s="5">
        <v>620573331</v>
      </c>
      <c r="G207" s="5">
        <v>620573331</v>
      </c>
      <c r="H207" s="4" t="s">
        <v>476</v>
      </c>
      <c r="I207" s="5">
        <v>1</v>
      </c>
      <c r="J207" s="4" t="s">
        <v>38</v>
      </c>
      <c r="K207" s="5">
        <v>2</v>
      </c>
      <c r="L207" s="4" t="s">
        <v>477</v>
      </c>
      <c r="M207" s="4" t="s">
        <v>477</v>
      </c>
      <c r="N207" s="4" t="s">
        <v>41</v>
      </c>
      <c r="O207" s="6">
        <v>45022</v>
      </c>
      <c r="P207" s="4" t="s">
        <v>404</v>
      </c>
      <c r="Q207" s="4" t="s">
        <v>405</v>
      </c>
      <c r="R207" s="4" t="s">
        <v>36</v>
      </c>
      <c r="S207" s="4" t="s">
        <v>59</v>
      </c>
      <c r="T207" s="5">
        <v>2</v>
      </c>
      <c r="U207" s="6">
        <v>45021</v>
      </c>
      <c r="V207" s="4" t="s">
        <v>1348</v>
      </c>
      <c r="W207" s="4"/>
      <c r="X207" s="4"/>
      <c r="Y207" s="4"/>
      <c r="Z207" s="4"/>
      <c r="AA207" s="4"/>
      <c r="AB207" s="4"/>
      <c r="AC207" s="4"/>
      <c r="AD207" s="4">
        <f t="shared" si="3"/>
        <v>14</v>
      </c>
    </row>
    <row r="208" spans="1:30" ht="65.25" thickBot="1" x14ac:dyDescent="0.3">
      <c r="A208" s="3">
        <v>45020.648680555554</v>
      </c>
      <c r="B208" s="4" t="s">
        <v>25</v>
      </c>
      <c r="C208" s="4" t="s">
        <v>26</v>
      </c>
      <c r="D208" s="31" t="s">
        <v>42</v>
      </c>
      <c r="E208" s="4" t="s">
        <v>478</v>
      </c>
      <c r="F208" s="5">
        <v>626211903</v>
      </c>
      <c r="G208" s="4"/>
      <c r="H208" s="4" t="s">
        <v>29</v>
      </c>
      <c r="I208" s="5">
        <v>8</v>
      </c>
      <c r="J208" s="4" t="s">
        <v>38</v>
      </c>
      <c r="K208" s="5">
        <v>4</v>
      </c>
      <c r="L208" s="4" t="s">
        <v>50</v>
      </c>
      <c r="M208" s="4" t="s">
        <v>32</v>
      </c>
      <c r="N208" s="4" t="s">
        <v>33</v>
      </c>
      <c r="O208" s="6">
        <v>45021</v>
      </c>
      <c r="P208" s="4" t="s">
        <v>34</v>
      </c>
      <c r="Q208" s="4" t="s">
        <v>35</v>
      </c>
      <c r="R208" s="4" t="s">
        <v>36</v>
      </c>
      <c r="S208" s="4" t="s">
        <v>59</v>
      </c>
      <c r="T208" s="5">
        <v>4</v>
      </c>
      <c r="U208" s="6">
        <v>45020</v>
      </c>
      <c r="V208" s="4" t="s">
        <v>1348</v>
      </c>
      <c r="W208" s="4"/>
      <c r="X208" s="4"/>
      <c r="Y208" s="4"/>
      <c r="Z208" s="4"/>
      <c r="AA208" s="4"/>
      <c r="AB208" s="4"/>
      <c r="AC208" s="4"/>
      <c r="AD208" s="4">
        <f t="shared" si="3"/>
        <v>14</v>
      </c>
    </row>
    <row r="209" spans="1:30" ht="65.25" thickBot="1" x14ac:dyDescent="0.3">
      <c r="A209" s="3">
        <v>45020.712025462963</v>
      </c>
      <c r="B209" s="4" t="s">
        <v>25</v>
      </c>
      <c r="C209" s="4" t="s">
        <v>26</v>
      </c>
      <c r="D209" s="31" t="s">
        <v>27</v>
      </c>
      <c r="E209" s="4" t="s">
        <v>479</v>
      </c>
      <c r="F209" s="5">
        <v>625865705</v>
      </c>
      <c r="G209" s="5">
        <v>628650742</v>
      </c>
      <c r="H209" s="4" t="s">
        <v>29</v>
      </c>
      <c r="I209" s="5">
        <v>8</v>
      </c>
      <c r="J209" s="4" t="s">
        <v>38</v>
      </c>
      <c r="K209" s="5">
        <v>4</v>
      </c>
      <c r="L209" s="4" t="s">
        <v>50</v>
      </c>
      <c r="M209" s="4" t="s">
        <v>32</v>
      </c>
      <c r="N209" s="4" t="s">
        <v>33</v>
      </c>
      <c r="O209" s="6">
        <v>45021</v>
      </c>
      <c r="P209" s="4" t="s">
        <v>34</v>
      </c>
      <c r="Q209" s="4" t="s">
        <v>35</v>
      </c>
      <c r="R209" s="4" t="s">
        <v>36</v>
      </c>
      <c r="S209" s="4" t="s">
        <v>59</v>
      </c>
      <c r="T209" s="5">
        <v>4</v>
      </c>
      <c r="U209" s="6">
        <v>45020</v>
      </c>
      <c r="V209" s="4" t="s">
        <v>1348</v>
      </c>
      <c r="W209" s="4"/>
      <c r="X209" s="4"/>
      <c r="Y209" s="4"/>
      <c r="Z209" s="4"/>
      <c r="AA209" s="4"/>
      <c r="AB209" s="4"/>
      <c r="AC209" s="4"/>
      <c r="AD209" s="4">
        <f t="shared" si="3"/>
        <v>14</v>
      </c>
    </row>
    <row r="210" spans="1:30" ht="39.75" thickBot="1" x14ac:dyDescent="0.3">
      <c r="A210" s="3">
        <v>45021.394571759258</v>
      </c>
      <c r="B210" s="4" t="s">
        <v>79</v>
      </c>
      <c r="C210" s="4" t="s">
        <v>80</v>
      </c>
      <c r="D210" s="31" t="s">
        <v>42</v>
      </c>
      <c r="E210" s="4" t="s">
        <v>480</v>
      </c>
      <c r="F210" s="5">
        <v>620227110</v>
      </c>
      <c r="G210" s="5">
        <v>0</v>
      </c>
      <c r="H210" s="4" t="s">
        <v>365</v>
      </c>
      <c r="I210" s="5">
        <v>85</v>
      </c>
      <c r="J210" s="4" t="s">
        <v>30</v>
      </c>
      <c r="K210" s="5">
        <v>5</v>
      </c>
      <c r="L210" s="4" t="s">
        <v>439</v>
      </c>
      <c r="M210" s="4" t="s">
        <v>89</v>
      </c>
      <c r="N210" s="4" t="s">
        <v>47</v>
      </c>
      <c r="O210" s="6">
        <v>45020</v>
      </c>
      <c r="P210" s="4" t="s">
        <v>85</v>
      </c>
      <c r="Q210" s="4" t="s">
        <v>86</v>
      </c>
      <c r="R210" s="4" t="s">
        <v>36</v>
      </c>
      <c r="S210" s="4" t="s">
        <v>59</v>
      </c>
      <c r="T210" s="5">
        <v>5</v>
      </c>
      <c r="U210" s="6">
        <v>45027</v>
      </c>
      <c r="V210" s="4" t="s">
        <v>1349</v>
      </c>
      <c r="W210" s="4"/>
      <c r="X210" s="4"/>
      <c r="Y210" s="4"/>
      <c r="Z210" s="4"/>
      <c r="AA210" s="4"/>
      <c r="AB210" s="4"/>
      <c r="AC210" s="4"/>
      <c r="AD210" s="4">
        <f t="shared" si="3"/>
        <v>14</v>
      </c>
    </row>
    <row r="211" spans="1:30" ht="39.75" thickBot="1" x14ac:dyDescent="0.3">
      <c r="A211" s="3">
        <v>45021.411180555559</v>
      </c>
      <c r="B211" s="4" t="s">
        <v>253</v>
      </c>
      <c r="C211" s="4" t="s">
        <v>461</v>
      </c>
      <c r="D211" s="31" t="s">
        <v>42</v>
      </c>
      <c r="E211" s="4" t="s">
        <v>481</v>
      </c>
      <c r="F211" s="5">
        <v>622909583</v>
      </c>
      <c r="G211" s="4"/>
      <c r="H211" s="4" t="s">
        <v>482</v>
      </c>
      <c r="I211" s="5">
        <v>110</v>
      </c>
      <c r="J211" s="4" t="s">
        <v>38</v>
      </c>
      <c r="K211" s="5">
        <v>6</v>
      </c>
      <c r="L211" s="4" t="s">
        <v>483</v>
      </c>
      <c r="M211" s="4" t="s">
        <v>484</v>
      </c>
      <c r="N211" s="4" t="s">
        <v>33</v>
      </c>
      <c r="O211" s="6">
        <v>45023</v>
      </c>
      <c r="P211" s="4"/>
      <c r="Q211" s="4" t="s">
        <v>260</v>
      </c>
      <c r="R211" s="4" t="s">
        <v>36</v>
      </c>
      <c r="S211" s="4" t="s">
        <v>59</v>
      </c>
      <c r="T211" s="5">
        <v>6</v>
      </c>
      <c r="U211" s="6">
        <v>45021</v>
      </c>
      <c r="V211" s="4" t="s">
        <v>1348</v>
      </c>
      <c r="W211" s="4"/>
      <c r="X211" s="4"/>
      <c r="Y211" s="4"/>
      <c r="Z211" s="4"/>
      <c r="AA211" s="4"/>
      <c r="AB211" s="4"/>
      <c r="AC211" s="4"/>
      <c r="AD211" s="4">
        <f t="shared" si="3"/>
        <v>14</v>
      </c>
    </row>
    <row r="212" spans="1:30" ht="27" thickBot="1" x14ac:dyDescent="0.3">
      <c r="A212" s="3">
        <v>45021.415092592593</v>
      </c>
      <c r="B212" s="4" t="s">
        <v>253</v>
      </c>
      <c r="C212" s="4" t="s">
        <v>485</v>
      </c>
      <c r="D212" s="31" t="s">
        <v>42</v>
      </c>
      <c r="E212" s="4" t="s">
        <v>486</v>
      </c>
      <c r="F212" s="5">
        <v>622602141</v>
      </c>
      <c r="G212" s="4"/>
      <c r="H212" s="4" t="s">
        <v>268</v>
      </c>
      <c r="I212" s="5">
        <v>180</v>
      </c>
      <c r="J212" s="4" t="s">
        <v>38</v>
      </c>
      <c r="K212" s="5">
        <v>50</v>
      </c>
      <c r="L212" s="4" t="s">
        <v>487</v>
      </c>
      <c r="M212" s="4" t="s">
        <v>488</v>
      </c>
      <c r="N212" s="4" t="s">
        <v>57</v>
      </c>
      <c r="O212" s="6">
        <v>45042</v>
      </c>
      <c r="P212" s="4" t="s">
        <v>489</v>
      </c>
      <c r="Q212" s="4" t="s">
        <v>260</v>
      </c>
      <c r="R212" s="4" t="s">
        <v>252</v>
      </c>
      <c r="S212" s="4"/>
      <c r="T212" s="4"/>
      <c r="U212" s="4"/>
      <c r="V212" s="4" t="s">
        <v>1372</v>
      </c>
      <c r="W212" s="4"/>
      <c r="X212" s="4"/>
      <c r="Y212" s="4"/>
      <c r="Z212" s="4"/>
      <c r="AA212" s="4"/>
      <c r="AB212" s="4"/>
      <c r="AC212" s="4"/>
      <c r="AD212" s="4">
        <f t="shared" si="3"/>
        <v>14</v>
      </c>
    </row>
    <row r="213" spans="1:30" ht="27" thickBot="1" x14ac:dyDescent="0.3">
      <c r="A213" s="3">
        <v>45021.420405092591</v>
      </c>
      <c r="B213" s="4" t="s">
        <v>253</v>
      </c>
      <c r="C213" s="4" t="s">
        <v>490</v>
      </c>
      <c r="D213" s="31" t="s">
        <v>42</v>
      </c>
      <c r="E213" s="4" t="s">
        <v>491</v>
      </c>
      <c r="F213" s="5">
        <v>620081313</v>
      </c>
      <c r="G213" s="4"/>
      <c r="H213" s="4" t="s">
        <v>256</v>
      </c>
      <c r="I213" s="5">
        <v>190</v>
      </c>
      <c r="J213" s="4" t="s">
        <v>38</v>
      </c>
      <c r="K213" s="5">
        <v>30</v>
      </c>
      <c r="L213" s="4" t="s">
        <v>468</v>
      </c>
      <c r="M213" s="4" t="s">
        <v>468</v>
      </c>
      <c r="N213" s="4" t="s">
        <v>57</v>
      </c>
      <c r="O213" s="6">
        <v>45044</v>
      </c>
      <c r="P213" s="4"/>
      <c r="Q213" s="4" t="s">
        <v>260</v>
      </c>
      <c r="R213" s="4" t="s">
        <v>252</v>
      </c>
      <c r="S213" s="4"/>
      <c r="T213" s="4"/>
      <c r="U213" s="4"/>
      <c r="V213" s="4" t="s">
        <v>1372</v>
      </c>
      <c r="W213" s="4"/>
      <c r="X213" s="4"/>
      <c r="Y213" s="4"/>
      <c r="Z213" s="4"/>
      <c r="AA213" s="4"/>
      <c r="AB213" s="4"/>
      <c r="AC213" s="4"/>
      <c r="AD213" s="4">
        <f t="shared" si="3"/>
        <v>14</v>
      </c>
    </row>
    <row r="214" spans="1:30" ht="27" thickBot="1" x14ac:dyDescent="0.3">
      <c r="A214" s="3">
        <v>45021.708020833335</v>
      </c>
      <c r="B214" s="4" t="s">
        <v>1770</v>
      </c>
      <c r="C214" s="4" t="s">
        <v>254</v>
      </c>
      <c r="D214" s="31" t="s">
        <v>42</v>
      </c>
      <c r="E214" s="4" t="s">
        <v>475</v>
      </c>
      <c r="F214" s="5">
        <v>620268931</v>
      </c>
      <c r="G214" s="5">
        <v>620268931</v>
      </c>
      <c r="H214" s="4" t="s">
        <v>476</v>
      </c>
      <c r="I214" s="5">
        <v>1</v>
      </c>
      <c r="J214" s="4" t="s">
        <v>30</v>
      </c>
      <c r="K214" s="5">
        <v>2</v>
      </c>
      <c r="L214" s="4" t="s">
        <v>73</v>
      </c>
      <c r="M214" s="4" t="s">
        <v>73</v>
      </c>
      <c r="N214" s="4" t="s">
        <v>41</v>
      </c>
      <c r="O214" s="6">
        <v>45023</v>
      </c>
      <c r="P214" s="4" t="s">
        <v>404</v>
      </c>
      <c r="Q214" s="4" t="s">
        <v>405</v>
      </c>
      <c r="R214" s="4" t="s">
        <v>36</v>
      </c>
      <c r="S214" s="4" t="s">
        <v>59</v>
      </c>
      <c r="T214" s="5">
        <v>2</v>
      </c>
      <c r="U214" s="6">
        <v>45021</v>
      </c>
      <c r="V214" s="4" t="s">
        <v>1348</v>
      </c>
      <c r="W214" s="4"/>
      <c r="X214" s="4"/>
      <c r="Y214" s="4"/>
      <c r="Z214" s="4"/>
      <c r="AA214" s="4"/>
      <c r="AB214" s="4"/>
      <c r="AC214" s="4"/>
      <c r="AD214" s="4">
        <f t="shared" si="3"/>
        <v>14</v>
      </c>
    </row>
    <row r="215" spans="1:30" ht="27" thickBot="1" x14ac:dyDescent="0.3">
      <c r="A215" s="3">
        <v>45021.711296296293</v>
      </c>
      <c r="B215" s="4" t="s">
        <v>1770</v>
      </c>
      <c r="C215" s="4" t="s">
        <v>254</v>
      </c>
      <c r="D215" s="31" t="s">
        <v>42</v>
      </c>
      <c r="E215" s="4" t="s">
        <v>492</v>
      </c>
      <c r="F215" s="5">
        <v>621268912</v>
      </c>
      <c r="G215" s="5">
        <v>621268912</v>
      </c>
      <c r="H215" s="4" t="s">
        <v>476</v>
      </c>
      <c r="I215" s="5">
        <v>6</v>
      </c>
      <c r="J215" s="4" t="s">
        <v>38</v>
      </c>
      <c r="K215" s="5">
        <v>7</v>
      </c>
      <c r="L215" s="4" t="s">
        <v>493</v>
      </c>
      <c r="M215" s="4" t="s">
        <v>493</v>
      </c>
      <c r="N215" s="4" t="s">
        <v>90</v>
      </c>
      <c r="O215" s="6">
        <v>45023</v>
      </c>
      <c r="P215" s="4" t="s">
        <v>404</v>
      </c>
      <c r="Q215" s="4" t="s">
        <v>405</v>
      </c>
      <c r="R215" s="4" t="s">
        <v>36</v>
      </c>
      <c r="S215" s="4" t="s">
        <v>59</v>
      </c>
      <c r="T215" s="9">
        <v>7</v>
      </c>
      <c r="U215" s="6">
        <v>45022</v>
      </c>
      <c r="V215" s="4" t="s">
        <v>1348</v>
      </c>
      <c r="W215" s="4"/>
      <c r="X215" s="4"/>
      <c r="Y215" s="4"/>
      <c r="Z215" s="4"/>
      <c r="AA215" s="4"/>
      <c r="AB215" s="4"/>
      <c r="AC215" s="4"/>
      <c r="AD215" s="4">
        <f t="shared" si="3"/>
        <v>14</v>
      </c>
    </row>
    <row r="216" spans="1:30" ht="27" thickBot="1" x14ac:dyDescent="0.3">
      <c r="A216" s="3">
        <v>45021.716226851851</v>
      </c>
      <c r="B216" s="4" t="s">
        <v>1770</v>
      </c>
      <c r="C216" s="4" t="s">
        <v>254</v>
      </c>
      <c r="D216" s="31" t="s">
        <v>42</v>
      </c>
      <c r="E216" s="4" t="s">
        <v>494</v>
      </c>
      <c r="F216" s="5">
        <v>622265990</v>
      </c>
      <c r="G216" s="5">
        <v>622265990</v>
      </c>
      <c r="H216" s="4" t="s">
        <v>476</v>
      </c>
      <c r="I216" s="5">
        <v>30</v>
      </c>
      <c r="J216" s="4" t="s">
        <v>38</v>
      </c>
      <c r="K216" s="5">
        <v>13</v>
      </c>
      <c r="L216" s="4" t="s">
        <v>493</v>
      </c>
      <c r="M216" s="4" t="s">
        <v>493</v>
      </c>
      <c r="N216" s="4" t="s">
        <v>90</v>
      </c>
      <c r="O216" s="6">
        <v>45023</v>
      </c>
      <c r="P216" s="4" t="s">
        <v>404</v>
      </c>
      <c r="Q216" s="4" t="s">
        <v>405</v>
      </c>
      <c r="R216" s="4" t="s">
        <v>36</v>
      </c>
      <c r="S216" s="4" t="s">
        <v>59</v>
      </c>
      <c r="T216" s="9">
        <v>13</v>
      </c>
      <c r="U216" s="6">
        <v>45022</v>
      </c>
      <c r="V216" s="4" t="s">
        <v>1348</v>
      </c>
      <c r="W216" s="4"/>
      <c r="X216" s="4"/>
      <c r="Y216" s="4"/>
      <c r="Z216" s="4"/>
      <c r="AA216" s="4"/>
      <c r="AB216" s="4"/>
      <c r="AC216" s="4"/>
      <c r="AD216" s="4">
        <f t="shared" si="3"/>
        <v>14</v>
      </c>
    </row>
    <row r="217" spans="1:30" ht="27" thickBot="1" x14ac:dyDescent="0.3">
      <c r="A217" s="3">
        <v>45021.92690972222</v>
      </c>
      <c r="B217" s="4" t="s">
        <v>1771</v>
      </c>
      <c r="C217" s="4" t="s">
        <v>496</v>
      </c>
      <c r="D217" s="31" t="s">
        <v>42</v>
      </c>
      <c r="E217" s="4" t="s">
        <v>497</v>
      </c>
      <c r="F217" s="5">
        <v>628967115</v>
      </c>
      <c r="G217" s="5">
        <v>628967115</v>
      </c>
      <c r="H217" s="4" t="s">
        <v>160</v>
      </c>
      <c r="I217" s="5">
        <v>30</v>
      </c>
      <c r="J217" s="4" t="s">
        <v>38</v>
      </c>
      <c r="K217" s="5">
        <v>1</v>
      </c>
      <c r="L217" s="4" t="s">
        <v>498</v>
      </c>
      <c r="M217" s="4" t="s">
        <v>498</v>
      </c>
      <c r="N217" s="4" t="s">
        <v>90</v>
      </c>
      <c r="O217" s="6">
        <v>45022</v>
      </c>
      <c r="P217" s="4" t="s">
        <v>499</v>
      </c>
      <c r="Q217" s="4" t="s">
        <v>500</v>
      </c>
      <c r="R217" s="4" t="s">
        <v>349</v>
      </c>
      <c r="S217" s="4" t="s">
        <v>59</v>
      </c>
      <c r="T217" s="5">
        <v>1</v>
      </c>
      <c r="U217" s="6">
        <v>45027</v>
      </c>
      <c r="V217" s="4" t="s">
        <v>1349</v>
      </c>
      <c r="W217" s="4"/>
      <c r="X217" s="4"/>
      <c r="Y217" s="4"/>
      <c r="Z217" s="4"/>
      <c r="AA217" s="4"/>
      <c r="AB217" s="4"/>
      <c r="AC217" s="4"/>
      <c r="AD217" s="4">
        <f t="shared" si="3"/>
        <v>14</v>
      </c>
    </row>
    <row r="218" spans="1:30" ht="78" thickBot="1" x14ac:dyDescent="0.3">
      <c r="A218" s="3">
        <v>45022.325231481482</v>
      </c>
      <c r="B218" s="4" t="s">
        <v>1769</v>
      </c>
      <c r="C218" s="4" t="s">
        <v>226</v>
      </c>
      <c r="D218" s="31" t="s">
        <v>42</v>
      </c>
      <c r="E218" s="4" t="s">
        <v>501</v>
      </c>
      <c r="F218" s="5">
        <v>620652907</v>
      </c>
      <c r="G218" s="4"/>
      <c r="H218" s="4" t="s">
        <v>445</v>
      </c>
      <c r="I218" s="5">
        <v>4</v>
      </c>
      <c r="J218" s="4" t="s">
        <v>30</v>
      </c>
      <c r="K218" s="5">
        <v>3</v>
      </c>
      <c r="L218" s="4" t="s">
        <v>93</v>
      </c>
      <c r="M218" s="4" t="s">
        <v>316</v>
      </c>
      <c r="N218" s="4" t="s">
        <v>47</v>
      </c>
      <c r="O218" s="6">
        <v>45021</v>
      </c>
      <c r="P218" s="4" t="s">
        <v>502</v>
      </c>
      <c r="Q218" s="4" t="s">
        <v>232</v>
      </c>
      <c r="R218" s="4" t="s">
        <v>36</v>
      </c>
      <c r="S218" s="4" t="s">
        <v>59</v>
      </c>
      <c r="T218" s="5">
        <v>3.5</v>
      </c>
      <c r="U218" s="6">
        <v>45022</v>
      </c>
      <c r="V218" s="4" t="s">
        <v>1348</v>
      </c>
      <c r="W218" s="4"/>
      <c r="X218" s="4"/>
      <c r="Y218" s="4"/>
      <c r="Z218" s="4"/>
      <c r="AA218" s="4"/>
      <c r="AB218" s="4"/>
      <c r="AC218" s="4"/>
      <c r="AD218" s="4">
        <f t="shared" si="3"/>
        <v>14</v>
      </c>
    </row>
    <row r="219" spans="1:30" ht="65.25" thickBot="1" x14ac:dyDescent="0.3">
      <c r="A219" s="3">
        <v>45022.439768518518</v>
      </c>
      <c r="B219" s="4" t="s">
        <v>25</v>
      </c>
      <c r="C219" s="4" t="s">
        <v>26</v>
      </c>
      <c r="D219" s="31" t="s">
        <v>42</v>
      </c>
      <c r="E219" s="4" t="s">
        <v>503</v>
      </c>
      <c r="F219" s="5">
        <v>623833035</v>
      </c>
      <c r="G219" s="4"/>
      <c r="H219" s="4" t="s">
        <v>49</v>
      </c>
      <c r="I219" s="5">
        <v>18</v>
      </c>
      <c r="J219" s="4" t="s">
        <v>38</v>
      </c>
      <c r="K219" s="5">
        <v>5</v>
      </c>
      <c r="L219" s="4" t="s">
        <v>52</v>
      </c>
      <c r="M219" s="4" t="s">
        <v>32</v>
      </c>
      <c r="N219" s="4" t="s">
        <v>33</v>
      </c>
      <c r="O219" s="6">
        <v>45032</v>
      </c>
      <c r="P219" s="4" t="s">
        <v>34</v>
      </c>
      <c r="Q219" s="4" t="s">
        <v>35</v>
      </c>
      <c r="R219" s="4" t="s">
        <v>36</v>
      </c>
      <c r="S219" s="4" t="s">
        <v>59</v>
      </c>
      <c r="T219" s="5">
        <v>5</v>
      </c>
      <c r="U219" s="6">
        <v>45022</v>
      </c>
      <c r="V219" s="4" t="s">
        <v>1348</v>
      </c>
      <c r="W219" s="4"/>
      <c r="X219" s="4"/>
      <c r="Y219" s="4"/>
      <c r="Z219" s="4"/>
      <c r="AA219" s="4"/>
      <c r="AB219" s="4"/>
      <c r="AC219" s="4"/>
      <c r="AD219" s="4">
        <f t="shared" si="3"/>
        <v>14</v>
      </c>
    </row>
    <row r="220" spans="1:30" ht="52.5" thickBot="1" x14ac:dyDescent="0.3">
      <c r="A220" s="3">
        <v>45022.454085648147</v>
      </c>
      <c r="B220" s="4" t="s">
        <v>25</v>
      </c>
      <c r="C220" s="4" t="s">
        <v>504</v>
      </c>
      <c r="D220" s="31" t="s">
        <v>42</v>
      </c>
      <c r="E220" s="4" t="s">
        <v>134</v>
      </c>
      <c r="F220" s="5">
        <v>622833153</v>
      </c>
      <c r="G220" s="4"/>
      <c r="H220" s="4" t="s">
        <v>45</v>
      </c>
      <c r="I220" s="5">
        <v>90</v>
      </c>
      <c r="J220" s="4" t="s">
        <v>38</v>
      </c>
      <c r="K220" s="5">
        <v>5</v>
      </c>
      <c r="L220" s="4" t="s">
        <v>50</v>
      </c>
      <c r="M220" s="4" t="s">
        <v>32</v>
      </c>
      <c r="N220" s="4" t="s">
        <v>33</v>
      </c>
      <c r="O220" s="6">
        <v>45027</v>
      </c>
      <c r="P220" s="4" t="s">
        <v>34</v>
      </c>
      <c r="Q220" s="4" t="s">
        <v>35</v>
      </c>
      <c r="R220" s="4" t="s">
        <v>36</v>
      </c>
      <c r="S220" s="4" t="s">
        <v>59</v>
      </c>
      <c r="T220" s="5">
        <v>12.5</v>
      </c>
      <c r="U220" s="6">
        <v>45022</v>
      </c>
      <c r="V220" s="4" t="s">
        <v>1348</v>
      </c>
      <c r="W220" s="4"/>
      <c r="X220" s="4"/>
      <c r="Y220" s="4"/>
      <c r="Z220" s="4"/>
      <c r="AA220" s="4"/>
      <c r="AB220" s="4"/>
      <c r="AC220" s="4"/>
      <c r="AD220" s="4">
        <f t="shared" si="3"/>
        <v>14</v>
      </c>
    </row>
    <row r="221" spans="1:30" ht="78" thickBot="1" x14ac:dyDescent="0.3">
      <c r="A221" s="3">
        <v>45022.460925925923</v>
      </c>
      <c r="B221" s="4" t="s">
        <v>1769</v>
      </c>
      <c r="C221" s="4" t="s">
        <v>226</v>
      </c>
      <c r="D221" s="31" t="s">
        <v>42</v>
      </c>
      <c r="E221" s="4" t="s">
        <v>505</v>
      </c>
      <c r="F221" s="5">
        <v>628392660</v>
      </c>
      <c r="G221" s="4"/>
      <c r="H221" s="4" t="s">
        <v>277</v>
      </c>
      <c r="I221" s="5">
        <v>2</v>
      </c>
      <c r="J221" s="4" t="s">
        <v>38</v>
      </c>
      <c r="K221" s="5">
        <v>1</v>
      </c>
      <c r="L221" s="4" t="s">
        <v>31</v>
      </c>
      <c r="M221" s="4" t="s">
        <v>316</v>
      </c>
      <c r="N221" s="4" t="s">
        <v>47</v>
      </c>
      <c r="O221" s="6">
        <v>45022</v>
      </c>
      <c r="P221" s="4" t="s">
        <v>506</v>
      </c>
      <c r="Q221" s="4" t="s">
        <v>232</v>
      </c>
      <c r="R221" s="4" t="s">
        <v>36</v>
      </c>
      <c r="S221" s="4" t="s">
        <v>59</v>
      </c>
      <c r="T221" s="5">
        <v>1.5</v>
      </c>
      <c r="U221" s="6">
        <v>45022</v>
      </c>
      <c r="V221" s="4" t="s">
        <v>1348</v>
      </c>
      <c r="W221" s="4"/>
      <c r="X221" s="4"/>
      <c r="Y221" s="4"/>
      <c r="Z221" s="4"/>
      <c r="AA221" s="4"/>
      <c r="AB221" s="4"/>
      <c r="AC221" s="4"/>
      <c r="AD221" s="4">
        <f t="shared" si="3"/>
        <v>14</v>
      </c>
    </row>
    <row r="222" spans="1:30" ht="27" thickBot="1" x14ac:dyDescent="0.3">
      <c r="A222" s="3">
        <v>45022.47420138889</v>
      </c>
      <c r="B222" s="4" t="s">
        <v>1770</v>
      </c>
      <c r="C222" s="4" t="s">
        <v>254</v>
      </c>
      <c r="D222" s="31" t="s">
        <v>42</v>
      </c>
      <c r="E222" s="4" t="s">
        <v>507</v>
      </c>
      <c r="F222" s="5">
        <v>626918984</v>
      </c>
      <c r="G222" s="5">
        <v>626918984</v>
      </c>
      <c r="H222" s="4" t="s">
        <v>476</v>
      </c>
      <c r="I222" s="5">
        <v>1</v>
      </c>
      <c r="J222" s="4" t="s">
        <v>38</v>
      </c>
      <c r="K222" s="5">
        <v>3</v>
      </c>
      <c r="L222" s="4" t="s">
        <v>73</v>
      </c>
      <c r="M222" s="4" t="s">
        <v>73</v>
      </c>
      <c r="N222" s="4" t="s">
        <v>41</v>
      </c>
      <c r="O222" s="6">
        <v>45023</v>
      </c>
      <c r="P222" s="4" t="s">
        <v>404</v>
      </c>
      <c r="Q222" s="4" t="s">
        <v>405</v>
      </c>
      <c r="R222" s="4" t="s">
        <v>36</v>
      </c>
      <c r="S222" s="4" t="s">
        <v>59</v>
      </c>
      <c r="T222" s="5">
        <v>3</v>
      </c>
      <c r="U222" s="6">
        <v>45022</v>
      </c>
      <c r="V222" s="4" t="s">
        <v>1348</v>
      </c>
      <c r="W222" s="4"/>
      <c r="X222" s="4"/>
      <c r="Y222" s="4"/>
      <c r="Z222" s="4"/>
      <c r="AA222" s="4"/>
      <c r="AB222" s="4"/>
      <c r="AC222" s="4"/>
      <c r="AD222" s="4">
        <f t="shared" si="3"/>
        <v>14</v>
      </c>
    </row>
    <row r="223" spans="1:30" ht="65.25" thickBot="1" x14ac:dyDescent="0.3">
      <c r="A223" s="3">
        <v>45022.59375</v>
      </c>
      <c r="B223" s="4" t="s">
        <v>1769</v>
      </c>
      <c r="C223" s="4" t="s">
        <v>226</v>
      </c>
      <c r="D223" s="31" t="s">
        <v>42</v>
      </c>
      <c r="E223" s="4" t="s">
        <v>508</v>
      </c>
      <c r="F223" s="5">
        <v>621858667</v>
      </c>
      <c r="G223" s="4"/>
      <c r="H223" s="4" t="s">
        <v>277</v>
      </c>
      <c r="I223" s="5">
        <v>2</v>
      </c>
      <c r="J223" s="4" t="s">
        <v>30</v>
      </c>
      <c r="K223" s="5">
        <v>1</v>
      </c>
      <c r="L223" s="4" t="s">
        <v>509</v>
      </c>
      <c r="M223" s="4" t="s">
        <v>316</v>
      </c>
      <c r="N223" s="4" t="s">
        <v>47</v>
      </c>
      <c r="O223" s="6">
        <v>45022</v>
      </c>
      <c r="P223" s="4" t="s">
        <v>510</v>
      </c>
      <c r="Q223" s="4" t="s">
        <v>232</v>
      </c>
      <c r="R223" s="4" t="s">
        <v>36</v>
      </c>
      <c r="S223" s="4" t="s">
        <v>59</v>
      </c>
      <c r="T223" s="5">
        <v>1.5</v>
      </c>
      <c r="U223" s="6">
        <v>45022</v>
      </c>
      <c r="V223" s="4" t="s">
        <v>1348</v>
      </c>
      <c r="W223" s="4"/>
      <c r="X223" s="4"/>
      <c r="Y223" s="4"/>
      <c r="Z223" s="4"/>
      <c r="AA223" s="4"/>
      <c r="AB223" s="4"/>
      <c r="AC223" s="4"/>
      <c r="AD223" s="4">
        <f t="shared" si="3"/>
        <v>14</v>
      </c>
    </row>
    <row r="224" spans="1:30" ht="27" thickBot="1" x14ac:dyDescent="0.3">
      <c r="A224" s="3">
        <v>45025.411712962959</v>
      </c>
      <c r="B224" s="4" t="s">
        <v>1770</v>
      </c>
      <c r="C224" s="4" t="s">
        <v>254</v>
      </c>
      <c r="D224" s="31" t="s">
        <v>42</v>
      </c>
      <c r="E224" s="4" t="s">
        <v>157</v>
      </c>
      <c r="F224" s="5">
        <v>625535317</v>
      </c>
      <c r="G224" s="5">
        <v>624540251</v>
      </c>
      <c r="H224" s="4" t="s">
        <v>476</v>
      </c>
      <c r="I224" s="5">
        <v>1</v>
      </c>
      <c r="J224" s="4" t="s">
        <v>38</v>
      </c>
      <c r="K224" s="5">
        <v>4</v>
      </c>
      <c r="L224" s="4" t="s">
        <v>73</v>
      </c>
      <c r="M224" s="4" t="s">
        <v>73</v>
      </c>
      <c r="N224" s="4" t="s">
        <v>41</v>
      </c>
      <c r="O224" s="6">
        <v>45026</v>
      </c>
      <c r="P224" s="4"/>
      <c r="Q224" s="4" t="s">
        <v>405</v>
      </c>
      <c r="R224" s="4" t="s">
        <v>36</v>
      </c>
      <c r="S224" s="4" t="s">
        <v>59</v>
      </c>
      <c r="T224" s="5">
        <v>4</v>
      </c>
      <c r="U224" s="6">
        <v>45026</v>
      </c>
      <c r="V224" s="4" t="s">
        <v>1349</v>
      </c>
      <c r="W224" s="4"/>
      <c r="X224" s="4"/>
      <c r="Y224" s="4"/>
      <c r="Z224" s="4"/>
      <c r="AA224" s="4"/>
      <c r="AB224" s="4"/>
      <c r="AC224" s="4"/>
      <c r="AD224" s="4">
        <f t="shared" si="3"/>
        <v>15</v>
      </c>
    </row>
    <row r="225" spans="1:30" ht="27" thickBot="1" x14ac:dyDescent="0.3">
      <c r="A225" s="3">
        <v>45025.413738425923</v>
      </c>
      <c r="B225" s="4" t="s">
        <v>1770</v>
      </c>
      <c r="C225" s="4" t="s">
        <v>254</v>
      </c>
      <c r="D225" s="31" t="s">
        <v>42</v>
      </c>
      <c r="E225" s="4" t="s">
        <v>511</v>
      </c>
      <c r="F225" s="5">
        <v>621277035</v>
      </c>
      <c r="G225" s="5">
        <v>621277035</v>
      </c>
      <c r="H225" s="4" t="s">
        <v>476</v>
      </c>
      <c r="I225" s="5">
        <v>3</v>
      </c>
      <c r="J225" s="4" t="s">
        <v>38</v>
      </c>
      <c r="K225" s="5">
        <v>3</v>
      </c>
      <c r="L225" s="4" t="s">
        <v>512</v>
      </c>
      <c r="M225" s="4" t="s">
        <v>512</v>
      </c>
      <c r="N225" s="4" t="s">
        <v>33</v>
      </c>
      <c r="O225" s="6">
        <v>45026</v>
      </c>
      <c r="P225" s="4"/>
      <c r="Q225" s="4" t="s">
        <v>405</v>
      </c>
      <c r="R225" s="4" t="s">
        <v>36</v>
      </c>
      <c r="S225" s="4" t="s">
        <v>59</v>
      </c>
      <c r="T225" s="5">
        <v>3</v>
      </c>
      <c r="U225" s="6">
        <v>45026</v>
      </c>
      <c r="V225" s="4" t="s">
        <v>1349</v>
      </c>
      <c r="W225" s="4"/>
      <c r="X225" s="4"/>
      <c r="Y225" s="4"/>
      <c r="Z225" s="4"/>
      <c r="AA225" s="4"/>
      <c r="AB225" s="4"/>
      <c r="AC225" s="4"/>
      <c r="AD225" s="4">
        <f t="shared" si="3"/>
        <v>15</v>
      </c>
    </row>
    <row r="226" spans="1:30" ht="27" thickBot="1" x14ac:dyDescent="0.3">
      <c r="A226" s="3">
        <v>45025.415798611109</v>
      </c>
      <c r="B226" s="4" t="s">
        <v>1770</v>
      </c>
      <c r="C226" s="4" t="s">
        <v>254</v>
      </c>
      <c r="D226" s="31" t="s">
        <v>42</v>
      </c>
      <c r="E226" s="4" t="s">
        <v>513</v>
      </c>
      <c r="F226" s="5">
        <v>620769912</v>
      </c>
      <c r="G226" s="5">
        <v>620769912</v>
      </c>
      <c r="H226" s="4" t="s">
        <v>476</v>
      </c>
      <c r="I226" s="5">
        <v>3</v>
      </c>
      <c r="J226" s="4" t="s">
        <v>38</v>
      </c>
      <c r="K226" s="5">
        <v>1</v>
      </c>
      <c r="L226" s="4" t="s">
        <v>493</v>
      </c>
      <c r="M226" s="4" t="s">
        <v>493</v>
      </c>
      <c r="N226" s="4" t="s">
        <v>90</v>
      </c>
      <c r="O226" s="6">
        <v>45026</v>
      </c>
      <c r="P226" s="4"/>
      <c r="Q226" s="4" t="s">
        <v>405</v>
      </c>
      <c r="R226" s="4" t="s">
        <v>36</v>
      </c>
      <c r="S226" s="4" t="s">
        <v>59</v>
      </c>
      <c r="T226" s="5">
        <v>1</v>
      </c>
      <c r="U226" s="6">
        <v>45026</v>
      </c>
      <c r="V226" s="4" t="s">
        <v>1349</v>
      </c>
      <c r="W226" s="4"/>
      <c r="X226" s="4"/>
      <c r="Y226" s="4"/>
      <c r="Z226" s="4"/>
      <c r="AA226" s="4"/>
      <c r="AB226" s="4"/>
      <c r="AC226" s="4"/>
      <c r="AD226" s="4">
        <f t="shared" si="3"/>
        <v>15</v>
      </c>
    </row>
    <row r="227" spans="1:30" ht="27" thickBot="1" x14ac:dyDescent="0.3">
      <c r="A227" s="3">
        <v>45025.419618055559</v>
      </c>
      <c r="B227" s="4" t="s">
        <v>1770</v>
      </c>
      <c r="C227" s="4" t="s">
        <v>254</v>
      </c>
      <c r="D227" s="31" t="s">
        <v>42</v>
      </c>
      <c r="E227" s="4" t="s">
        <v>514</v>
      </c>
      <c r="F227" s="5">
        <v>624621642</v>
      </c>
      <c r="G227" s="5">
        <v>624621642</v>
      </c>
      <c r="H227" s="4" t="s">
        <v>476</v>
      </c>
      <c r="I227" s="5">
        <v>2</v>
      </c>
      <c r="J227" s="4" t="s">
        <v>38</v>
      </c>
      <c r="K227" s="5">
        <v>3</v>
      </c>
      <c r="L227" s="4" t="s">
        <v>493</v>
      </c>
      <c r="M227" s="4" t="s">
        <v>493</v>
      </c>
      <c r="N227" s="4" t="s">
        <v>90</v>
      </c>
      <c r="O227" s="6">
        <v>45028</v>
      </c>
      <c r="P227" s="4"/>
      <c r="Q227" s="4" t="s">
        <v>405</v>
      </c>
      <c r="R227" s="4" t="s">
        <v>36</v>
      </c>
      <c r="S227" s="4" t="s">
        <v>59</v>
      </c>
      <c r="T227" s="5">
        <v>3</v>
      </c>
      <c r="U227" s="6">
        <v>45026</v>
      </c>
      <c r="V227" s="4" t="s">
        <v>1349</v>
      </c>
      <c r="W227" s="4"/>
      <c r="X227" s="4"/>
      <c r="Y227" s="4"/>
      <c r="Z227" s="4"/>
      <c r="AA227" s="4"/>
      <c r="AB227" s="4"/>
      <c r="AC227" s="4"/>
      <c r="AD227" s="4">
        <f t="shared" si="3"/>
        <v>15</v>
      </c>
    </row>
    <row r="228" spans="1:30" ht="27" thickBot="1" x14ac:dyDescent="0.3">
      <c r="A228" s="3">
        <v>45025.422210648147</v>
      </c>
      <c r="B228" s="4" t="s">
        <v>1770</v>
      </c>
      <c r="C228" s="4" t="s">
        <v>254</v>
      </c>
      <c r="D228" s="31" t="s">
        <v>42</v>
      </c>
      <c r="E228" s="4" t="s">
        <v>515</v>
      </c>
      <c r="F228" s="5">
        <v>656545489</v>
      </c>
      <c r="G228" s="5">
        <v>656545489</v>
      </c>
      <c r="H228" s="4" t="s">
        <v>476</v>
      </c>
      <c r="I228" s="5">
        <v>3</v>
      </c>
      <c r="J228" s="4" t="s">
        <v>38</v>
      </c>
      <c r="K228" s="5">
        <v>3</v>
      </c>
      <c r="L228" s="4" t="s">
        <v>512</v>
      </c>
      <c r="M228" s="4" t="s">
        <v>512</v>
      </c>
      <c r="N228" s="4" t="s">
        <v>33</v>
      </c>
      <c r="O228" s="6">
        <v>45029</v>
      </c>
      <c r="P228" s="4"/>
      <c r="Q228" s="4" t="s">
        <v>405</v>
      </c>
      <c r="R228" s="4" t="s">
        <v>36</v>
      </c>
      <c r="S228" s="4" t="s">
        <v>59</v>
      </c>
      <c r="T228" s="5">
        <v>3</v>
      </c>
      <c r="U228" s="6">
        <v>45026</v>
      </c>
      <c r="V228" s="4" t="s">
        <v>1349</v>
      </c>
      <c r="W228" s="4"/>
      <c r="X228" s="4"/>
      <c r="Y228" s="4"/>
      <c r="Z228" s="4"/>
      <c r="AA228" s="4"/>
      <c r="AB228" s="4"/>
      <c r="AC228" s="4"/>
      <c r="AD228" s="4">
        <f t="shared" si="3"/>
        <v>15</v>
      </c>
    </row>
    <row r="229" spans="1:30" ht="39.75" thickBot="1" x14ac:dyDescent="0.3">
      <c r="A229" s="3">
        <v>45025.456319444442</v>
      </c>
      <c r="B229" s="4" t="s">
        <v>79</v>
      </c>
      <c r="C229" s="4" t="s">
        <v>80</v>
      </c>
      <c r="D229" s="31" t="s">
        <v>42</v>
      </c>
      <c r="E229" s="4" t="s">
        <v>516</v>
      </c>
      <c r="F229" s="5">
        <v>628395884</v>
      </c>
      <c r="G229" s="5">
        <v>0</v>
      </c>
      <c r="H229" s="4" t="s">
        <v>336</v>
      </c>
      <c r="I229" s="5">
        <v>40</v>
      </c>
      <c r="J229" s="4" t="s">
        <v>30</v>
      </c>
      <c r="K229" s="5">
        <v>5</v>
      </c>
      <c r="L229" s="4" t="s">
        <v>73</v>
      </c>
      <c r="M229" s="4" t="s">
        <v>89</v>
      </c>
      <c r="N229" s="4" t="s">
        <v>90</v>
      </c>
      <c r="O229" s="6">
        <v>45026</v>
      </c>
      <c r="P229" s="4" t="s">
        <v>85</v>
      </c>
      <c r="Q229" s="4" t="s">
        <v>86</v>
      </c>
      <c r="R229" s="4" t="s">
        <v>36</v>
      </c>
      <c r="S229" s="4" t="s">
        <v>59</v>
      </c>
      <c r="T229" s="5">
        <v>5</v>
      </c>
      <c r="U229" s="6">
        <v>45027</v>
      </c>
      <c r="V229" s="4" t="s">
        <v>1349</v>
      </c>
      <c r="W229" s="4"/>
      <c r="X229" s="4"/>
      <c r="Y229" s="4"/>
      <c r="Z229" s="4"/>
      <c r="AA229" s="4"/>
      <c r="AB229" s="4"/>
      <c r="AC229" s="4"/>
      <c r="AD229" s="4">
        <f t="shared" si="3"/>
        <v>15</v>
      </c>
    </row>
    <row r="230" spans="1:30" ht="39.75" thickBot="1" x14ac:dyDescent="0.3">
      <c r="A230" s="3">
        <v>45025.467048611114</v>
      </c>
      <c r="B230" s="4" t="s">
        <v>79</v>
      </c>
      <c r="C230" s="4" t="s">
        <v>80</v>
      </c>
      <c r="D230" s="31" t="s">
        <v>42</v>
      </c>
      <c r="E230" s="4" t="s">
        <v>517</v>
      </c>
      <c r="F230" s="5">
        <v>624171380</v>
      </c>
      <c r="G230" s="5">
        <v>0</v>
      </c>
      <c r="H230" s="4" t="s">
        <v>365</v>
      </c>
      <c r="I230" s="5">
        <v>85</v>
      </c>
      <c r="J230" s="4" t="s">
        <v>30</v>
      </c>
      <c r="K230" s="5">
        <v>2</v>
      </c>
      <c r="L230" s="4" t="s">
        <v>333</v>
      </c>
      <c r="M230" s="4" t="s">
        <v>89</v>
      </c>
      <c r="N230" s="4" t="s">
        <v>33</v>
      </c>
      <c r="O230" s="6">
        <v>45027</v>
      </c>
      <c r="P230" s="4" t="s">
        <v>85</v>
      </c>
      <c r="Q230" s="4" t="s">
        <v>86</v>
      </c>
      <c r="R230" s="4" t="s">
        <v>36</v>
      </c>
      <c r="S230" s="4" t="s">
        <v>59</v>
      </c>
      <c r="T230" s="5">
        <v>2</v>
      </c>
      <c r="U230" s="6">
        <v>45027</v>
      </c>
      <c r="V230" s="4" t="s">
        <v>1349</v>
      </c>
      <c r="W230" s="4"/>
      <c r="X230" s="4"/>
      <c r="Y230" s="4"/>
      <c r="Z230" s="4"/>
      <c r="AA230" s="4"/>
      <c r="AB230" s="4"/>
      <c r="AC230" s="4"/>
      <c r="AD230" s="4">
        <f t="shared" si="3"/>
        <v>15</v>
      </c>
    </row>
    <row r="231" spans="1:30" ht="27" thickBot="1" x14ac:dyDescent="0.3">
      <c r="A231" s="3">
        <v>45026.3750462963</v>
      </c>
      <c r="B231" s="4" t="s">
        <v>1769</v>
      </c>
      <c r="C231" s="4" t="s">
        <v>226</v>
      </c>
      <c r="D231" s="31" t="s">
        <v>42</v>
      </c>
      <c r="E231" s="4" t="s">
        <v>518</v>
      </c>
      <c r="F231" s="5">
        <v>623342705</v>
      </c>
      <c r="G231" s="4"/>
      <c r="H231" s="4" t="s">
        <v>228</v>
      </c>
      <c r="I231" s="5">
        <v>25</v>
      </c>
      <c r="J231" s="4" t="s">
        <v>30</v>
      </c>
      <c r="K231" s="5">
        <v>3</v>
      </c>
      <c r="L231" s="4" t="s">
        <v>421</v>
      </c>
      <c r="M231" s="4" t="s">
        <v>316</v>
      </c>
      <c r="N231" s="4" t="s">
        <v>33</v>
      </c>
      <c r="O231" s="6">
        <v>45026</v>
      </c>
      <c r="P231" s="4"/>
      <c r="Q231" s="4" t="s">
        <v>232</v>
      </c>
      <c r="R231" s="4" t="s">
        <v>36</v>
      </c>
      <c r="S231" s="4" t="s">
        <v>59</v>
      </c>
      <c r="T231" s="5">
        <v>4</v>
      </c>
      <c r="U231" s="6">
        <v>45026</v>
      </c>
      <c r="V231" s="4" t="s">
        <v>1349</v>
      </c>
      <c r="W231" s="4"/>
      <c r="X231" s="4"/>
      <c r="Y231" s="4"/>
      <c r="Z231" s="4"/>
      <c r="AA231" s="4"/>
      <c r="AB231" s="4"/>
      <c r="AC231" s="4"/>
      <c r="AD231" s="4">
        <f t="shared" si="3"/>
        <v>15</v>
      </c>
    </row>
    <row r="232" spans="1:30" ht="27" thickBot="1" x14ac:dyDescent="0.3">
      <c r="A232" s="3">
        <v>45026.537233796298</v>
      </c>
      <c r="B232" s="4" t="s">
        <v>1770</v>
      </c>
      <c r="C232" s="4" t="s">
        <v>254</v>
      </c>
      <c r="D232" s="31" t="s">
        <v>42</v>
      </c>
      <c r="E232" s="4" t="s">
        <v>519</v>
      </c>
      <c r="F232" s="5">
        <v>628761042</v>
      </c>
      <c r="G232" s="5">
        <v>628761042</v>
      </c>
      <c r="H232" s="4" t="s">
        <v>476</v>
      </c>
      <c r="I232" s="5">
        <v>1</v>
      </c>
      <c r="J232" s="4" t="s">
        <v>38</v>
      </c>
      <c r="K232" s="5">
        <v>2</v>
      </c>
      <c r="L232" s="4" t="s">
        <v>493</v>
      </c>
      <c r="M232" s="4" t="s">
        <v>493</v>
      </c>
      <c r="N232" s="4" t="s">
        <v>90</v>
      </c>
      <c r="O232" s="6">
        <v>45028</v>
      </c>
      <c r="P232" s="4"/>
      <c r="Q232" s="4" t="s">
        <v>405</v>
      </c>
      <c r="R232" s="4" t="s">
        <v>36</v>
      </c>
      <c r="S232" s="4" t="s">
        <v>59</v>
      </c>
      <c r="T232" s="5">
        <v>1</v>
      </c>
      <c r="U232" s="6">
        <v>45027</v>
      </c>
      <c r="V232" s="4" t="s">
        <v>1349</v>
      </c>
      <c r="W232" s="4"/>
      <c r="X232" s="4"/>
      <c r="Y232" s="4"/>
      <c r="Z232" s="4"/>
      <c r="AA232" s="4"/>
      <c r="AB232" s="4"/>
      <c r="AC232" s="4"/>
      <c r="AD232" s="4">
        <f t="shared" si="3"/>
        <v>15</v>
      </c>
    </row>
    <row r="233" spans="1:30" ht="27" thickBot="1" x14ac:dyDescent="0.3">
      <c r="A233" s="3">
        <v>45026.543703703705</v>
      </c>
      <c r="B233" s="4" t="s">
        <v>1770</v>
      </c>
      <c r="C233" s="4" t="s">
        <v>254</v>
      </c>
      <c r="D233" s="31" t="s">
        <v>42</v>
      </c>
      <c r="E233" s="4" t="s">
        <v>520</v>
      </c>
      <c r="F233" s="5">
        <v>622705736</v>
      </c>
      <c r="G233" s="5">
        <v>622705736</v>
      </c>
      <c r="H233" s="4" t="s">
        <v>476</v>
      </c>
      <c r="I233" s="5">
        <v>60</v>
      </c>
      <c r="J233" s="4" t="s">
        <v>38</v>
      </c>
      <c r="K233" s="5">
        <v>10</v>
      </c>
      <c r="L233" s="4" t="s">
        <v>73</v>
      </c>
      <c r="M233" s="4" t="s">
        <v>73</v>
      </c>
      <c r="N233" s="4" t="s">
        <v>41</v>
      </c>
      <c r="O233" s="6">
        <v>45026</v>
      </c>
      <c r="P233" s="4"/>
      <c r="Q233" s="4" t="s">
        <v>405</v>
      </c>
      <c r="R233" s="4" t="s">
        <v>36</v>
      </c>
      <c r="S233" s="4" t="s">
        <v>59</v>
      </c>
      <c r="T233" s="5">
        <v>10</v>
      </c>
      <c r="U233" s="6">
        <v>45027</v>
      </c>
      <c r="V233" s="4" t="s">
        <v>1349</v>
      </c>
      <c r="W233" s="4"/>
      <c r="X233" s="4"/>
      <c r="Y233" s="4"/>
      <c r="Z233" s="4"/>
      <c r="AA233" s="4"/>
      <c r="AB233" s="4"/>
      <c r="AC233" s="4"/>
      <c r="AD233" s="4">
        <f t="shared" si="3"/>
        <v>15</v>
      </c>
    </row>
    <row r="234" spans="1:30" ht="27" thickBot="1" x14ac:dyDescent="0.3">
      <c r="A234" s="3">
        <v>45026.546168981484</v>
      </c>
      <c r="B234" s="4" t="s">
        <v>1770</v>
      </c>
      <c r="C234" s="4" t="s">
        <v>254</v>
      </c>
      <c r="D234" s="31" t="s">
        <v>42</v>
      </c>
      <c r="E234" s="4" t="s">
        <v>521</v>
      </c>
      <c r="F234" s="5">
        <v>623379059</v>
      </c>
      <c r="G234" s="5">
        <v>623379059</v>
      </c>
      <c r="H234" s="4" t="s">
        <v>476</v>
      </c>
      <c r="I234" s="5">
        <v>6</v>
      </c>
      <c r="J234" s="4" t="s">
        <v>38</v>
      </c>
      <c r="K234" s="5">
        <v>2</v>
      </c>
      <c r="L234" s="4" t="s">
        <v>512</v>
      </c>
      <c r="M234" s="4" t="s">
        <v>512</v>
      </c>
      <c r="N234" s="4" t="s">
        <v>33</v>
      </c>
      <c r="O234" s="6">
        <v>45027</v>
      </c>
      <c r="P234" s="4"/>
      <c r="Q234" s="4" t="s">
        <v>405</v>
      </c>
      <c r="R234" s="4" t="s">
        <v>36</v>
      </c>
      <c r="S234" s="4" t="s">
        <v>59</v>
      </c>
      <c r="T234" s="5">
        <v>2</v>
      </c>
      <c r="U234" s="6">
        <v>45027</v>
      </c>
      <c r="V234" s="4" t="s">
        <v>1349</v>
      </c>
      <c r="W234" s="4"/>
      <c r="X234" s="4"/>
      <c r="Y234" s="4"/>
      <c r="Z234" s="4"/>
      <c r="AA234" s="4"/>
      <c r="AB234" s="4"/>
      <c r="AC234" s="4"/>
      <c r="AD234" s="4">
        <f t="shared" si="3"/>
        <v>15</v>
      </c>
    </row>
    <row r="235" spans="1:30" ht="27" thickBot="1" x14ac:dyDescent="0.3">
      <c r="A235" s="3">
        <v>45027.412314814814</v>
      </c>
      <c r="B235" s="4" t="s">
        <v>1771</v>
      </c>
      <c r="C235" s="4" t="s">
        <v>496</v>
      </c>
      <c r="D235" s="31" t="s">
        <v>42</v>
      </c>
      <c r="E235" s="4" t="s">
        <v>522</v>
      </c>
      <c r="F235" s="5">
        <v>622003861</v>
      </c>
      <c r="G235" s="5">
        <v>622003861</v>
      </c>
      <c r="H235" s="4" t="s">
        <v>160</v>
      </c>
      <c r="I235" s="5">
        <v>35</v>
      </c>
      <c r="J235" s="4" t="s">
        <v>38</v>
      </c>
      <c r="K235" s="5">
        <v>2</v>
      </c>
      <c r="L235" s="4" t="s">
        <v>263</v>
      </c>
      <c r="M235" s="4" t="s">
        <v>263</v>
      </c>
      <c r="N235" s="4" t="s">
        <v>47</v>
      </c>
      <c r="O235" s="6">
        <v>45027</v>
      </c>
      <c r="P235" s="4" t="s">
        <v>523</v>
      </c>
      <c r="Q235" s="4" t="s">
        <v>500</v>
      </c>
      <c r="R235" s="4" t="s">
        <v>252</v>
      </c>
      <c r="S235" s="8" t="s">
        <v>59</v>
      </c>
      <c r="T235" s="5">
        <v>2</v>
      </c>
      <c r="U235" s="6">
        <v>45027</v>
      </c>
      <c r="V235" s="4" t="s">
        <v>1349</v>
      </c>
      <c r="W235" s="4"/>
      <c r="X235" s="4"/>
      <c r="Y235" s="4"/>
      <c r="Z235" s="4"/>
      <c r="AA235" s="4"/>
      <c r="AB235" s="4"/>
      <c r="AC235" s="4"/>
      <c r="AD235" s="4">
        <f t="shared" si="3"/>
        <v>15</v>
      </c>
    </row>
    <row r="236" spans="1:30" ht="27" thickBot="1" x14ac:dyDescent="0.3">
      <c r="A236" s="3">
        <v>45027.417071759257</v>
      </c>
      <c r="B236" s="4" t="s">
        <v>1771</v>
      </c>
      <c r="C236" s="4" t="s">
        <v>496</v>
      </c>
      <c r="D236" s="31" t="s">
        <v>42</v>
      </c>
      <c r="E236" s="4" t="s">
        <v>524</v>
      </c>
      <c r="F236" s="5">
        <v>623145194</v>
      </c>
      <c r="G236" s="5">
        <v>623145194</v>
      </c>
      <c r="H236" s="4" t="s">
        <v>525</v>
      </c>
      <c r="I236" s="5">
        <v>10</v>
      </c>
      <c r="J236" s="4" t="s">
        <v>38</v>
      </c>
      <c r="K236" s="5">
        <v>3</v>
      </c>
      <c r="L236" s="4" t="s">
        <v>526</v>
      </c>
      <c r="M236" s="4" t="s">
        <v>527</v>
      </c>
      <c r="N236" s="4" t="s">
        <v>33</v>
      </c>
      <c r="O236" s="6">
        <v>45027</v>
      </c>
      <c r="P236" s="4" t="s">
        <v>523</v>
      </c>
      <c r="Q236" s="4" t="s">
        <v>500</v>
      </c>
      <c r="R236" s="4" t="s">
        <v>36</v>
      </c>
      <c r="S236" s="8" t="s">
        <v>59</v>
      </c>
      <c r="T236" s="5">
        <v>3</v>
      </c>
      <c r="U236" s="6">
        <v>45027</v>
      </c>
      <c r="V236" s="4" t="s">
        <v>1349</v>
      </c>
      <c r="W236" s="4"/>
      <c r="X236" s="4"/>
      <c r="Y236" s="4"/>
      <c r="Z236" s="4"/>
      <c r="AA236" s="4"/>
      <c r="AB236" s="4"/>
      <c r="AC236" s="4"/>
      <c r="AD236" s="4">
        <f t="shared" si="3"/>
        <v>15</v>
      </c>
    </row>
    <row r="237" spans="1:30" ht="39.75" thickBot="1" x14ac:dyDescent="0.3">
      <c r="A237" s="3">
        <v>45027.431087962963</v>
      </c>
      <c r="B237" s="4" t="s">
        <v>79</v>
      </c>
      <c r="C237" s="4" t="s">
        <v>80</v>
      </c>
      <c r="D237" s="31" t="s">
        <v>42</v>
      </c>
      <c r="E237" s="4" t="s">
        <v>528</v>
      </c>
      <c r="F237" s="5">
        <v>621178661</v>
      </c>
      <c r="G237" s="5">
        <v>0</v>
      </c>
      <c r="H237" s="4" t="s">
        <v>529</v>
      </c>
      <c r="I237" s="5">
        <v>5</v>
      </c>
      <c r="J237" s="4" t="s">
        <v>30</v>
      </c>
      <c r="K237" s="5">
        <v>2</v>
      </c>
      <c r="L237" s="4" t="s">
        <v>73</v>
      </c>
      <c r="M237" s="4" t="s">
        <v>89</v>
      </c>
      <c r="N237" s="4" t="s">
        <v>90</v>
      </c>
      <c r="O237" s="6">
        <v>45027</v>
      </c>
      <c r="P237" s="4" t="s">
        <v>85</v>
      </c>
      <c r="Q237" s="4" t="s">
        <v>86</v>
      </c>
      <c r="R237" s="4" t="s">
        <v>36</v>
      </c>
      <c r="S237" s="4" t="s">
        <v>59</v>
      </c>
      <c r="T237" s="5">
        <v>2</v>
      </c>
      <c r="U237" s="6">
        <v>45027</v>
      </c>
      <c r="V237" s="4" t="s">
        <v>1349</v>
      </c>
      <c r="W237" s="4"/>
      <c r="X237" s="4"/>
      <c r="Y237" s="4"/>
      <c r="Z237" s="4"/>
      <c r="AA237" s="4"/>
      <c r="AB237" s="4"/>
      <c r="AC237" s="4"/>
      <c r="AD237" s="4">
        <f t="shared" si="3"/>
        <v>15</v>
      </c>
    </row>
    <row r="238" spans="1:30" ht="27" thickBot="1" x14ac:dyDescent="0.3">
      <c r="A238" s="3">
        <v>45027.629305555558</v>
      </c>
      <c r="B238" s="4" t="s">
        <v>1769</v>
      </c>
      <c r="C238" s="4" t="s">
        <v>226</v>
      </c>
      <c r="D238" s="31" t="s">
        <v>42</v>
      </c>
      <c r="E238" s="4" t="s">
        <v>530</v>
      </c>
      <c r="F238" s="5">
        <v>623341409</v>
      </c>
      <c r="G238" s="4"/>
      <c r="H238" s="4" t="s">
        <v>228</v>
      </c>
      <c r="I238" s="5">
        <v>25</v>
      </c>
      <c r="J238" s="4" t="s">
        <v>38</v>
      </c>
      <c r="K238" s="5">
        <v>2</v>
      </c>
      <c r="L238" s="4" t="s">
        <v>531</v>
      </c>
      <c r="M238" s="4" t="s">
        <v>316</v>
      </c>
      <c r="N238" s="4" t="s">
        <v>90</v>
      </c>
      <c r="O238" s="6">
        <v>45027</v>
      </c>
      <c r="P238" s="4"/>
      <c r="Q238" s="4" t="s">
        <v>232</v>
      </c>
      <c r="R238" s="4" t="s">
        <v>36</v>
      </c>
      <c r="S238" s="4" t="s">
        <v>59</v>
      </c>
      <c r="T238" s="5">
        <v>2</v>
      </c>
      <c r="U238" s="6">
        <v>45027</v>
      </c>
      <c r="V238" s="4" t="s">
        <v>1349</v>
      </c>
      <c r="W238" s="4"/>
      <c r="X238" s="4"/>
      <c r="Y238" s="4"/>
      <c r="Z238" s="4"/>
      <c r="AA238" s="4"/>
      <c r="AB238" s="4"/>
      <c r="AC238" s="4"/>
      <c r="AD238" s="4">
        <f t="shared" si="3"/>
        <v>15</v>
      </c>
    </row>
    <row r="239" spans="1:30" ht="27" thickBot="1" x14ac:dyDescent="0.3">
      <c r="A239" s="3">
        <v>45028.735150462962</v>
      </c>
      <c r="B239" s="4" t="s">
        <v>1769</v>
      </c>
      <c r="C239" s="4" t="s">
        <v>226</v>
      </c>
      <c r="D239" s="31" t="s">
        <v>42</v>
      </c>
      <c r="E239" s="4" t="s">
        <v>532</v>
      </c>
      <c r="F239" s="5">
        <v>623327381</v>
      </c>
      <c r="G239" s="4"/>
      <c r="H239" s="4" t="s">
        <v>228</v>
      </c>
      <c r="I239" s="5">
        <v>13</v>
      </c>
      <c r="J239" s="4" t="s">
        <v>38</v>
      </c>
      <c r="K239" s="5">
        <v>4</v>
      </c>
      <c r="L239" s="4" t="s">
        <v>31</v>
      </c>
      <c r="M239" s="4" t="s">
        <v>316</v>
      </c>
      <c r="N239" s="4" t="s">
        <v>47</v>
      </c>
      <c r="O239" s="6">
        <v>45028</v>
      </c>
      <c r="P239" s="4"/>
      <c r="Q239" s="4" t="s">
        <v>232</v>
      </c>
      <c r="R239" s="4" t="s">
        <v>36</v>
      </c>
      <c r="S239" s="4" t="s">
        <v>59</v>
      </c>
      <c r="T239" s="5">
        <v>4</v>
      </c>
      <c r="U239" s="6">
        <v>45029</v>
      </c>
      <c r="V239" s="4" t="s">
        <v>1349</v>
      </c>
      <c r="W239" s="4"/>
      <c r="X239" s="4"/>
      <c r="Y239" s="4"/>
      <c r="Z239" s="4"/>
      <c r="AA239" s="4"/>
      <c r="AB239" s="4"/>
      <c r="AC239" s="4"/>
      <c r="AD239" s="4">
        <f t="shared" si="3"/>
        <v>15</v>
      </c>
    </row>
    <row r="240" spans="1:30" ht="27" thickBot="1" x14ac:dyDescent="0.3">
      <c r="A240" s="3">
        <v>45029.504467592589</v>
      </c>
      <c r="B240" s="4" t="s">
        <v>1769</v>
      </c>
      <c r="C240" s="4" t="s">
        <v>226</v>
      </c>
      <c r="D240" s="31" t="s">
        <v>42</v>
      </c>
      <c r="E240" s="4" t="s">
        <v>533</v>
      </c>
      <c r="F240" s="5">
        <v>621582069</v>
      </c>
      <c r="G240" s="4"/>
      <c r="H240" s="4" t="s">
        <v>228</v>
      </c>
      <c r="I240" s="5">
        <v>15</v>
      </c>
      <c r="J240" s="4" t="s">
        <v>30</v>
      </c>
      <c r="K240" s="5">
        <v>1</v>
      </c>
      <c r="L240" s="4" t="s">
        <v>31</v>
      </c>
      <c r="M240" s="4" t="s">
        <v>316</v>
      </c>
      <c r="N240" s="4" t="s">
        <v>47</v>
      </c>
      <c r="O240" s="6">
        <v>45029</v>
      </c>
      <c r="P240" s="4"/>
      <c r="Q240" s="4" t="s">
        <v>232</v>
      </c>
      <c r="R240" s="4" t="s">
        <v>36</v>
      </c>
      <c r="S240" s="4" t="s">
        <v>59</v>
      </c>
      <c r="T240" s="5">
        <v>1</v>
      </c>
      <c r="U240" s="6">
        <v>45029</v>
      </c>
      <c r="V240" s="4" t="s">
        <v>1349</v>
      </c>
      <c r="W240" s="4"/>
      <c r="X240" s="4"/>
      <c r="Y240" s="4"/>
      <c r="Z240" s="4"/>
      <c r="AA240" s="4"/>
      <c r="AB240" s="4"/>
      <c r="AC240" s="4"/>
      <c r="AD240" s="4">
        <f t="shared" si="3"/>
        <v>15</v>
      </c>
    </row>
    <row r="241" spans="1:30" ht="27" thickBot="1" x14ac:dyDescent="0.3">
      <c r="A241" s="3">
        <v>45029.646238425928</v>
      </c>
      <c r="B241" s="4" t="s">
        <v>1769</v>
      </c>
      <c r="C241" s="4" t="s">
        <v>226</v>
      </c>
      <c r="D241" s="31" t="s">
        <v>42</v>
      </c>
      <c r="E241" s="4" t="s">
        <v>534</v>
      </c>
      <c r="F241" s="5">
        <v>621582069</v>
      </c>
      <c r="G241" s="4"/>
      <c r="H241" s="4" t="s">
        <v>228</v>
      </c>
      <c r="I241" s="5">
        <v>15</v>
      </c>
      <c r="J241" s="4" t="s">
        <v>30</v>
      </c>
      <c r="K241" s="5">
        <v>1</v>
      </c>
      <c r="L241" s="4" t="s">
        <v>120</v>
      </c>
      <c r="M241" s="4" t="s">
        <v>316</v>
      </c>
      <c r="N241" s="4" t="s">
        <v>90</v>
      </c>
      <c r="O241" s="6">
        <v>45029</v>
      </c>
      <c r="P241" s="4"/>
      <c r="Q241" s="4" t="s">
        <v>232</v>
      </c>
      <c r="R241" s="4" t="s">
        <v>36</v>
      </c>
      <c r="S241" s="4" t="s">
        <v>59</v>
      </c>
      <c r="T241" s="5">
        <v>1</v>
      </c>
      <c r="U241" s="6">
        <v>45030</v>
      </c>
      <c r="V241" s="4" t="s">
        <v>1349</v>
      </c>
      <c r="W241" s="4"/>
      <c r="X241" s="4"/>
      <c r="Y241" s="4"/>
      <c r="Z241" s="4"/>
      <c r="AA241" s="4"/>
      <c r="AB241" s="4"/>
      <c r="AC241" s="4"/>
      <c r="AD241" s="4">
        <f t="shared" si="3"/>
        <v>15</v>
      </c>
    </row>
    <row r="242" spans="1:30" ht="52.5" thickBot="1" x14ac:dyDescent="0.3">
      <c r="A242" s="3">
        <v>45029.727453703701</v>
      </c>
      <c r="B242" s="4" t="s">
        <v>79</v>
      </c>
      <c r="C242" s="4" t="s">
        <v>80</v>
      </c>
      <c r="D242" s="31" t="s">
        <v>27</v>
      </c>
      <c r="E242" s="4" t="s">
        <v>364</v>
      </c>
      <c r="F242" s="5">
        <v>620227830</v>
      </c>
      <c r="G242" s="5">
        <v>0</v>
      </c>
      <c r="H242" s="4" t="s">
        <v>365</v>
      </c>
      <c r="I242" s="5">
        <v>55</v>
      </c>
      <c r="J242" s="4" t="s">
        <v>30</v>
      </c>
      <c r="K242" s="5">
        <v>15</v>
      </c>
      <c r="L242" s="4" t="s">
        <v>535</v>
      </c>
      <c r="M242" s="4" t="s">
        <v>89</v>
      </c>
      <c r="N242" s="4" t="s">
        <v>90</v>
      </c>
      <c r="O242" s="6">
        <v>45031</v>
      </c>
      <c r="P242" s="4" t="s">
        <v>536</v>
      </c>
      <c r="Q242" s="4" t="s">
        <v>86</v>
      </c>
      <c r="R242" s="4" t="s">
        <v>36</v>
      </c>
      <c r="S242" s="4" t="s">
        <v>59</v>
      </c>
      <c r="T242" s="5">
        <v>15</v>
      </c>
      <c r="U242" s="6">
        <v>45030</v>
      </c>
      <c r="V242" s="4" t="s">
        <v>1349</v>
      </c>
      <c r="W242" s="4"/>
      <c r="X242" s="4"/>
      <c r="Y242" s="4"/>
      <c r="Z242" s="4"/>
      <c r="AA242" s="4"/>
      <c r="AB242" s="4"/>
      <c r="AC242" s="4"/>
      <c r="AD242" s="4">
        <f t="shared" si="3"/>
        <v>15</v>
      </c>
    </row>
    <row r="243" spans="1:30" ht="27" thickBot="1" x14ac:dyDescent="0.3">
      <c r="A243" s="3">
        <v>45030.497928240744</v>
      </c>
      <c r="B243" s="4" t="s">
        <v>1769</v>
      </c>
      <c r="C243" s="4" t="s">
        <v>226</v>
      </c>
      <c r="D243" s="31" t="s">
        <v>42</v>
      </c>
      <c r="E243" s="4" t="s">
        <v>537</v>
      </c>
      <c r="F243" s="5">
        <v>622555736</v>
      </c>
      <c r="G243" s="4"/>
      <c r="H243" s="4" t="s">
        <v>277</v>
      </c>
      <c r="I243" s="5">
        <v>3</v>
      </c>
      <c r="J243" s="4" t="s">
        <v>30</v>
      </c>
      <c r="K243" s="5">
        <v>1</v>
      </c>
      <c r="L243" s="4" t="s">
        <v>421</v>
      </c>
      <c r="M243" s="4" t="s">
        <v>316</v>
      </c>
      <c r="N243" s="4" t="s">
        <v>90</v>
      </c>
      <c r="O243" s="6">
        <v>45030</v>
      </c>
      <c r="P243" s="4"/>
      <c r="Q243" s="4" t="s">
        <v>232</v>
      </c>
      <c r="R243" s="4" t="s">
        <v>538</v>
      </c>
      <c r="S243" s="4" t="s">
        <v>59</v>
      </c>
      <c r="T243" s="5">
        <v>1</v>
      </c>
      <c r="U243" s="6">
        <v>45030</v>
      </c>
      <c r="V243" s="4" t="s">
        <v>1349</v>
      </c>
      <c r="W243" s="4"/>
      <c r="X243" s="4"/>
      <c r="Y243" s="4"/>
      <c r="Z243" s="4"/>
      <c r="AA243" s="4"/>
      <c r="AB243" s="4"/>
      <c r="AC243" s="4"/>
      <c r="AD243" s="4">
        <f t="shared" si="3"/>
        <v>15</v>
      </c>
    </row>
    <row r="244" spans="1:30" ht="27" thickBot="1" x14ac:dyDescent="0.3">
      <c r="A244" s="3">
        <v>45030.669340277775</v>
      </c>
      <c r="B244" s="4" t="s">
        <v>1769</v>
      </c>
      <c r="C244" s="4" t="s">
        <v>226</v>
      </c>
      <c r="D244" s="31" t="s">
        <v>42</v>
      </c>
      <c r="E244" s="4" t="s">
        <v>539</v>
      </c>
      <c r="F244" s="5">
        <v>620510765</v>
      </c>
      <c r="G244" s="4"/>
      <c r="H244" s="4" t="s">
        <v>277</v>
      </c>
      <c r="I244" s="5">
        <v>2</v>
      </c>
      <c r="J244" s="4" t="s">
        <v>30</v>
      </c>
      <c r="K244" s="5">
        <v>1</v>
      </c>
      <c r="L244" s="4" t="s">
        <v>540</v>
      </c>
      <c r="M244" s="4" t="s">
        <v>316</v>
      </c>
      <c r="N244" s="4" t="s">
        <v>47</v>
      </c>
      <c r="O244" s="6">
        <v>45030</v>
      </c>
      <c r="P244" s="4"/>
      <c r="Q244" s="4" t="s">
        <v>232</v>
      </c>
      <c r="R244" s="4" t="s">
        <v>36</v>
      </c>
      <c r="S244" s="4" t="s">
        <v>59</v>
      </c>
      <c r="T244" s="5">
        <v>1</v>
      </c>
      <c r="U244" s="6">
        <v>45033</v>
      </c>
      <c r="V244" s="4" t="s">
        <v>1350</v>
      </c>
      <c r="W244" s="4"/>
      <c r="X244" s="4"/>
      <c r="Y244" s="4"/>
      <c r="Z244" s="4"/>
      <c r="AA244" s="4"/>
      <c r="AB244" s="4"/>
      <c r="AC244" s="4"/>
      <c r="AD244" s="4">
        <f t="shared" si="3"/>
        <v>15</v>
      </c>
    </row>
    <row r="245" spans="1:30" ht="78" thickBot="1" x14ac:dyDescent="0.3">
      <c r="A245" s="3">
        <v>45030.881608796299</v>
      </c>
      <c r="B245" s="4" t="s">
        <v>25</v>
      </c>
      <c r="C245" s="4" t="s">
        <v>26</v>
      </c>
      <c r="D245" s="31" t="s">
        <v>27</v>
      </c>
      <c r="E245" s="4" t="s">
        <v>541</v>
      </c>
      <c r="F245" s="5">
        <v>622671405</v>
      </c>
      <c r="G245" s="5">
        <v>622715005</v>
      </c>
      <c r="H245" s="4" t="s">
        <v>29</v>
      </c>
      <c r="I245" s="5">
        <v>12</v>
      </c>
      <c r="J245" s="4" t="s">
        <v>101</v>
      </c>
      <c r="K245" s="5">
        <v>5</v>
      </c>
      <c r="L245" s="4" t="s">
        <v>52</v>
      </c>
      <c r="M245" s="4" t="s">
        <v>32</v>
      </c>
      <c r="N245" s="4" t="s">
        <v>33</v>
      </c>
      <c r="O245" s="6">
        <v>45042</v>
      </c>
      <c r="P245" s="4" t="s">
        <v>34</v>
      </c>
      <c r="Q245" s="4" t="s">
        <v>35</v>
      </c>
      <c r="R245" s="4" t="s">
        <v>36</v>
      </c>
      <c r="S245" s="4" t="s">
        <v>59</v>
      </c>
      <c r="T245" s="5">
        <v>5</v>
      </c>
      <c r="U245" s="6">
        <v>45033</v>
      </c>
      <c r="V245" s="4" t="s">
        <v>1350</v>
      </c>
      <c r="W245" s="4"/>
      <c r="X245" s="4"/>
      <c r="Y245" s="4"/>
      <c r="Z245" s="4"/>
      <c r="AA245" s="4"/>
      <c r="AB245" s="4"/>
      <c r="AC245" s="4"/>
      <c r="AD245" s="4">
        <f t="shared" si="3"/>
        <v>15</v>
      </c>
    </row>
    <row r="246" spans="1:30" ht="27" thickBot="1" x14ac:dyDescent="0.3">
      <c r="A246" s="3">
        <v>45032.507615740738</v>
      </c>
      <c r="B246" s="4" t="s">
        <v>1769</v>
      </c>
      <c r="C246" s="4" t="s">
        <v>226</v>
      </c>
      <c r="D246" s="31" t="s">
        <v>42</v>
      </c>
      <c r="E246" s="4" t="s">
        <v>542</v>
      </c>
      <c r="F246" s="5">
        <v>622561829</v>
      </c>
      <c r="G246" s="4"/>
      <c r="H246" s="4" t="s">
        <v>543</v>
      </c>
      <c r="I246" s="5">
        <v>30</v>
      </c>
      <c r="J246" s="4" t="s">
        <v>30</v>
      </c>
      <c r="K246" s="5">
        <v>8</v>
      </c>
      <c r="L246" s="4" t="s">
        <v>544</v>
      </c>
      <c r="M246" s="4" t="s">
        <v>316</v>
      </c>
      <c r="N246" s="4" t="s">
        <v>90</v>
      </c>
      <c r="O246" s="6">
        <v>45034</v>
      </c>
      <c r="P246" s="4"/>
      <c r="Q246" s="4" t="s">
        <v>232</v>
      </c>
      <c r="R246" s="4" t="s">
        <v>36</v>
      </c>
      <c r="S246" s="4" t="s">
        <v>59</v>
      </c>
      <c r="T246" s="5">
        <v>8</v>
      </c>
      <c r="U246" s="6">
        <v>45033</v>
      </c>
      <c r="V246" s="4" t="s">
        <v>1350</v>
      </c>
      <c r="W246" s="4"/>
      <c r="X246" s="4"/>
      <c r="Y246" s="4"/>
      <c r="Z246" s="4"/>
      <c r="AA246" s="4"/>
      <c r="AB246" s="4"/>
      <c r="AC246" s="4"/>
      <c r="AD246" s="4">
        <f t="shared" si="3"/>
        <v>16</v>
      </c>
    </row>
    <row r="247" spans="1:30" ht="27" thickBot="1" x14ac:dyDescent="0.3">
      <c r="A247" s="3">
        <v>45033.416481481479</v>
      </c>
      <c r="B247" s="4" t="s">
        <v>1771</v>
      </c>
      <c r="C247" s="4" t="s">
        <v>496</v>
      </c>
      <c r="D247" s="31" t="s">
        <v>42</v>
      </c>
      <c r="E247" s="4" t="s">
        <v>545</v>
      </c>
      <c r="F247" s="5">
        <v>626352453</v>
      </c>
      <c r="G247" s="5">
        <v>626352453</v>
      </c>
      <c r="H247" s="4" t="s">
        <v>525</v>
      </c>
      <c r="I247" s="5">
        <v>7</v>
      </c>
      <c r="J247" s="4" t="s">
        <v>38</v>
      </c>
      <c r="K247" s="5">
        <v>2</v>
      </c>
      <c r="L247" s="4" t="s">
        <v>526</v>
      </c>
      <c r="M247" s="4" t="s">
        <v>546</v>
      </c>
      <c r="N247" s="4" t="s">
        <v>90</v>
      </c>
      <c r="O247" s="6">
        <v>45033</v>
      </c>
      <c r="P247" s="4" t="s">
        <v>523</v>
      </c>
      <c r="Q247" s="4" t="s">
        <v>500</v>
      </c>
      <c r="R247" s="4" t="s">
        <v>36</v>
      </c>
      <c r="S247" s="4" t="s">
        <v>59</v>
      </c>
      <c r="T247" s="5">
        <v>2</v>
      </c>
      <c r="U247" s="6">
        <v>45033</v>
      </c>
      <c r="V247" s="4" t="s">
        <v>1350</v>
      </c>
      <c r="W247" s="4"/>
      <c r="X247" s="4"/>
      <c r="Y247" s="4"/>
      <c r="Z247" s="4"/>
      <c r="AA247" s="4"/>
      <c r="AB247" s="4"/>
      <c r="AC247" s="4"/>
      <c r="AD247" s="4">
        <f t="shared" si="3"/>
        <v>16</v>
      </c>
    </row>
    <row r="248" spans="1:30" ht="27" thickBot="1" x14ac:dyDescent="0.3">
      <c r="A248" s="3">
        <v>45033.432685185187</v>
      </c>
      <c r="B248" s="4" t="s">
        <v>1771</v>
      </c>
      <c r="C248" s="4" t="s">
        <v>496</v>
      </c>
      <c r="D248" s="31" t="s">
        <v>42</v>
      </c>
      <c r="E248" s="4" t="s">
        <v>547</v>
      </c>
      <c r="F248" s="5">
        <v>629898667</v>
      </c>
      <c r="G248" s="5">
        <v>629898667</v>
      </c>
      <c r="H248" s="4" t="s">
        <v>548</v>
      </c>
      <c r="I248" s="5">
        <v>130</v>
      </c>
      <c r="J248" s="4" t="s">
        <v>38</v>
      </c>
      <c r="K248" s="5">
        <v>2</v>
      </c>
      <c r="L248" s="4" t="s">
        <v>549</v>
      </c>
      <c r="M248" s="4" t="s">
        <v>550</v>
      </c>
      <c r="N248" s="4" t="s">
        <v>57</v>
      </c>
      <c r="O248" s="6">
        <v>45035</v>
      </c>
      <c r="P248" s="4" t="s">
        <v>523</v>
      </c>
      <c r="Q248" s="4" t="s">
        <v>500</v>
      </c>
      <c r="R248" s="4" t="s">
        <v>551</v>
      </c>
      <c r="S248" s="4" t="s">
        <v>59</v>
      </c>
      <c r="T248" s="5">
        <v>2</v>
      </c>
      <c r="U248" s="6">
        <v>45033</v>
      </c>
      <c r="V248" s="4" t="s">
        <v>1350</v>
      </c>
      <c r="W248" s="4"/>
      <c r="X248" s="4"/>
      <c r="Y248" s="4"/>
      <c r="Z248" s="4"/>
      <c r="AA248" s="4"/>
      <c r="AB248" s="4"/>
      <c r="AC248" s="4"/>
      <c r="AD248" s="4">
        <f t="shared" si="3"/>
        <v>16</v>
      </c>
    </row>
    <row r="249" spans="1:30" ht="27" thickBot="1" x14ac:dyDescent="0.3">
      <c r="A249" s="3">
        <v>45039.386666666665</v>
      </c>
      <c r="B249" s="4" t="s">
        <v>1769</v>
      </c>
      <c r="C249" s="4" t="s">
        <v>226</v>
      </c>
      <c r="D249" s="31" t="s">
        <v>42</v>
      </c>
      <c r="E249" s="4" t="s">
        <v>542</v>
      </c>
      <c r="F249" s="5">
        <v>622561829</v>
      </c>
      <c r="G249" s="4"/>
      <c r="H249" s="4" t="s">
        <v>543</v>
      </c>
      <c r="I249" s="5">
        <v>30</v>
      </c>
      <c r="J249" s="4" t="s">
        <v>30</v>
      </c>
      <c r="K249" s="5">
        <v>3</v>
      </c>
      <c r="L249" s="4" t="s">
        <v>544</v>
      </c>
      <c r="M249" s="4" t="s">
        <v>316</v>
      </c>
      <c r="N249" s="4" t="s">
        <v>90</v>
      </c>
      <c r="O249" s="6">
        <v>45036</v>
      </c>
      <c r="P249" s="4"/>
      <c r="Q249" s="4" t="s">
        <v>232</v>
      </c>
      <c r="R249" s="4" t="s">
        <v>36</v>
      </c>
      <c r="S249" s="4" t="s">
        <v>59</v>
      </c>
      <c r="T249" s="5">
        <v>3</v>
      </c>
      <c r="U249" s="6">
        <v>45039</v>
      </c>
      <c r="V249" s="4" t="s">
        <v>1351</v>
      </c>
      <c r="W249" s="4"/>
      <c r="X249" s="4"/>
      <c r="Y249" s="4"/>
      <c r="Z249" s="4"/>
      <c r="AA249" s="4"/>
      <c r="AB249" s="4"/>
      <c r="AC249" s="4"/>
      <c r="AD249" s="4">
        <f t="shared" si="3"/>
        <v>17</v>
      </c>
    </row>
    <row r="250" spans="1:30" ht="65.25" thickBot="1" x14ac:dyDescent="0.3">
      <c r="A250" s="3">
        <v>45039.484270833331</v>
      </c>
      <c r="B250" s="4" t="s">
        <v>25</v>
      </c>
      <c r="C250" s="4" t="s">
        <v>26</v>
      </c>
      <c r="D250" s="31" t="s">
        <v>42</v>
      </c>
      <c r="E250" s="4" t="s">
        <v>51</v>
      </c>
      <c r="F250" s="5">
        <v>621573030</v>
      </c>
      <c r="G250" s="4"/>
      <c r="H250" s="4" t="s">
        <v>45</v>
      </c>
      <c r="I250" s="5">
        <v>80</v>
      </c>
      <c r="J250" s="4" t="s">
        <v>38</v>
      </c>
      <c r="K250" s="5">
        <v>20</v>
      </c>
      <c r="L250" s="4" t="s">
        <v>113</v>
      </c>
      <c r="M250" s="4" t="s">
        <v>32</v>
      </c>
      <c r="N250" s="4" t="s">
        <v>33</v>
      </c>
      <c r="O250" s="6">
        <v>45043</v>
      </c>
      <c r="P250" s="4" t="s">
        <v>34</v>
      </c>
      <c r="Q250" s="4" t="s">
        <v>35</v>
      </c>
      <c r="R250" s="4" t="s">
        <v>36</v>
      </c>
      <c r="S250" s="4" t="s">
        <v>59</v>
      </c>
      <c r="T250" s="5">
        <v>20</v>
      </c>
      <c r="U250" s="6">
        <v>45040</v>
      </c>
      <c r="V250" s="4" t="s">
        <v>1351</v>
      </c>
      <c r="W250" s="4"/>
      <c r="X250" s="4"/>
      <c r="Y250" s="4"/>
      <c r="Z250" s="4"/>
      <c r="AA250" s="4"/>
      <c r="AB250" s="4"/>
      <c r="AC250" s="4"/>
      <c r="AD250" s="4">
        <f t="shared" si="3"/>
        <v>17</v>
      </c>
    </row>
    <row r="251" spans="1:30" ht="39.75" thickBot="1" x14ac:dyDescent="0.3">
      <c r="A251" s="3">
        <v>45040.013668981483</v>
      </c>
      <c r="B251" s="4" t="s">
        <v>552</v>
      </c>
      <c r="C251" s="4" t="s">
        <v>553</v>
      </c>
      <c r="D251" s="31" t="s">
        <v>42</v>
      </c>
      <c r="E251" s="4" t="s">
        <v>554</v>
      </c>
      <c r="F251" s="5">
        <v>629822877</v>
      </c>
      <c r="G251" s="4"/>
      <c r="H251" s="4" t="s">
        <v>555</v>
      </c>
      <c r="I251" s="5">
        <v>150</v>
      </c>
      <c r="J251" s="4" t="s">
        <v>38</v>
      </c>
      <c r="K251" s="5">
        <v>15</v>
      </c>
      <c r="L251" s="4" t="s">
        <v>556</v>
      </c>
      <c r="M251" s="4" t="s">
        <v>556</v>
      </c>
      <c r="N251" s="4" t="s">
        <v>90</v>
      </c>
      <c r="O251" s="6">
        <v>45042</v>
      </c>
      <c r="P251" s="4" t="s">
        <v>557</v>
      </c>
      <c r="Q251" s="4" t="s">
        <v>558</v>
      </c>
      <c r="R251" s="4" t="s">
        <v>36</v>
      </c>
      <c r="S251" s="4" t="s">
        <v>59</v>
      </c>
      <c r="T251" s="5">
        <v>15</v>
      </c>
      <c r="U251" s="6">
        <v>45040</v>
      </c>
      <c r="V251" s="4" t="s">
        <v>1351</v>
      </c>
      <c r="W251" s="4"/>
      <c r="X251" s="4"/>
      <c r="Y251" s="4"/>
      <c r="Z251" s="4"/>
      <c r="AA251" s="4"/>
      <c r="AB251" s="4"/>
      <c r="AC251" s="4"/>
      <c r="AD251" s="4">
        <f t="shared" si="3"/>
        <v>17</v>
      </c>
    </row>
    <row r="252" spans="1:30" ht="27" thickBot="1" x14ac:dyDescent="0.3">
      <c r="A252" s="3">
        <v>45040.521203703705</v>
      </c>
      <c r="B252" s="4" t="s">
        <v>1770</v>
      </c>
      <c r="C252" s="4" t="s">
        <v>254</v>
      </c>
      <c r="D252" s="31" t="s">
        <v>42</v>
      </c>
      <c r="E252" s="8" t="s">
        <v>559</v>
      </c>
      <c r="F252" s="5">
        <v>628356815</v>
      </c>
      <c r="G252" s="5">
        <v>628356815</v>
      </c>
      <c r="H252" s="4" t="s">
        <v>476</v>
      </c>
      <c r="I252" s="5">
        <v>7</v>
      </c>
      <c r="J252" s="4" t="s">
        <v>38</v>
      </c>
      <c r="K252" s="5">
        <v>4</v>
      </c>
      <c r="L252" s="4" t="s">
        <v>493</v>
      </c>
      <c r="M252" s="4" t="s">
        <v>493</v>
      </c>
      <c r="N252" s="4" t="s">
        <v>41</v>
      </c>
      <c r="O252" s="6">
        <v>45042</v>
      </c>
      <c r="P252" s="4" t="s">
        <v>404</v>
      </c>
      <c r="Q252" s="4" t="s">
        <v>405</v>
      </c>
      <c r="R252" s="4" t="s">
        <v>36</v>
      </c>
      <c r="S252" s="4" t="s">
        <v>59</v>
      </c>
      <c r="T252" s="5">
        <v>4</v>
      </c>
      <c r="U252" s="6">
        <v>45041</v>
      </c>
      <c r="V252" s="4" t="s">
        <v>1351</v>
      </c>
      <c r="W252" s="4"/>
      <c r="X252" s="4"/>
      <c r="Y252" s="4"/>
      <c r="Z252" s="4"/>
      <c r="AA252" s="4"/>
      <c r="AB252" s="4"/>
      <c r="AC252" s="4"/>
      <c r="AD252" s="4">
        <f t="shared" si="3"/>
        <v>17</v>
      </c>
    </row>
    <row r="253" spans="1:30" ht="27" thickBot="1" x14ac:dyDescent="0.3">
      <c r="A253" s="3">
        <v>45040.52679398148</v>
      </c>
      <c r="B253" s="4" t="s">
        <v>1770</v>
      </c>
      <c r="C253" s="4" t="s">
        <v>254</v>
      </c>
      <c r="D253" s="31" t="s">
        <v>42</v>
      </c>
      <c r="E253" s="8" t="s">
        <v>560</v>
      </c>
      <c r="F253" s="5">
        <v>622570581</v>
      </c>
      <c r="G253" s="5">
        <v>622570581</v>
      </c>
      <c r="H253" s="4" t="s">
        <v>476</v>
      </c>
      <c r="I253" s="5">
        <v>3</v>
      </c>
      <c r="J253" s="4" t="s">
        <v>38</v>
      </c>
      <c r="K253" s="5">
        <v>4</v>
      </c>
      <c r="L253" s="4" t="s">
        <v>561</v>
      </c>
      <c r="M253" s="4" t="s">
        <v>561</v>
      </c>
      <c r="N253" s="4" t="s">
        <v>90</v>
      </c>
      <c r="O253" s="6">
        <v>45043</v>
      </c>
      <c r="P253" s="4"/>
      <c r="Q253" s="4" t="s">
        <v>405</v>
      </c>
      <c r="R253" s="4" t="s">
        <v>36</v>
      </c>
      <c r="S253" s="4" t="s">
        <v>59</v>
      </c>
      <c r="T253" s="5">
        <v>4</v>
      </c>
      <c r="U253" s="6">
        <v>45041</v>
      </c>
      <c r="V253" s="4" t="s">
        <v>1351</v>
      </c>
      <c r="W253" s="4"/>
      <c r="X253" s="4"/>
      <c r="Y253" s="4"/>
      <c r="Z253" s="4"/>
      <c r="AA253" s="4"/>
      <c r="AB253" s="4"/>
      <c r="AC253" s="4"/>
      <c r="AD253" s="4">
        <f t="shared" si="3"/>
        <v>17</v>
      </c>
    </row>
    <row r="254" spans="1:30" ht="27" thickBot="1" x14ac:dyDescent="0.3">
      <c r="A254" s="3">
        <v>45040.530243055553</v>
      </c>
      <c r="B254" s="4" t="s">
        <v>1770</v>
      </c>
      <c r="C254" s="4" t="s">
        <v>254</v>
      </c>
      <c r="D254" s="31" t="s">
        <v>42</v>
      </c>
      <c r="E254" s="8" t="s">
        <v>137</v>
      </c>
      <c r="F254" s="5">
        <v>623039062</v>
      </c>
      <c r="G254" s="5">
        <v>623039062</v>
      </c>
      <c r="H254" s="4" t="s">
        <v>476</v>
      </c>
      <c r="I254" s="5">
        <v>8</v>
      </c>
      <c r="J254" s="4" t="s">
        <v>38</v>
      </c>
      <c r="K254" s="5">
        <v>3</v>
      </c>
      <c r="L254" s="4" t="s">
        <v>512</v>
      </c>
      <c r="M254" s="4" t="s">
        <v>512</v>
      </c>
      <c r="N254" s="4" t="s">
        <v>90</v>
      </c>
      <c r="O254" s="6">
        <v>45042</v>
      </c>
      <c r="P254" s="4"/>
      <c r="Q254" s="4" t="s">
        <v>405</v>
      </c>
      <c r="R254" s="4" t="s">
        <v>36</v>
      </c>
      <c r="S254" s="4" t="s">
        <v>59</v>
      </c>
      <c r="T254" s="5">
        <v>3</v>
      </c>
      <c r="U254" s="6">
        <v>45041</v>
      </c>
      <c r="V254" s="4" t="s">
        <v>1351</v>
      </c>
      <c r="W254" s="4"/>
      <c r="X254" s="4"/>
      <c r="Y254" s="4"/>
      <c r="Z254" s="4"/>
      <c r="AA254" s="4"/>
      <c r="AB254" s="4"/>
      <c r="AC254" s="4"/>
      <c r="AD254" s="4">
        <f t="shared" si="3"/>
        <v>17</v>
      </c>
    </row>
    <row r="255" spans="1:30" ht="27" thickBot="1" x14ac:dyDescent="0.3">
      <c r="A255" s="3">
        <v>45040.535451388889</v>
      </c>
      <c r="B255" s="4" t="s">
        <v>1770</v>
      </c>
      <c r="C255" s="4" t="s">
        <v>254</v>
      </c>
      <c r="D255" s="31" t="s">
        <v>42</v>
      </c>
      <c r="E255" s="8" t="s">
        <v>562</v>
      </c>
      <c r="F255" s="5">
        <v>620877548</v>
      </c>
      <c r="G255" s="5">
        <v>620978548</v>
      </c>
      <c r="H255" s="4" t="s">
        <v>476</v>
      </c>
      <c r="I255" s="5">
        <v>7</v>
      </c>
      <c r="J255" s="4" t="s">
        <v>38</v>
      </c>
      <c r="K255" s="5">
        <v>2</v>
      </c>
      <c r="L255" s="4" t="s">
        <v>512</v>
      </c>
      <c r="M255" s="4" t="s">
        <v>512</v>
      </c>
      <c r="N255" s="4" t="s">
        <v>90</v>
      </c>
      <c r="O255" s="6">
        <v>45042</v>
      </c>
      <c r="P255" s="4"/>
      <c r="Q255" s="4" t="s">
        <v>405</v>
      </c>
      <c r="R255" s="4" t="s">
        <v>36</v>
      </c>
      <c r="S255" s="4" t="s">
        <v>59</v>
      </c>
      <c r="T255" s="5">
        <v>2</v>
      </c>
      <c r="U255" s="6">
        <v>45041</v>
      </c>
      <c r="V255" s="4" t="s">
        <v>1351</v>
      </c>
      <c r="W255" s="4"/>
      <c r="X255" s="4"/>
      <c r="Y255" s="4"/>
      <c r="Z255" s="4"/>
      <c r="AA255" s="4"/>
      <c r="AB255" s="4"/>
      <c r="AC255" s="4"/>
      <c r="AD255" s="4">
        <f t="shared" si="3"/>
        <v>17</v>
      </c>
    </row>
    <row r="256" spans="1:30" ht="27" thickBot="1" x14ac:dyDescent="0.3">
      <c r="A256" s="3">
        <v>45040.537789351853</v>
      </c>
      <c r="B256" s="4" t="s">
        <v>1770</v>
      </c>
      <c r="C256" s="4" t="s">
        <v>254</v>
      </c>
      <c r="D256" s="31" t="s">
        <v>42</v>
      </c>
      <c r="E256" s="8" t="s">
        <v>563</v>
      </c>
      <c r="F256" s="5">
        <v>628569230</v>
      </c>
      <c r="G256" s="5">
        <v>628569230</v>
      </c>
      <c r="H256" s="4" t="s">
        <v>476</v>
      </c>
      <c r="I256" s="5">
        <v>3</v>
      </c>
      <c r="J256" s="4" t="s">
        <v>38</v>
      </c>
      <c r="K256" s="5">
        <v>2</v>
      </c>
      <c r="L256" s="4" t="s">
        <v>512</v>
      </c>
      <c r="M256" s="4" t="s">
        <v>512</v>
      </c>
      <c r="N256" s="4" t="s">
        <v>90</v>
      </c>
      <c r="O256" s="6">
        <v>45044</v>
      </c>
      <c r="P256" s="4"/>
      <c r="Q256" s="4" t="s">
        <v>405</v>
      </c>
      <c r="R256" s="4" t="s">
        <v>36</v>
      </c>
      <c r="S256" s="4" t="s">
        <v>59</v>
      </c>
      <c r="T256" s="5">
        <v>2</v>
      </c>
      <c r="U256" s="6">
        <v>45041</v>
      </c>
      <c r="V256" s="4" t="s">
        <v>1351</v>
      </c>
      <c r="W256" s="4"/>
      <c r="X256" s="4"/>
      <c r="Y256" s="4"/>
      <c r="Z256" s="4"/>
      <c r="AA256" s="4"/>
      <c r="AB256" s="4"/>
      <c r="AC256" s="4"/>
      <c r="AD256" s="4">
        <f t="shared" si="3"/>
        <v>17</v>
      </c>
    </row>
    <row r="257" spans="1:30" ht="27" thickBot="1" x14ac:dyDescent="0.3">
      <c r="A257" s="3">
        <v>45040.540196759262</v>
      </c>
      <c r="B257" s="4" t="s">
        <v>1770</v>
      </c>
      <c r="C257" s="4" t="s">
        <v>254</v>
      </c>
      <c r="D257" s="31" t="s">
        <v>42</v>
      </c>
      <c r="E257" s="8" t="s">
        <v>564</v>
      </c>
      <c r="F257" s="5">
        <v>621169030</v>
      </c>
      <c r="G257" s="5">
        <v>621169030</v>
      </c>
      <c r="H257" s="4" t="s">
        <v>476</v>
      </c>
      <c r="I257" s="5">
        <v>14</v>
      </c>
      <c r="J257" s="4" t="s">
        <v>38</v>
      </c>
      <c r="K257" s="5">
        <v>3</v>
      </c>
      <c r="L257" s="4" t="s">
        <v>493</v>
      </c>
      <c r="M257" s="4" t="s">
        <v>493</v>
      </c>
      <c r="N257" s="4" t="s">
        <v>41</v>
      </c>
      <c r="O257" s="6">
        <v>45043</v>
      </c>
      <c r="P257" s="4"/>
      <c r="Q257" s="4" t="s">
        <v>405</v>
      </c>
      <c r="R257" s="4" t="s">
        <v>36</v>
      </c>
      <c r="S257" s="4" t="s">
        <v>59</v>
      </c>
      <c r="T257" s="5">
        <v>3</v>
      </c>
      <c r="U257" s="6">
        <v>45041</v>
      </c>
      <c r="V257" s="4" t="s">
        <v>1351</v>
      </c>
      <c r="W257" s="4"/>
      <c r="X257" s="4"/>
      <c r="Y257" s="4"/>
      <c r="Z257" s="4"/>
      <c r="AA257" s="4"/>
      <c r="AB257" s="4"/>
      <c r="AC257" s="4"/>
      <c r="AD257" s="4">
        <f t="shared" si="3"/>
        <v>17</v>
      </c>
    </row>
    <row r="258" spans="1:30" ht="27" thickBot="1" x14ac:dyDescent="0.3">
      <c r="A258" s="3">
        <v>45040.542361111111</v>
      </c>
      <c r="B258" s="4" t="s">
        <v>1770</v>
      </c>
      <c r="C258" s="4" t="s">
        <v>254</v>
      </c>
      <c r="D258" s="31" t="s">
        <v>42</v>
      </c>
      <c r="E258" s="8" t="s">
        <v>565</v>
      </c>
      <c r="F258" s="5">
        <v>620548116</v>
      </c>
      <c r="G258" s="5">
        <v>620548116</v>
      </c>
      <c r="H258" s="4" t="s">
        <v>476</v>
      </c>
      <c r="I258" s="5">
        <v>12</v>
      </c>
      <c r="J258" s="4" t="s">
        <v>38</v>
      </c>
      <c r="K258" s="5">
        <v>2</v>
      </c>
      <c r="L258" s="4" t="s">
        <v>566</v>
      </c>
      <c r="M258" s="4" t="s">
        <v>566</v>
      </c>
      <c r="N258" s="4" t="s">
        <v>33</v>
      </c>
      <c r="O258" s="6">
        <v>45043</v>
      </c>
      <c r="P258" s="4" t="s">
        <v>404</v>
      </c>
      <c r="Q258" s="4" t="s">
        <v>405</v>
      </c>
      <c r="R258" s="4" t="s">
        <v>36</v>
      </c>
      <c r="S258" s="4" t="s">
        <v>59</v>
      </c>
      <c r="T258" s="5">
        <v>2</v>
      </c>
      <c r="U258" s="6">
        <v>45041</v>
      </c>
      <c r="V258" s="4" t="s">
        <v>1351</v>
      </c>
      <c r="W258" s="4"/>
      <c r="X258" s="4"/>
      <c r="Y258" s="4"/>
      <c r="Z258" s="4"/>
      <c r="AA258" s="4"/>
      <c r="AB258" s="4"/>
      <c r="AC258" s="4"/>
      <c r="AD258" s="4">
        <f t="shared" si="3"/>
        <v>17</v>
      </c>
    </row>
    <row r="259" spans="1:30" ht="27" thickBot="1" x14ac:dyDescent="0.3">
      <c r="A259" s="3">
        <v>45040.562824074077</v>
      </c>
      <c r="B259" s="4" t="s">
        <v>1770</v>
      </c>
      <c r="C259" s="4" t="s">
        <v>254</v>
      </c>
      <c r="D259" s="31" t="s">
        <v>42</v>
      </c>
      <c r="E259" s="8" t="s">
        <v>567</v>
      </c>
      <c r="F259" s="5">
        <v>628236558</v>
      </c>
      <c r="G259" s="5">
        <v>664077245</v>
      </c>
      <c r="H259" s="4" t="s">
        <v>476</v>
      </c>
      <c r="I259" s="5">
        <v>7</v>
      </c>
      <c r="J259" s="4" t="s">
        <v>38</v>
      </c>
      <c r="K259" s="5">
        <v>3</v>
      </c>
      <c r="L259" s="4" t="s">
        <v>568</v>
      </c>
      <c r="M259" s="4" t="s">
        <v>568</v>
      </c>
      <c r="N259" s="4" t="s">
        <v>90</v>
      </c>
      <c r="O259" s="6">
        <v>45043</v>
      </c>
      <c r="P259" s="4"/>
      <c r="Q259" s="4" t="s">
        <v>405</v>
      </c>
      <c r="R259" s="4" t="s">
        <v>36</v>
      </c>
      <c r="S259" s="4" t="s">
        <v>59</v>
      </c>
      <c r="T259" s="5">
        <v>3</v>
      </c>
      <c r="U259" s="6">
        <v>45041</v>
      </c>
      <c r="V259" s="4" t="s">
        <v>1351</v>
      </c>
      <c r="W259" s="4"/>
      <c r="X259" s="4"/>
      <c r="Y259" s="4"/>
      <c r="Z259" s="4"/>
      <c r="AA259" s="4"/>
      <c r="AB259" s="4"/>
      <c r="AC259" s="4"/>
      <c r="AD259" s="4">
        <f t="shared" ref="AD259:AD322" si="4">WEEKNUM(LEFT(A259,10))</f>
        <v>17</v>
      </c>
    </row>
    <row r="260" spans="1:30" ht="27" thickBot="1" x14ac:dyDescent="0.3">
      <c r="A260" s="3">
        <v>45040.645370370374</v>
      </c>
      <c r="B260" s="4" t="s">
        <v>53</v>
      </c>
      <c r="C260" s="8" t="s">
        <v>569</v>
      </c>
      <c r="D260" s="31" t="s">
        <v>42</v>
      </c>
      <c r="E260" s="4" t="s">
        <v>570</v>
      </c>
      <c r="F260" s="5">
        <v>662611532</v>
      </c>
      <c r="G260" s="4"/>
      <c r="H260" s="4" t="s">
        <v>62</v>
      </c>
      <c r="I260" s="5">
        <v>3</v>
      </c>
      <c r="J260" s="4" t="s">
        <v>30</v>
      </c>
      <c r="K260" s="5">
        <v>1</v>
      </c>
      <c r="L260" s="4" t="s">
        <v>56</v>
      </c>
      <c r="M260" s="4" t="s">
        <v>56</v>
      </c>
      <c r="N260" s="4" t="s">
        <v>57</v>
      </c>
      <c r="O260" s="6">
        <v>45040</v>
      </c>
      <c r="P260" s="4"/>
      <c r="Q260" s="4" t="s">
        <v>58</v>
      </c>
      <c r="R260" s="4" t="s">
        <v>36</v>
      </c>
      <c r="S260" s="4" t="s">
        <v>59</v>
      </c>
      <c r="T260" s="5">
        <v>1</v>
      </c>
      <c r="U260" s="6">
        <v>45040</v>
      </c>
      <c r="V260" s="4" t="s">
        <v>1351</v>
      </c>
      <c r="W260" s="4"/>
      <c r="X260" s="4"/>
      <c r="Y260" s="4"/>
      <c r="Z260" s="4"/>
      <c r="AA260" s="4"/>
      <c r="AB260" s="4"/>
      <c r="AC260" s="4"/>
      <c r="AD260" s="4">
        <f t="shared" si="4"/>
        <v>17</v>
      </c>
    </row>
    <row r="261" spans="1:30" ht="27" thickBot="1" x14ac:dyDescent="0.3">
      <c r="A261" s="3">
        <v>45040.700902777775</v>
      </c>
      <c r="B261" s="4" t="s">
        <v>1771</v>
      </c>
      <c r="C261" s="4" t="s">
        <v>496</v>
      </c>
      <c r="D261" s="31" t="s">
        <v>42</v>
      </c>
      <c r="E261" s="4" t="s">
        <v>571</v>
      </c>
      <c r="F261" s="5">
        <v>622249083</v>
      </c>
      <c r="G261" s="5">
        <v>622249083</v>
      </c>
      <c r="H261" s="4" t="s">
        <v>572</v>
      </c>
      <c r="I261" s="5">
        <v>8</v>
      </c>
      <c r="J261" s="4" t="s">
        <v>38</v>
      </c>
      <c r="K261" s="5">
        <v>26</v>
      </c>
      <c r="L261" s="4" t="s">
        <v>526</v>
      </c>
      <c r="M261" s="4" t="s">
        <v>527</v>
      </c>
      <c r="N261" s="4" t="s">
        <v>90</v>
      </c>
      <c r="O261" s="6">
        <v>45040</v>
      </c>
      <c r="P261" s="4" t="s">
        <v>523</v>
      </c>
      <c r="Q261" s="4" t="s">
        <v>500</v>
      </c>
      <c r="R261" s="4" t="s">
        <v>36</v>
      </c>
      <c r="S261" s="4" t="s">
        <v>59</v>
      </c>
      <c r="T261" s="5">
        <v>2</v>
      </c>
      <c r="U261" s="6">
        <v>45040</v>
      </c>
      <c r="V261" s="4" t="s">
        <v>1351</v>
      </c>
      <c r="W261" s="4"/>
      <c r="X261" s="4"/>
      <c r="Y261" s="4"/>
      <c r="Z261" s="4"/>
      <c r="AA261" s="4"/>
      <c r="AB261" s="4"/>
      <c r="AC261" s="4"/>
      <c r="AD261" s="4">
        <f t="shared" si="4"/>
        <v>17</v>
      </c>
    </row>
    <row r="262" spans="1:30" ht="27" thickBot="1" x14ac:dyDescent="0.3">
      <c r="A262" s="3">
        <v>45040.714108796295</v>
      </c>
      <c r="B262" s="4" t="s">
        <v>391</v>
      </c>
      <c r="C262" s="4" t="s">
        <v>392</v>
      </c>
      <c r="D262" s="31" t="s">
        <v>27</v>
      </c>
      <c r="E262" s="4" t="s">
        <v>573</v>
      </c>
      <c r="F262" s="5">
        <v>624527199</v>
      </c>
      <c r="G262" s="5">
        <v>624527199</v>
      </c>
      <c r="H262" s="4" t="s">
        <v>447</v>
      </c>
      <c r="I262" s="5">
        <v>10</v>
      </c>
      <c r="J262" s="4" t="s">
        <v>38</v>
      </c>
      <c r="K262" s="5">
        <v>5</v>
      </c>
      <c r="L262" s="4" t="s">
        <v>395</v>
      </c>
      <c r="M262" s="4" t="s">
        <v>120</v>
      </c>
      <c r="N262" s="4" t="s">
        <v>33</v>
      </c>
      <c r="O262" s="6">
        <v>45255</v>
      </c>
      <c r="P262" s="4" t="s">
        <v>574</v>
      </c>
      <c r="Q262" s="4" t="s">
        <v>397</v>
      </c>
      <c r="R262" s="4" t="s">
        <v>36</v>
      </c>
      <c r="S262" s="4" t="s">
        <v>59</v>
      </c>
      <c r="T262" s="5">
        <v>5</v>
      </c>
      <c r="U262" s="6">
        <v>45041</v>
      </c>
      <c r="V262" s="4" t="s">
        <v>1351</v>
      </c>
      <c r="W262" s="4"/>
      <c r="X262" s="4"/>
      <c r="Y262" s="4"/>
      <c r="Z262" s="4"/>
      <c r="AA262" s="4"/>
      <c r="AB262" s="4"/>
      <c r="AC262" s="4"/>
      <c r="AD262" s="4">
        <f t="shared" si="4"/>
        <v>17</v>
      </c>
    </row>
    <row r="263" spans="1:30" ht="27" thickBot="1" x14ac:dyDescent="0.3">
      <c r="A263" s="3">
        <v>45040.772592592592</v>
      </c>
      <c r="B263" s="4" t="s">
        <v>391</v>
      </c>
      <c r="C263" s="4" t="s">
        <v>392</v>
      </c>
      <c r="D263" s="31" t="s">
        <v>42</v>
      </c>
      <c r="E263" s="4" t="s">
        <v>575</v>
      </c>
      <c r="F263" s="5">
        <v>628359407</v>
      </c>
      <c r="G263" s="5">
        <v>628359407</v>
      </c>
      <c r="H263" s="4" t="s">
        <v>576</v>
      </c>
      <c r="I263" s="5">
        <v>1</v>
      </c>
      <c r="J263" s="4" t="s">
        <v>38</v>
      </c>
      <c r="K263" s="5">
        <v>2</v>
      </c>
      <c r="L263" s="4" t="s">
        <v>120</v>
      </c>
      <c r="M263" s="4" t="s">
        <v>120</v>
      </c>
      <c r="N263" s="4" t="s">
        <v>33</v>
      </c>
      <c r="O263" s="6">
        <v>45041</v>
      </c>
      <c r="P263" s="4" t="s">
        <v>577</v>
      </c>
      <c r="Q263" s="4" t="s">
        <v>397</v>
      </c>
      <c r="R263" s="4" t="s">
        <v>36</v>
      </c>
      <c r="S263" s="4"/>
      <c r="T263" s="4"/>
      <c r="U263" s="4"/>
      <c r="V263" s="4" t="s">
        <v>1372</v>
      </c>
      <c r="W263" s="4"/>
      <c r="X263" s="4"/>
      <c r="Y263" s="4"/>
      <c r="Z263" s="4"/>
      <c r="AA263" s="4"/>
      <c r="AB263" s="4"/>
      <c r="AC263" s="4"/>
      <c r="AD263" s="4">
        <f t="shared" si="4"/>
        <v>17</v>
      </c>
    </row>
    <row r="264" spans="1:30" ht="65.25" thickBot="1" x14ac:dyDescent="0.3">
      <c r="A264" s="3">
        <v>45040.891597222224</v>
      </c>
      <c r="B264" s="4" t="s">
        <v>25</v>
      </c>
      <c r="C264" s="4" t="s">
        <v>26</v>
      </c>
      <c r="D264" s="31" t="s">
        <v>42</v>
      </c>
      <c r="E264" s="4" t="s">
        <v>578</v>
      </c>
      <c r="F264" s="5">
        <v>622684055</v>
      </c>
      <c r="G264" s="4"/>
      <c r="H264" s="4" t="s">
        <v>29</v>
      </c>
      <c r="I264" s="5">
        <v>12</v>
      </c>
      <c r="J264" s="4" t="s">
        <v>38</v>
      </c>
      <c r="K264" s="5">
        <v>2</v>
      </c>
      <c r="L264" s="4" t="s">
        <v>52</v>
      </c>
      <c r="M264" s="4" t="s">
        <v>32</v>
      </c>
      <c r="N264" s="4" t="s">
        <v>33</v>
      </c>
      <c r="O264" s="6">
        <v>45043</v>
      </c>
      <c r="P264" s="4" t="s">
        <v>34</v>
      </c>
      <c r="Q264" s="4" t="s">
        <v>35</v>
      </c>
      <c r="R264" s="4" t="s">
        <v>36</v>
      </c>
      <c r="S264" s="4" t="s">
        <v>59</v>
      </c>
      <c r="T264" s="5">
        <v>2</v>
      </c>
      <c r="U264" s="6">
        <v>45041</v>
      </c>
      <c r="V264" s="4" t="s">
        <v>1351</v>
      </c>
      <c r="W264" s="4"/>
      <c r="X264" s="4"/>
      <c r="Y264" s="4"/>
      <c r="Z264" s="4"/>
      <c r="AA264" s="4"/>
      <c r="AB264" s="4"/>
      <c r="AC264" s="4"/>
      <c r="AD264" s="4">
        <f t="shared" si="4"/>
        <v>17</v>
      </c>
    </row>
    <row r="265" spans="1:30" ht="39.75" thickBot="1" x14ac:dyDescent="0.3">
      <c r="A265" s="3">
        <v>45040.908402777779</v>
      </c>
      <c r="B265" s="4" t="s">
        <v>1768</v>
      </c>
      <c r="C265" s="4" t="s">
        <v>158</v>
      </c>
      <c r="D265" s="31" t="s">
        <v>42</v>
      </c>
      <c r="E265" s="4" t="s">
        <v>579</v>
      </c>
      <c r="F265" s="5">
        <v>620467452</v>
      </c>
      <c r="G265" s="5">
        <v>0</v>
      </c>
      <c r="H265" s="4" t="s">
        <v>160</v>
      </c>
      <c r="I265" s="5">
        <v>40</v>
      </c>
      <c r="J265" s="4" t="s">
        <v>101</v>
      </c>
      <c r="K265" s="5">
        <v>20</v>
      </c>
      <c r="L265" s="4" t="s">
        <v>161</v>
      </c>
      <c r="M265" s="4" t="s">
        <v>161</v>
      </c>
      <c r="N265" s="4" t="s">
        <v>47</v>
      </c>
      <c r="O265" s="6">
        <v>45041</v>
      </c>
      <c r="P265" s="4" t="s">
        <v>580</v>
      </c>
      <c r="Q265" s="4" t="s">
        <v>130</v>
      </c>
      <c r="R265" s="4" t="s">
        <v>36</v>
      </c>
      <c r="S265" s="4"/>
      <c r="T265" s="4"/>
      <c r="U265" s="4"/>
      <c r="V265" s="4" t="s">
        <v>1372</v>
      </c>
      <c r="W265" s="4"/>
      <c r="X265" s="4"/>
      <c r="Y265" s="4"/>
      <c r="Z265" s="4"/>
      <c r="AA265" s="4"/>
      <c r="AB265" s="4"/>
      <c r="AC265" s="4"/>
      <c r="AD265" s="4">
        <f t="shared" si="4"/>
        <v>17</v>
      </c>
    </row>
    <row r="266" spans="1:30" ht="39.75" thickBot="1" x14ac:dyDescent="0.3">
      <c r="A266" s="3">
        <v>45040.913541666669</v>
      </c>
      <c r="B266" s="4" t="s">
        <v>1768</v>
      </c>
      <c r="C266" s="4" t="s">
        <v>158</v>
      </c>
      <c r="D266" s="31" t="s">
        <v>27</v>
      </c>
      <c r="E266" s="4" t="s">
        <v>581</v>
      </c>
      <c r="F266" s="5">
        <v>620467452</v>
      </c>
      <c r="G266" s="5">
        <v>0</v>
      </c>
      <c r="H266" s="4" t="s">
        <v>126</v>
      </c>
      <c r="I266" s="5">
        <v>35</v>
      </c>
      <c r="J266" s="4" t="s">
        <v>101</v>
      </c>
      <c r="K266" s="5">
        <v>20</v>
      </c>
      <c r="L266" s="4" t="s">
        <v>161</v>
      </c>
      <c r="M266" s="4" t="s">
        <v>161</v>
      </c>
      <c r="N266" s="4" t="s">
        <v>33</v>
      </c>
      <c r="O266" s="6">
        <v>45047</v>
      </c>
      <c r="P266" s="4" t="s">
        <v>582</v>
      </c>
      <c r="Q266" s="4" t="s">
        <v>130</v>
      </c>
      <c r="R266" s="4" t="s">
        <v>36</v>
      </c>
      <c r="S266" s="4"/>
      <c r="T266" s="4"/>
      <c r="U266" s="4"/>
      <c r="V266" s="4" t="s">
        <v>1372</v>
      </c>
      <c r="W266" s="4"/>
      <c r="X266" s="4"/>
      <c r="Y266" s="4"/>
      <c r="Z266" s="4"/>
      <c r="AA266" s="4"/>
      <c r="AB266" s="4"/>
      <c r="AC266" s="4"/>
      <c r="AD266" s="4">
        <f t="shared" si="4"/>
        <v>17</v>
      </c>
    </row>
    <row r="267" spans="1:30" ht="39.75" thickBot="1" x14ac:dyDescent="0.3">
      <c r="A267" s="3">
        <v>45040.917337962965</v>
      </c>
      <c r="B267" s="4" t="s">
        <v>1768</v>
      </c>
      <c r="C267" s="4" t="s">
        <v>158</v>
      </c>
      <c r="D267" s="31" t="s">
        <v>27</v>
      </c>
      <c r="E267" s="4" t="s">
        <v>583</v>
      </c>
      <c r="F267" s="5">
        <v>620758936</v>
      </c>
      <c r="G267" s="5">
        <v>0</v>
      </c>
      <c r="H267" s="4" t="s">
        <v>584</v>
      </c>
      <c r="I267" s="5">
        <v>75</v>
      </c>
      <c r="J267" s="4" t="s">
        <v>101</v>
      </c>
      <c r="K267" s="5">
        <v>25</v>
      </c>
      <c r="L267" s="4" t="s">
        <v>161</v>
      </c>
      <c r="M267" s="4" t="s">
        <v>161</v>
      </c>
      <c r="N267" s="4" t="s">
        <v>33</v>
      </c>
      <c r="O267" s="6">
        <v>45047</v>
      </c>
      <c r="P267" s="4" t="s">
        <v>585</v>
      </c>
      <c r="Q267" s="4" t="s">
        <v>130</v>
      </c>
      <c r="R267" s="4" t="s">
        <v>36</v>
      </c>
      <c r="S267" s="4"/>
      <c r="T267" s="4"/>
      <c r="U267" s="4"/>
      <c r="V267" s="4" t="s">
        <v>1372</v>
      </c>
      <c r="W267" s="4"/>
      <c r="X267" s="4"/>
      <c r="Y267" s="4"/>
      <c r="Z267" s="4"/>
      <c r="AA267" s="4"/>
      <c r="AB267" s="4"/>
      <c r="AC267" s="4"/>
      <c r="AD267" s="4">
        <f t="shared" si="4"/>
        <v>17</v>
      </c>
    </row>
    <row r="268" spans="1:30" ht="39.75" thickBot="1" x14ac:dyDescent="0.3">
      <c r="A268" s="3">
        <v>45040.921956018516</v>
      </c>
      <c r="B268" s="4" t="s">
        <v>1768</v>
      </c>
      <c r="C268" s="4" t="s">
        <v>158</v>
      </c>
      <c r="D268" s="31" t="s">
        <v>27</v>
      </c>
      <c r="E268" s="4" t="s">
        <v>586</v>
      </c>
      <c r="F268" s="5">
        <v>0</v>
      </c>
      <c r="G268" s="5">
        <v>0</v>
      </c>
      <c r="H268" s="4" t="s">
        <v>305</v>
      </c>
      <c r="I268" s="5">
        <v>45</v>
      </c>
      <c r="J268" s="4" t="s">
        <v>101</v>
      </c>
      <c r="K268" s="4">
        <v>5</v>
      </c>
      <c r="L268" s="4" t="s">
        <v>161</v>
      </c>
      <c r="M268" s="4" t="s">
        <v>161</v>
      </c>
      <c r="N268" s="4" t="s">
        <v>33</v>
      </c>
      <c r="O268" s="6">
        <v>45066</v>
      </c>
      <c r="P268" s="4" t="s">
        <v>587</v>
      </c>
      <c r="Q268" s="4" t="s">
        <v>130</v>
      </c>
      <c r="R268" s="4" t="s">
        <v>36</v>
      </c>
      <c r="S268" s="4"/>
      <c r="T268" s="4"/>
      <c r="U268" s="4"/>
      <c r="V268" s="4" t="s">
        <v>1372</v>
      </c>
      <c r="W268" s="4"/>
      <c r="X268" s="4"/>
      <c r="Y268" s="4"/>
      <c r="Z268" s="4"/>
      <c r="AA268" s="4"/>
      <c r="AB268" s="4"/>
      <c r="AC268" s="4"/>
      <c r="AD268" s="4">
        <f t="shared" si="4"/>
        <v>17</v>
      </c>
    </row>
    <row r="269" spans="1:30" ht="65.25" thickBot="1" x14ac:dyDescent="0.3">
      <c r="A269" s="3">
        <v>45041.304571759261</v>
      </c>
      <c r="B269" s="4" t="s">
        <v>25</v>
      </c>
      <c r="C269" s="4" t="s">
        <v>26</v>
      </c>
      <c r="D269" s="31" t="s">
        <v>42</v>
      </c>
      <c r="E269" s="4" t="s">
        <v>588</v>
      </c>
      <c r="F269" s="5">
        <v>627638414</v>
      </c>
      <c r="G269" s="4"/>
      <c r="H269" s="4" t="s">
        <v>45</v>
      </c>
      <c r="I269" s="5">
        <v>90</v>
      </c>
      <c r="J269" s="4" t="s">
        <v>38</v>
      </c>
      <c r="K269" s="5">
        <v>2</v>
      </c>
      <c r="L269" s="4" t="s">
        <v>50</v>
      </c>
      <c r="M269" s="4" t="s">
        <v>32</v>
      </c>
      <c r="N269" s="4" t="s">
        <v>33</v>
      </c>
      <c r="O269" s="6">
        <v>45043</v>
      </c>
      <c r="P269" s="4" t="s">
        <v>34</v>
      </c>
      <c r="Q269" s="4" t="s">
        <v>35</v>
      </c>
      <c r="R269" s="4" t="s">
        <v>36</v>
      </c>
      <c r="S269" s="4" t="s">
        <v>59</v>
      </c>
      <c r="T269" s="5">
        <v>6</v>
      </c>
      <c r="U269" s="6">
        <v>45041</v>
      </c>
      <c r="V269" s="4" t="s">
        <v>1351</v>
      </c>
      <c r="W269" s="4"/>
      <c r="X269" s="4"/>
      <c r="Y269" s="4"/>
      <c r="Z269" s="4"/>
      <c r="AA269" s="4"/>
      <c r="AB269" s="4"/>
      <c r="AC269" s="4"/>
      <c r="AD269" s="4">
        <f t="shared" si="4"/>
        <v>17</v>
      </c>
    </row>
    <row r="270" spans="1:30" ht="27" thickBot="1" x14ac:dyDescent="0.3">
      <c r="A270" s="3">
        <v>45041.351365740738</v>
      </c>
      <c r="B270" s="4" t="s">
        <v>1770</v>
      </c>
      <c r="C270" s="4" t="s">
        <v>254</v>
      </c>
      <c r="D270" s="31" t="s">
        <v>42</v>
      </c>
      <c r="E270" s="4" t="s">
        <v>589</v>
      </c>
      <c r="F270" s="5">
        <v>623697128</v>
      </c>
      <c r="G270" s="5">
        <v>623697128</v>
      </c>
      <c r="H270" s="4" t="s">
        <v>476</v>
      </c>
      <c r="I270" s="5">
        <v>5</v>
      </c>
      <c r="J270" s="4" t="s">
        <v>38</v>
      </c>
      <c r="K270" s="5">
        <v>2</v>
      </c>
      <c r="L270" s="4" t="s">
        <v>512</v>
      </c>
      <c r="M270" s="4" t="s">
        <v>512</v>
      </c>
      <c r="N270" s="4" t="s">
        <v>33</v>
      </c>
      <c r="O270" s="6">
        <v>45040</v>
      </c>
      <c r="P270" s="4"/>
      <c r="Q270" s="4" t="s">
        <v>405</v>
      </c>
      <c r="R270" s="4" t="s">
        <v>36</v>
      </c>
      <c r="S270" s="4" t="s">
        <v>59</v>
      </c>
      <c r="T270" s="5">
        <v>2</v>
      </c>
      <c r="U270" s="6">
        <v>45041</v>
      </c>
      <c r="V270" s="4" t="s">
        <v>1351</v>
      </c>
      <c r="W270" s="4"/>
      <c r="X270" s="4"/>
      <c r="Y270" s="4"/>
      <c r="Z270" s="4"/>
      <c r="AA270" s="4"/>
      <c r="AB270" s="4"/>
      <c r="AC270" s="4"/>
      <c r="AD270" s="4">
        <f t="shared" si="4"/>
        <v>17</v>
      </c>
    </row>
    <row r="271" spans="1:30" ht="27" thickBot="1" x14ac:dyDescent="0.3">
      <c r="A271" s="3">
        <v>45041.354270833333</v>
      </c>
      <c r="B271" s="4" t="s">
        <v>1770</v>
      </c>
      <c r="C271" s="4" t="s">
        <v>254</v>
      </c>
      <c r="D271" s="31" t="s">
        <v>42</v>
      </c>
      <c r="E271" s="4" t="s">
        <v>590</v>
      </c>
      <c r="F271" s="5">
        <v>629570595</v>
      </c>
      <c r="G271" s="5">
        <v>629570595</v>
      </c>
      <c r="H271" s="4" t="s">
        <v>476</v>
      </c>
      <c r="I271" s="5">
        <v>3</v>
      </c>
      <c r="J271" s="4" t="s">
        <v>38</v>
      </c>
      <c r="K271" s="5">
        <v>2</v>
      </c>
      <c r="L271" s="4" t="s">
        <v>591</v>
      </c>
      <c r="M271" s="4" t="s">
        <v>591</v>
      </c>
      <c r="N271" s="4" t="s">
        <v>41</v>
      </c>
      <c r="O271" s="6">
        <v>45039</v>
      </c>
      <c r="P271" s="4"/>
      <c r="Q271" s="4" t="s">
        <v>405</v>
      </c>
      <c r="R271" s="4" t="s">
        <v>36</v>
      </c>
      <c r="S271" s="4" t="s">
        <v>59</v>
      </c>
      <c r="T271" s="5">
        <v>2</v>
      </c>
      <c r="U271" s="6">
        <v>45041</v>
      </c>
      <c r="V271" s="4" t="s">
        <v>1351</v>
      </c>
      <c r="W271" s="4"/>
      <c r="X271" s="4"/>
      <c r="Y271" s="4"/>
      <c r="Z271" s="4"/>
      <c r="AA271" s="4"/>
      <c r="AB271" s="4"/>
      <c r="AC271" s="4"/>
      <c r="AD271" s="4">
        <f t="shared" si="4"/>
        <v>17</v>
      </c>
    </row>
    <row r="272" spans="1:30" ht="27" thickBot="1" x14ac:dyDescent="0.3">
      <c r="A272" s="3">
        <v>45041.383692129632</v>
      </c>
      <c r="B272" s="4" t="s">
        <v>1771</v>
      </c>
      <c r="C272" s="4" t="s">
        <v>496</v>
      </c>
      <c r="D272" s="31" t="s">
        <v>42</v>
      </c>
      <c r="E272" s="4" t="s">
        <v>592</v>
      </c>
      <c r="F272" s="5">
        <v>622401840</v>
      </c>
      <c r="G272" s="5">
        <v>622401840</v>
      </c>
      <c r="H272" s="4" t="s">
        <v>160</v>
      </c>
      <c r="I272" s="5">
        <v>25</v>
      </c>
      <c r="J272" s="4" t="s">
        <v>38</v>
      </c>
      <c r="K272" s="5">
        <v>2</v>
      </c>
      <c r="L272" s="4" t="s">
        <v>593</v>
      </c>
      <c r="M272" s="4" t="s">
        <v>594</v>
      </c>
      <c r="N272" s="4" t="s">
        <v>41</v>
      </c>
      <c r="O272" s="6">
        <v>45042</v>
      </c>
      <c r="P272" s="4" t="s">
        <v>523</v>
      </c>
      <c r="Q272" s="4" t="s">
        <v>500</v>
      </c>
      <c r="R272" s="4" t="s">
        <v>98</v>
      </c>
      <c r="S272" s="4" t="s">
        <v>59</v>
      </c>
      <c r="T272" s="5">
        <v>2</v>
      </c>
      <c r="U272" s="6">
        <v>45041</v>
      </c>
      <c r="V272" s="4" t="s">
        <v>1351</v>
      </c>
      <c r="W272" s="4"/>
      <c r="X272" s="4"/>
      <c r="Y272" s="4"/>
      <c r="Z272" s="4"/>
      <c r="AA272" s="4"/>
      <c r="AB272" s="4"/>
      <c r="AC272" s="4"/>
      <c r="AD272" s="4">
        <f t="shared" si="4"/>
        <v>17</v>
      </c>
    </row>
    <row r="273" spans="1:30" ht="39.75" thickBot="1" x14ac:dyDescent="0.3">
      <c r="A273" s="3">
        <v>45041.396493055552</v>
      </c>
      <c r="B273" s="4" t="s">
        <v>595</v>
      </c>
      <c r="C273" s="4" t="s">
        <v>572</v>
      </c>
      <c r="D273" s="31" t="s">
        <v>42</v>
      </c>
      <c r="E273" s="4" t="s">
        <v>596</v>
      </c>
      <c r="F273" s="5">
        <v>621044012</v>
      </c>
      <c r="G273" s="4"/>
      <c r="H273" s="4" t="s">
        <v>597</v>
      </c>
      <c r="I273" s="5">
        <v>175</v>
      </c>
      <c r="J273" s="4" t="s">
        <v>101</v>
      </c>
      <c r="K273" s="5">
        <v>40</v>
      </c>
      <c r="L273" s="4" t="s">
        <v>598</v>
      </c>
      <c r="M273" s="4" t="s">
        <v>599</v>
      </c>
      <c r="N273" s="4" t="s">
        <v>90</v>
      </c>
      <c r="O273" s="6">
        <v>45047</v>
      </c>
      <c r="P273" s="4"/>
      <c r="Q273" s="4" t="s">
        <v>600</v>
      </c>
      <c r="R273" s="4" t="s">
        <v>36</v>
      </c>
      <c r="S273" s="4" t="s">
        <v>59</v>
      </c>
      <c r="T273" s="5">
        <v>40</v>
      </c>
      <c r="U273" s="6">
        <v>45054</v>
      </c>
      <c r="V273" s="4" t="s">
        <v>1353</v>
      </c>
      <c r="W273" s="4" t="s">
        <v>601</v>
      </c>
      <c r="X273" s="4"/>
      <c r="Y273" s="4"/>
      <c r="Z273" s="4"/>
      <c r="AA273" s="4"/>
      <c r="AB273" s="4"/>
      <c r="AC273" s="4"/>
      <c r="AD273" s="4">
        <f t="shared" si="4"/>
        <v>17</v>
      </c>
    </row>
    <row r="274" spans="1:30" ht="39.75" thickBot="1" x14ac:dyDescent="0.3">
      <c r="A274" s="3">
        <v>45041.401620370372</v>
      </c>
      <c r="B274" s="4" t="s">
        <v>595</v>
      </c>
      <c r="C274" s="4" t="s">
        <v>572</v>
      </c>
      <c r="D274" s="31" t="s">
        <v>42</v>
      </c>
      <c r="E274" s="4" t="s">
        <v>602</v>
      </c>
      <c r="F274" s="5">
        <v>611586208</v>
      </c>
      <c r="G274" s="4"/>
      <c r="H274" s="4" t="s">
        <v>603</v>
      </c>
      <c r="I274" s="5">
        <v>160</v>
      </c>
      <c r="J274" s="4" t="s">
        <v>101</v>
      </c>
      <c r="K274" s="5">
        <v>2</v>
      </c>
      <c r="L274" s="4" t="s">
        <v>598</v>
      </c>
      <c r="M274" s="4" t="s">
        <v>599</v>
      </c>
      <c r="N274" s="4" t="s">
        <v>90</v>
      </c>
      <c r="O274" s="6">
        <v>45061</v>
      </c>
      <c r="P274" s="4" t="s">
        <v>604</v>
      </c>
      <c r="Q274" s="4" t="s">
        <v>600</v>
      </c>
      <c r="R274" s="4" t="s">
        <v>36</v>
      </c>
      <c r="S274" s="4"/>
      <c r="T274" s="4"/>
      <c r="U274" s="4"/>
      <c r="V274" s="4" t="s">
        <v>1372</v>
      </c>
      <c r="W274" s="4"/>
      <c r="X274" s="4"/>
      <c r="Y274" s="4"/>
      <c r="Z274" s="4"/>
      <c r="AA274" s="4"/>
      <c r="AB274" s="4"/>
      <c r="AC274" s="4"/>
      <c r="AD274" s="4">
        <f t="shared" si="4"/>
        <v>17</v>
      </c>
    </row>
    <row r="275" spans="1:30" ht="39.75" thickBot="1" x14ac:dyDescent="0.3">
      <c r="A275" s="3">
        <v>45041.486875000002</v>
      </c>
      <c r="B275" s="4" t="s">
        <v>53</v>
      </c>
      <c r="C275" s="4" t="s">
        <v>53</v>
      </c>
      <c r="D275" s="31" t="s">
        <v>42</v>
      </c>
      <c r="E275" s="4" t="s">
        <v>605</v>
      </c>
      <c r="F275" s="5">
        <v>628736025</v>
      </c>
      <c r="G275" s="4"/>
      <c r="H275" s="4" t="s">
        <v>62</v>
      </c>
      <c r="I275" s="5">
        <v>2</v>
      </c>
      <c r="J275" s="4" t="s">
        <v>30</v>
      </c>
      <c r="K275" s="5">
        <v>1</v>
      </c>
      <c r="L275" s="4" t="s">
        <v>224</v>
      </c>
      <c r="M275" s="4" t="s">
        <v>224</v>
      </c>
      <c r="N275" s="4" t="s">
        <v>47</v>
      </c>
      <c r="O275" s="6">
        <v>45043</v>
      </c>
      <c r="P275" s="4"/>
      <c r="Q275" s="4" t="s">
        <v>58</v>
      </c>
      <c r="R275" s="4" t="s">
        <v>36</v>
      </c>
      <c r="S275" s="4"/>
      <c r="T275" s="4"/>
      <c r="U275" s="4"/>
      <c r="V275" s="4" t="s">
        <v>1372</v>
      </c>
      <c r="W275" s="4"/>
      <c r="X275" s="4"/>
      <c r="Y275" s="4"/>
      <c r="Z275" s="4"/>
      <c r="AA275" s="4"/>
      <c r="AB275" s="4"/>
      <c r="AC275" s="4"/>
      <c r="AD275" s="4">
        <f t="shared" si="4"/>
        <v>17</v>
      </c>
    </row>
    <row r="276" spans="1:30" ht="27" thickBot="1" x14ac:dyDescent="0.3">
      <c r="A276" s="3">
        <v>45041.609120370369</v>
      </c>
      <c r="B276" s="4" t="s">
        <v>241</v>
      </c>
      <c r="C276" s="4" t="s">
        <v>606</v>
      </c>
      <c r="D276" s="31" t="s">
        <v>27</v>
      </c>
      <c r="E276" s="4" t="s">
        <v>607</v>
      </c>
      <c r="F276" s="5">
        <v>622384741</v>
      </c>
      <c r="G276" s="4"/>
      <c r="H276" s="4" t="s">
        <v>244</v>
      </c>
      <c r="I276" s="5">
        <v>138</v>
      </c>
      <c r="J276" s="4" t="s">
        <v>101</v>
      </c>
      <c r="K276" s="5">
        <v>50</v>
      </c>
      <c r="L276" s="4" t="s">
        <v>608</v>
      </c>
      <c r="M276" s="4" t="s">
        <v>246</v>
      </c>
      <c r="N276" s="4" t="s">
        <v>47</v>
      </c>
      <c r="O276" s="6">
        <v>45061</v>
      </c>
      <c r="P276" s="4"/>
      <c r="Q276" s="4" t="s">
        <v>247</v>
      </c>
      <c r="R276" s="4" t="s">
        <v>36</v>
      </c>
      <c r="S276" s="4"/>
      <c r="T276" s="4"/>
      <c r="U276" s="4"/>
      <c r="V276" s="4" t="s">
        <v>1372</v>
      </c>
      <c r="W276" s="4"/>
      <c r="X276" s="4"/>
      <c r="Y276" s="4"/>
      <c r="Z276" s="4"/>
      <c r="AA276" s="4"/>
      <c r="AB276" s="4"/>
      <c r="AC276" s="4"/>
      <c r="AD276" s="4">
        <f t="shared" si="4"/>
        <v>17</v>
      </c>
    </row>
    <row r="277" spans="1:30" ht="78" thickBot="1" x14ac:dyDescent="0.3">
      <c r="A277" s="3">
        <v>45041.613009259258</v>
      </c>
      <c r="B277" s="4" t="s">
        <v>241</v>
      </c>
      <c r="C277" s="4" t="s">
        <v>606</v>
      </c>
      <c r="D277" s="31" t="s">
        <v>27</v>
      </c>
      <c r="E277" s="4" t="s">
        <v>609</v>
      </c>
      <c r="F277" s="5">
        <v>622722909</v>
      </c>
      <c r="G277" s="4"/>
      <c r="H277" s="4" t="s">
        <v>610</v>
      </c>
      <c r="I277" s="5">
        <v>28</v>
      </c>
      <c r="J277" s="4" t="s">
        <v>101</v>
      </c>
      <c r="K277" s="5">
        <v>115</v>
      </c>
      <c r="L277" s="4" t="s">
        <v>611</v>
      </c>
      <c r="M277" s="4" t="s">
        <v>246</v>
      </c>
      <c r="N277" s="4" t="s">
        <v>33</v>
      </c>
      <c r="O277" s="6">
        <v>45045</v>
      </c>
      <c r="P277" s="4" t="s">
        <v>612</v>
      </c>
      <c r="Q277" s="4" t="s">
        <v>247</v>
      </c>
      <c r="R277" s="4" t="s">
        <v>36</v>
      </c>
      <c r="S277" s="4" t="s">
        <v>59</v>
      </c>
      <c r="T277" s="5">
        <v>15</v>
      </c>
      <c r="U277" s="6">
        <v>45050</v>
      </c>
      <c r="V277" s="4" t="s">
        <v>1352</v>
      </c>
      <c r="W277" s="4" t="s">
        <v>613</v>
      </c>
      <c r="X277" s="4"/>
      <c r="Y277" s="4"/>
      <c r="Z277" s="4"/>
      <c r="AA277" s="4"/>
      <c r="AB277" s="4"/>
      <c r="AC277" s="4"/>
      <c r="AD277" s="4">
        <f t="shared" si="4"/>
        <v>17</v>
      </c>
    </row>
    <row r="278" spans="1:30" ht="27" thickBot="1" x14ac:dyDescent="0.3">
      <c r="A278" s="3">
        <v>45041.688252314816</v>
      </c>
      <c r="B278" s="4" t="s">
        <v>614</v>
      </c>
      <c r="C278" s="4" t="s">
        <v>614</v>
      </c>
      <c r="D278" s="31" t="s">
        <v>42</v>
      </c>
      <c r="E278" s="4" t="s">
        <v>615</v>
      </c>
      <c r="F278" s="5">
        <v>628284857</v>
      </c>
      <c r="G278" s="4"/>
      <c r="H278" s="4" t="s">
        <v>352</v>
      </c>
      <c r="I278" s="5">
        <v>10</v>
      </c>
      <c r="J278" s="4" t="s">
        <v>38</v>
      </c>
      <c r="K278" s="5">
        <v>5</v>
      </c>
      <c r="L278" s="4" t="s">
        <v>395</v>
      </c>
      <c r="M278" s="4" t="s">
        <v>395</v>
      </c>
      <c r="N278" s="4" t="s">
        <v>47</v>
      </c>
      <c r="O278" s="6">
        <v>45042</v>
      </c>
      <c r="P278" s="4"/>
      <c r="Q278" s="4" t="s">
        <v>616</v>
      </c>
      <c r="R278" s="4" t="s">
        <v>36</v>
      </c>
      <c r="S278" s="4" t="s">
        <v>59</v>
      </c>
      <c r="T278" s="5">
        <v>5</v>
      </c>
      <c r="U278" s="6">
        <v>45041</v>
      </c>
      <c r="V278" s="4" t="s">
        <v>1351</v>
      </c>
      <c r="W278" s="4"/>
      <c r="X278" s="4"/>
      <c r="Y278" s="4"/>
      <c r="Z278" s="4"/>
      <c r="AA278" s="4"/>
      <c r="AB278" s="4"/>
      <c r="AC278" s="4"/>
      <c r="AD278" s="4">
        <f t="shared" si="4"/>
        <v>17</v>
      </c>
    </row>
    <row r="279" spans="1:30" ht="27" thickBot="1" x14ac:dyDescent="0.3">
      <c r="A279" s="3">
        <v>45042.371504629627</v>
      </c>
      <c r="B279" s="4" t="s">
        <v>391</v>
      </c>
      <c r="C279" s="4" t="s">
        <v>392</v>
      </c>
      <c r="D279" s="31" t="s">
        <v>42</v>
      </c>
      <c r="E279" s="4" t="s">
        <v>617</v>
      </c>
      <c r="F279" s="5">
        <v>622668258</v>
      </c>
      <c r="G279" s="5">
        <v>622668258</v>
      </c>
      <c r="H279" s="4" t="s">
        <v>576</v>
      </c>
      <c r="I279" s="5">
        <v>500</v>
      </c>
      <c r="J279" s="4" t="s">
        <v>38</v>
      </c>
      <c r="K279" s="5">
        <v>1</v>
      </c>
      <c r="L279" s="4" t="s">
        <v>395</v>
      </c>
      <c r="M279" s="4" t="s">
        <v>395</v>
      </c>
      <c r="N279" s="4" t="s">
        <v>33</v>
      </c>
      <c r="O279" s="6">
        <v>45042</v>
      </c>
      <c r="P279" s="4" t="s">
        <v>574</v>
      </c>
      <c r="Q279" s="4" t="s">
        <v>397</v>
      </c>
      <c r="R279" s="4" t="s">
        <v>36</v>
      </c>
      <c r="S279" s="4" t="s">
        <v>59</v>
      </c>
      <c r="T279" s="5">
        <v>1</v>
      </c>
      <c r="U279" s="6">
        <v>45042</v>
      </c>
      <c r="V279" s="4" t="s">
        <v>1351</v>
      </c>
      <c r="W279" s="4"/>
      <c r="X279" s="4"/>
      <c r="Y279" s="4"/>
      <c r="Z279" s="4"/>
      <c r="AA279" s="4"/>
      <c r="AB279" s="4"/>
      <c r="AC279" s="4"/>
      <c r="AD279" s="4">
        <f t="shared" si="4"/>
        <v>17</v>
      </c>
    </row>
    <row r="280" spans="1:30" ht="27" thickBot="1" x14ac:dyDescent="0.3">
      <c r="A280" s="3">
        <v>45042.474039351851</v>
      </c>
      <c r="B280" s="4" t="s">
        <v>391</v>
      </c>
      <c r="C280" s="4" t="s">
        <v>392</v>
      </c>
      <c r="D280" s="31" t="s">
        <v>42</v>
      </c>
      <c r="E280" s="4" t="s">
        <v>618</v>
      </c>
      <c r="F280" s="5">
        <v>620151101</v>
      </c>
      <c r="G280" s="5">
        <v>620151101</v>
      </c>
      <c r="H280" s="4" t="s">
        <v>619</v>
      </c>
      <c r="I280" s="5">
        <v>7</v>
      </c>
      <c r="J280" s="4" t="s">
        <v>38</v>
      </c>
      <c r="K280" s="5">
        <v>1</v>
      </c>
      <c r="L280" s="4" t="s">
        <v>120</v>
      </c>
      <c r="M280" s="4" t="s">
        <v>120</v>
      </c>
      <c r="N280" s="4" t="s">
        <v>33</v>
      </c>
      <c r="O280" s="6">
        <v>45043</v>
      </c>
      <c r="P280" s="4" t="s">
        <v>574</v>
      </c>
      <c r="Q280" s="4" t="s">
        <v>397</v>
      </c>
      <c r="R280" s="4" t="s">
        <v>36</v>
      </c>
      <c r="S280" s="4" t="s">
        <v>59</v>
      </c>
      <c r="T280" s="5">
        <v>1</v>
      </c>
      <c r="U280" s="6">
        <v>45048</v>
      </c>
      <c r="V280" s="4" t="s">
        <v>1352</v>
      </c>
      <c r="W280" s="4" t="s">
        <v>620</v>
      </c>
      <c r="X280" s="4"/>
      <c r="Y280" s="4"/>
      <c r="Z280" s="4"/>
      <c r="AA280" s="4"/>
      <c r="AB280" s="4"/>
      <c r="AC280" s="4"/>
      <c r="AD280" s="4">
        <f t="shared" si="4"/>
        <v>17</v>
      </c>
    </row>
    <row r="281" spans="1:30" ht="27" thickBot="1" x14ac:dyDescent="0.3">
      <c r="A281" s="3">
        <v>45042.505520833336</v>
      </c>
      <c r="B281" s="4" t="s">
        <v>391</v>
      </c>
      <c r="C281" s="4" t="s">
        <v>392</v>
      </c>
      <c r="D281" s="31" t="s">
        <v>42</v>
      </c>
      <c r="E281" s="4" t="s">
        <v>621</v>
      </c>
      <c r="F281" s="5">
        <v>621066872</v>
      </c>
      <c r="G281" s="5">
        <v>621066872</v>
      </c>
      <c r="H281" s="4" t="s">
        <v>622</v>
      </c>
      <c r="I281" s="5">
        <v>7</v>
      </c>
      <c r="J281" s="4" t="s">
        <v>38</v>
      </c>
      <c r="K281" s="5">
        <v>2</v>
      </c>
      <c r="L281" s="4" t="s">
        <v>120</v>
      </c>
      <c r="M281" s="4" t="s">
        <v>120</v>
      </c>
      <c r="N281" s="4" t="s">
        <v>33</v>
      </c>
      <c r="O281" s="6">
        <v>45042</v>
      </c>
      <c r="P281" s="4" t="s">
        <v>574</v>
      </c>
      <c r="Q281" s="4" t="s">
        <v>397</v>
      </c>
      <c r="R281" s="4" t="s">
        <v>36</v>
      </c>
      <c r="S281" s="4" t="s">
        <v>59</v>
      </c>
      <c r="T281" s="5">
        <v>2</v>
      </c>
      <c r="U281" s="6">
        <v>45042</v>
      </c>
      <c r="V281" s="4" t="s">
        <v>1351</v>
      </c>
      <c r="W281" s="4"/>
      <c r="X281" s="4"/>
      <c r="Y281" s="4"/>
      <c r="Z281" s="4"/>
      <c r="AA281" s="4"/>
      <c r="AB281" s="4"/>
      <c r="AC281" s="4"/>
      <c r="AD281" s="4">
        <f t="shared" si="4"/>
        <v>17</v>
      </c>
    </row>
    <row r="282" spans="1:30" ht="78" thickBot="1" x14ac:dyDescent="0.3">
      <c r="A282" s="3">
        <v>45042.50644675926</v>
      </c>
      <c r="B282" s="4" t="s">
        <v>623</v>
      </c>
      <c r="C282" s="4" t="s">
        <v>624</v>
      </c>
      <c r="D282" s="31" t="s">
        <v>42</v>
      </c>
      <c r="E282" s="4" t="s">
        <v>625</v>
      </c>
      <c r="F282" s="5">
        <v>620164029</v>
      </c>
      <c r="G282" s="4"/>
      <c r="H282" s="4" t="s">
        <v>626</v>
      </c>
      <c r="I282" s="5">
        <v>12</v>
      </c>
      <c r="J282" s="4" t="s">
        <v>38</v>
      </c>
      <c r="K282" s="5">
        <v>10</v>
      </c>
      <c r="L282" s="4" t="s">
        <v>627</v>
      </c>
      <c r="M282" s="4" t="s">
        <v>32</v>
      </c>
      <c r="N282" s="4" t="s">
        <v>33</v>
      </c>
      <c r="O282" s="6">
        <v>45047</v>
      </c>
      <c r="P282" s="4"/>
      <c r="Q282" s="4" t="s">
        <v>628</v>
      </c>
      <c r="R282" s="4" t="s">
        <v>36</v>
      </c>
      <c r="S282" s="4"/>
      <c r="T282" s="4"/>
      <c r="U282" s="4"/>
      <c r="V282" s="4" t="s">
        <v>1372</v>
      </c>
      <c r="W282" s="4"/>
      <c r="X282" s="4"/>
      <c r="Y282" s="4"/>
      <c r="Z282" s="4"/>
      <c r="AA282" s="4"/>
      <c r="AB282" s="4"/>
      <c r="AC282" s="4"/>
      <c r="AD282" s="4">
        <f t="shared" si="4"/>
        <v>17</v>
      </c>
    </row>
    <row r="283" spans="1:30" ht="27" thickBot="1" x14ac:dyDescent="0.3">
      <c r="A283" s="3">
        <v>45042.506712962961</v>
      </c>
      <c r="B283" s="4" t="s">
        <v>614</v>
      </c>
      <c r="C283" s="4" t="s">
        <v>614</v>
      </c>
      <c r="D283" s="31" t="s">
        <v>42</v>
      </c>
      <c r="E283" s="4" t="s">
        <v>629</v>
      </c>
      <c r="F283" s="5">
        <v>610388332</v>
      </c>
      <c r="G283" s="4"/>
      <c r="H283" s="4" t="s">
        <v>630</v>
      </c>
      <c r="I283" s="5">
        <v>27</v>
      </c>
      <c r="J283" s="4" t="s">
        <v>38</v>
      </c>
      <c r="K283" s="5">
        <v>4</v>
      </c>
      <c r="L283" s="4" t="s">
        <v>631</v>
      </c>
      <c r="M283" s="4" t="s">
        <v>263</v>
      </c>
      <c r="N283" s="4" t="s">
        <v>57</v>
      </c>
      <c r="O283" s="6">
        <v>45043</v>
      </c>
      <c r="P283" s="4"/>
      <c r="Q283" s="4" t="s">
        <v>616</v>
      </c>
      <c r="R283" s="4" t="s">
        <v>252</v>
      </c>
      <c r="S283" s="4" t="s">
        <v>59</v>
      </c>
      <c r="T283" s="5">
        <v>4</v>
      </c>
      <c r="U283" s="6">
        <v>45042</v>
      </c>
      <c r="V283" s="4" t="s">
        <v>1351</v>
      </c>
      <c r="W283" s="4"/>
      <c r="X283" s="4"/>
      <c r="Y283" s="4"/>
      <c r="Z283" s="4"/>
      <c r="AA283" s="4"/>
      <c r="AB283" s="4"/>
      <c r="AC283" s="4"/>
      <c r="AD283" s="4">
        <f t="shared" si="4"/>
        <v>17</v>
      </c>
    </row>
    <row r="284" spans="1:30" ht="27" thickBot="1" x14ac:dyDescent="0.3">
      <c r="A284" s="3">
        <v>45042.531099537038</v>
      </c>
      <c r="B284" s="4" t="s">
        <v>391</v>
      </c>
      <c r="C284" s="4" t="s">
        <v>392</v>
      </c>
      <c r="D284" s="31" t="s">
        <v>42</v>
      </c>
      <c r="E284" s="4" t="s">
        <v>446</v>
      </c>
      <c r="F284" s="5">
        <v>625411748</v>
      </c>
      <c r="G284" s="5">
        <v>625411748</v>
      </c>
      <c r="H284" s="4" t="s">
        <v>622</v>
      </c>
      <c r="I284" s="5">
        <v>5</v>
      </c>
      <c r="J284" s="4" t="s">
        <v>38</v>
      </c>
      <c r="K284" s="5">
        <v>8</v>
      </c>
      <c r="L284" s="4" t="s">
        <v>632</v>
      </c>
      <c r="M284" s="4" t="s">
        <v>632</v>
      </c>
      <c r="N284" s="4" t="s">
        <v>57</v>
      </c>
      <c r="O284" s="6">
        <v>45042</v>
      </c>
      <c r="P284" s="4" t="s">
        <v>574</v>
      </c>
      <c r="Q284" s="4" t="s">
        <v>397</v>
      </c>
      <c r="R284" s="4" t="s">
        <v>252</v>
      </c>
      <c r="S284" s="4" t="s">
        <v>59</v>
      </c>
      <c r="T284" s="5">
        <v>10</v>
      </c>
      <c r="U284" s="6">
        <v>45057</v>
      </c>
      <c r="V284" s="4" t="s">
        <v>1353</v>
      </c>
      <c r="W284" s="4" t="s">
        <v>1165</v>
      </c>
      <c r="X284" s="4"/>
      <c r="Y284" s="4"/>
      <c r="Z284" s="4"/>
      <c r="AA284" s="4"/>
      <c r="AB284" s="4"/>
      <c r="AC284" s="4"/>
      <c r="AD284" s="4">
        <f t="shared" si="4"/>
        <v>17</v>
      </c>
    </row>
    <row r="285" spans="1:30" ht="39.75" thickBot="1" x14ac:dyDescent="0.3">
      <c r="A285" s="3">
        <v>45042.565324074072</v>
      </c>
      <c r="B285" s="4" t="s">
        <v>79</v>
      </c>
      <c r="C285" s="4" t="s">
        <v>80</v>
      </c>
      <c r="D285" s="31" t="s">
        <v>42</v>
      </c>
      <c r="E285" s="4" t="s">
        <v>438</v>
      </c>
      <c r="F285" s="5">
        <v>620115269</v>
      </c>
      <c r="G285" s="5">
        <v>0</v>
      </c>
      <c r="H285" s="4" t="s">
        <v>365</v>
      </c>
      <c r="I285" s="5">
        <v>85</v>
      </c>
      <c r="J285" s="4" t="s">
        <v>30</v>
      </c>
      <c r="K285" s="5">
        <v>5</v>
      </c>
      <c r="L285" s="4" t="s">
        <v>366</v>
      </c>
      <c r="M285" s="4" t="s">
        <v>89</v>
      </c>
      <c r="N285" s="4" t="s">
        <v>90</v>
      </c>
      <c r="O285" s="6">
        <v>45044</v>
      </c>
      <c r="P285" s="4" t="s">
        <v>85</v>
      </c>
      <c r="Q285" s="4" t="s">
        <v>86</v>
      </c>
      <c r="R285" s="4" t="s">
        <v>36</v>
      </c>
      <c r="S285" s="4" t="s">
        <v>59</v>
      </c>
      <c r="T285" s="5">
        <v>5</v>
      </c>
      <c r="U285" s="6">
        <v>45042</v>
      </c>
      <c r="V285" s="4" t="s">
        <v>1351</v>
      </c>
      <c r="W285" s="4"/>
      <c r="X285" s="4"/>
      <c r="Y285" s="4"/>
      <c r="Z285" s="4"/>
      <c r="AA285" s="4"/>
      <c r="AB285" s="4"/>
      <c r="AC285" s="4"/>
      <c r="AD285" s="4">
        <f t="shared" si="4"/>
        <v>17</v>
      </c>
    </row>
    <row r="286" spans="1:30" ht="27" thickBot="1" x14ac:dyDescent="0.3">
      <c r="A286" s="3">
        <v>45042.680879629632</v>
      </c>
      <c r="B286" s="4" t="s">
        <v>253</v>
      </c>
      <c r="C286" s="4" t="s">
        <v>633</v>
      </c>
      <c r="D286" s="31" t="s">
        <v>42</v>
      </c>
      <c r="E286" s="4" t="s">
        <v>634</v>
      </c>
      <c r="F286" s="5">
        <v>623239422</v>
      </c>
      <c r="G286" s="4"/>
      <c r="H286" s="4" t="s">
        <v>635</v>
      </c>
      <c r="I286" s="5">
        <v>130</v>
      </c>
      <c r="J286" s="4" t="s">
        <v>38</v>
      </c>
      <c r="K286" s="5">
        <v>20</v>
      </c>
      <c r="L286" s="4" t="s">
        <v>493</v>
      </c>
      <c r="M286" s="4" t="s">
        <v>493</v>
      </c>
      <c r="N286" s="4" t="s">
        <v>33</v>
      </c>
      <c r="O286" s="6">
        <v>45043</v>
      </c>
      <c r="P286" s="4"/>
      <c r="Q286" s="4" t="s">
        <v>636</v>
      </c>
      <c r="R286" s="4" t="s">
        <v>36</v>
      </c>
      <c r="S286" s="4" t="s">
        <v>59</v>
      </c>
      <c r="T286" s="5">
        <v>20</v>
      </c>
      <c r="U286" s="6">
        <v>45043</v>
      </c>
      <c r="V286" s="4" t="s">
        <v>1351</v>
      </c>
      <c r="W286" s="4"/>
      <c r="X286" s="4"/>
      <c r="Y286" s="4"/>
      <c r="Z286" s="4"/>
      <c r="AA286" s="4"/>
      <c r="AB286" s="4"/>
      <c r="AC286" s="4"/>
      <c r="AD286" s="4">
        <f t="shared" si="4"/>
        <v>17</v>
      </c>
    </row>
    <row r="287" spans="1:30" ht="27" thickBot="1" x14ac:dyDescent="0.3">
      <c r="A287" s="3">
        <v>45042.684756944444</v>
      </c>
      <c r="B287" s="4" t="s">
        <v>253</v>
      </c>
      <c r="C287" s="4" t="s">
        <v>633</v>
      </c>
      <c r="D287" s="31" t="s">
        <v>42</v>
      </c>
      <c r="E287" s="4" t="s">
        <v>637</v>
      </c>
      <c r="F287" s="5">
        <v>629086697</v>
      </c>
      <c r="G287" s="4"/>
      <c r="H287" s="4" t="s">
        <v>638</v>
      </c>
      <c r="I287" s="5">
        <v>80</v>
      </c>
      <c r="J287" s="4" t="s">
        <v>38</v>
      </c>
      <c r="K287" s="5">
        <v>12</v>
      </c>
      <c r="L287" s="4" t="s">
        <v>639</v>
      </c>
      <c r="M287" s="4" t="s">
        <v>640</v>
      </c>
      <c r="N287" s="4" t="s">
        <v>47</v>
      </c>
      <c r="O287" s="6">
        <v>45043</v>
      </c>
      <c r="P287" s="4"/>
      <c r="Q287" s="4" t="s">
        <v>636</v>
      </c>
      <c r="R287" s="4" t="s">
        <v>36</v>
      </c>
      <c r="S287" s="4" t="s">
        <v>59</v>
      </c>
      <c r="T287" s="5">
        <v>12</v>
      </c>
      <c r="U287" s="6">
        <v>45043</v>
      </c>
      <c r="V287" s="4" t="s">
        <v>1351</v>
      </c>
      <c r="W287" s="4"/>
      <c r="X287" s="4"/>
      <c r="Y287" s="4"/>
      <c r="Z287" s="4"/>
      <c r="AA287" s="4"/>
      <c r="AB287" s="4"/>
      <c r="AC287" s="4"/>
      <c r="AD287" s="4">
        <f t="shared" si="4"/>
        <v>17</v>
      </c>
    </row>
    <row r="288" spans="1:30" ht="27" thickBot="1" x14ac:dyDescent="0.3">
      <c r="A288" s="3">
        <v>45042.689016203702</v>
      </c>
      <c r="B288" s="4" t="s">
        <v>253</v>
      </c>
      <c r="C288" s="4" t="s">
        <v>253</v>
      </c>
      <c r="D288" s="31" t="s">
        <v>42</v>
      </c>
      <c r="E288" s="4" t="s">
        <v>641</v>
      </c>
      <c r="F288" s="5">
        <v>620453004</v>
      </c>
      <c r="G288" s="4"/>
      <c r="H288" s="4" t="s">
        <v>408</v>
      </c>
      <c r="I288" s="5">
        <v>10</v>
      </c>
      <c r="J288" s="4" t="s">
        <v>38</v>
      </c>
      <c r="K288" s="5">
        <v>7</v>
      </c>
      <c r="L288" s="4" t="s">
        <v>640</v>
      </c>
      <c r="M288" s="4" t="s">
        <v>640</v>
      </c>
      <c r="N288" s="4" t="s">
        <v>33</v>
      </c>
      <c r="O288" s="6">
        <v>45043</v>
      </c>
      <c r="P288" s="4"/>
      <c r="Q288" s="4" t="s">
        <v>636</v>
      </c>
      <c r="R288" s="4" t="s">
        <v>36</v>
      </c>
      <c r="S288" s="4" t="s">
        <v>59</v>
      </c>
      <c r="T288" s="5">
        <v>7</v>
      </c>
      <c r="U288" s="6">
        <v>45043</v>
      </c>
      <c r="V288" s="4" t="s">
        <v>1351</v>
      </c>
      <c r="W288" s="4"/>
      <c r="X288" s="4"/>
      <c r="Y288" s="4"/>
      <c r="Z288" s="4"/>
      <c r="AA288" s="4"/>
      <c r="AB288" s="4"/>
      <c r="AC288" s="4"/>
      <c r="AD288" s="4">
        <f t="shared" si="4"/>
        <v>17</v>
      </c>
    </row>
    <row r="289" spans="1:30" ht="27" thickBot="1" x14ac:dyDescent="0.3">
      <c r="A289" s="3">
        <v>45042.694108796299</v>
      </c>
      <c r="B289" s="4" t="s">
        <v>253</v>
      </c>
      <c r="C289" s="4" t="s">
        <v>633</v>
      </c>
      <c r="D289" s="31" t="s">
        <v>42</v>
      </c>
      <c r="E289" s="4" t="s">
        <v>642</v>
      </c>
      <c r="F289" s="5">
        <v>620269228</v>
      </c>
      <c r="G289" s="4"/>
      <c r="H289" s="4" t="s">
        <v>643</v>
      </c>
      <c r="I289" s="5">
        <v>10</v>
      </c>
      <c r="J289" s="4" t="s">
        <v>38</v>
      </c>
      <c r="K289" s="5">
        <v>5</v>
      </c>
      <c r="L289" s="4" t="s">
        <v>644</v>
      </c>
      <c r="M289" s="4" t="s">
        <v>36</v>
      </c>
      <c r="N289" s="4" t="s">
        <v>90</v>
      </c>
      <c r="O289" s="6">
        <v>45043</v>
      </c>
      <c r="P289" s="4"/>
      <c r="Q289" s="4" t="s">
        <v>636</v>
      </c>
      <c r="R289" s="4" t="s">
        <v>36</v>
      </c>
      <c r="S289" s="4" t="s">
        <v>59</v>
      </c>
      <c r="T289" s="5">
        <v>5</v>
      </c>
      <c r="U289" s="6">
        <v>45043</v>
      </c>
      <c r="V289" s="4" t="s">
        <v>1351</v>
      </c>
      <c r="W289" s="4"/>
      <c r="X289" s="4"/>
      <c r="Y289" s="4"/>
      <c r="Z289" s="4"/>
      <c r="AA289" s="4"/>
      <c r="AB289" s="4"/>
      <c r="AC289" s="4"/>
      <c r="AD289" s="4">
        <f t="shared" si="4"/>
        <v>17</v>
      </c>
    </row>
    <row r="290" spans="1:30" ht="39.75" thickBot="1" x14ac:dyDescent="0.3">
      <c r="A290" s="3">
        <v>45042.868194444447</v>
      </c>
      <c r="B290" s="4" t="s">
        <v>79</v>
      </c>
      <c r="C290" s="4" t="s">
        <v>80</v>
      </c>
      <c r="D290" s="31" t="s">
        <v>42</v>
      </c>
      <c r="E290" s="4" t="s">
        <v>645</v>
      </c>
      <c r="F290" s="5">
        <v>628597541</v>
      </c>
      <c r="G290" s="5">
        <v>0</v>
      </c>
      <c r="H290" s="4" t="s">
        <v>336</v>
      </c>
      <c r="I290" s="5">
        <v>40</v>
      </c>
      <c r="J290" s="4" t="s">
        <v>30</v>
      </c>
      <c r="K290" s="5">
        <v>9</v>
      </c>
      <c r="L290" s="4" t="s">
        <v>73</v>
      </c>
      <c r="M290" s="4" t="s">
        <v>89</v>
      </c>
      <c r="N290" s="4" t="s">
        <v>90</v>
      </c>
      <c r="O290" s="6">
        <v>45042</v>
      </c>
      <c r="P290" s="4" t="s">
        <v>646</v>
      </c>
      <c r="Q290" s="4" t="s">
        <v>86</v>
      </c>
      <c r="R290" s="4" t="s">
        <v>36</v>
      </c>
      <c r="S290" s="4" t="s">
        <v>59</v>
      </c>
      <c r="T290" s="5">
        <v>9</v>
      </c>
      <c r="U290" s="6">
        <v>45043</v>
      </c>
      <c r="V290" s="4" t="s">
        <v>1351</v>
      </c>
      <c r="W290" s="4"/>
      <c r="X290" s="4"/>
      <c r="Y290" s="4"/>
      <c r="Z290" s="4"/>
      <c r="AA290" s="4"/>
      <c r="AB290" s="4"/>
      <c r="AC290" s="4"/>
      <c r="AD290" s="4">
        <f t="shared" si="4"/>
        <v>17</v>
      </c>
    </row>
    <row r="291" spans="1:30" ht="65.25" thickBot="1" x14ac:dyDescent="0.3">
      <c r="A291" s="3">
        <v>45042.916562500002</v>
      </c>
      <c r="B291" s="4" t="s">
        <v>623</v>
      </c>
      <c r="C291" s="4" t="s">
        <v>647</v>
      </c>
      <c r="D291" s="31" t="s">
        <v>42</v>
      </c>
      <c r="E291" s="4" t="s">
        <v>648</v>
      </c>
      <c r="F291" s="5">
        <v>624411913</v>
      </c>
      <c r="G291" s="4"/>
      <c r="H291" s="4" t="s">
        <v>626</v>
      </c>
      <c r="I291" s="5">
        <v>10</v>
      </c>
      <c r="J291" s="4" t="s">
        <v>38</v>
      </c>
      <c r="K291" s="5">
        <v>5</v>
      </c>
      <c r="L291" s="4" t="s">
        <v>649</v>
      </c>
      <c r="M291" s="4" t="s">
        <v>650</v>
      </c>
      <c r="N291" s="4" t="s">
        <v>57</v>
      </c>
      <c r="O291" s="6">
        <v>45047</v>
      </c>
      <c r="P291" s="4"/>
      <c r="Q291" s="4" t="s">
        <v>628</v>
      </c>
      <c r="R291" s="4" t="s">
        <v>252</v>
      </c>
      <c r="S291" s="4" t="s">
        <v>59</v>
      </c>
      <c r="T291" s="5">
        <v>26.5</v>
      </c>
      <c r="U291" s="6">
        <v>45052</v>
      </c>
      <c r="V291" s="4" t="s">
        <v>1352</v>
      </c>
      <c r="W291" s="4" t="s">
        <v>651</v>
      </c>
      <c r="X291" s="4"/>
      <c r="Y291" s="4"/>
      <c r="Z291" s="4"/>
      <c r="AA291" s="4"/>
      <c r="AB291" s="4"/>
      <c r="AC291" s="4"/>
      <c r="AD291" s="4">
        <f t="shared" si="4"/>
        <v>17</v>
      </c>
    </row>
    <row r="292" spans="1:30" ht="65.25" thickBot="1" x14ac:dyDescent="0.3">
      <c r="A292" s="3">
        <v>45043.286689814813</v>
      </c>
      <c r="B292" s="4" t="s">
        <v>25</v>
      </c>
      <c r="C292" s="4" t="s">
        <v>26</v>
      </c>
      <c r="D292" s="31" t="s">
        <v>42</v>
      </c>
      <c r="E292" s="4" t="s">
        <v>652</v>
      </c>
      <c r="F292" s="5">
        <v>624420356</v>
      </c>
      <c r="G292" s="4"/>
      <c r="H292" s="4" t="s">
        <v>45</v>
      </c>
      <c r="I292" s="5">
        <v>90</v>
      </c>
      <c r="J292" s="4" t="s">
        <v>38</v>
      </c>
      <c r="K292" s="5">
        <v>2</v>
      </c>
      <c r="L292" s="4" t="s">
        <v>50</v>
      </c>
      <c r="M292" s="4" t="s">
        <v>32</v>
      </c>
      <c r="N292" s="4" t="s">
        <v>33</v>
      </c>
      <c r="O292" s="6">
        <v>45045</v>
      </c>
      <c r="P292" s="4" t="s">
        <v>34</v>
      </c>
      <c r="Q292" s="4" t="s">
        <v>35</v>
      </c>
      <c r="R292" s="4" t="s">
        <v>36</v>
      </c>
      <c r="S292" s="4" t="s">
        <v>59</v>
      </c>
      <c r="T292" s="5">
        <v>6</v>
      </c>
      <c r="U292" s="6">
        <v>45043</v>
      </c>
      <c r="V292" s="4" t="s">
        <v>1351</v>
      </c>
      <c r="W292" s="4"/>
      <c r="X292" s="4"/>
      <c r="Y292" s="4"/>
      <c r="Z292" s="4"/>
      <c r="AA292" s="4"/>
      <c r="AB292" s="4"/>
      <c r="AC292" s="4"/>
      <c r="AD292" s="4">
        <f t="shared" si="4"/>
        <v>17</v>
      </c>
    </row>
    <row r="293" spans="1:30" ht="65.25" thickBot="1" x14ac:dyDescent="0.3">
      <c r="A293" s="3">
        <v>45043.289849537039</v>
      </c>
      <c r="B293" s="4" t="s">
        <v>25</v>
      </c>
      <c r="C293" s="4" t="s">
        <v>26</v>
      </c>
      <c r="D293" s="31" t="s">
        <v>42</v>
      </c>
      <c r="E293" s="4" t="s">
        <v>653</v>
      </c>
      <c r="F293" s="5">
        <v>624327385</v>
      </c>
      <c r="G293" s="4"/>
      <c r="H293" s="4" t="s">
        <v>45</v>
      </c>
      <c r="I293" s="5">
        <v>90</v>
      </c>
      <c r="J293" s="4" t="s">
        <v>38</v>
      </c>
      <c r="K293" s="5">
        <v>3</v>
      </c>
      <c r="L293" s="4" t="s">
        <v>50</v>
      </c>
      <c r="M293" s="4" t="s">
        <v>32</v>
      </c>
      <c r="N293" s="4" t="s">
        <v>33</v>
      </c>
      <c r="O293" s="6">
        <v>45046</v>
      </c>
      <c r="P293" s="4" t="s">
        <v>34</v>
      </c>
      <c r="Q293" s="4" t="s">
        <v>35</v>
      </c>
      <c r="R293" s="4" t="s">
        <v>36</v>
      </c>
      <c r="S293" s="4" t="s">
        <v>59</v>
      </c>
      <c r="T293" s="5">
        <v>2</v>
      </c>
      <c r="U293" s="6">
        <v>45043</v>
      </c>
      <c r="V293" s="4" t="s">
        <v>1351</v>
      </c>
      <c r="W293" s="4"/>
      <c r="X293" s="4"/>
      <c r="Y293" s="4"/>
      <c r="Z293" s="4"/>
      <c r="AA293" s="4"/>
      <c r="AB293" s="4"/>
      <c r="AC293" s="4"/>
      <c r="AD293" s="4">
        <f t="shared" si="4"/>
        <v>17</v>
      </c>
    </row>
    <row r="294" spans="1:30" ht="65.25" thickBot="1" x14ac:dyDescent="0.3">
      <c r="A294" s="3">
        <v>45043.292094907411</v>
      </c>
      <c r="B294" s="4" t="s">
        <v>623</v>
      </c>
      <c r="C294" s="4" t="s">
        <v>654</v>
      </c>
      <c r="D294" s="31" t="s">
        <v>42</v>
      </c>
      <c r="E294" s="4" t="s">
        <v>655</v>
      </c>
      <c r="F294" s="5">
        <v>621078717</v>
      </c>
      <c r="G294" s="4"/>
      <c r="H294" s="4" t="s">
        <v>626</v>
      </c>
      <c r="I294" s="5">
        <v>10</v>
      </c>
      <c r="J294" s="4" t="s">
        <v>38</v>
      </c>
      <c r="K294" s="5">
        <v>10</v>
      </c>
      <c r="L294" s="4" t="s">
        <v>649</v>
      </c>
      <c r="M294" s="4" t="s">
        <v>650</v>
      </c>
      <c r="N294" s="4" t="s">
        <v>57</v>
      </c>
      <c r="O294" s="6">
        <v>45047</v>
      </c>
      <c r="P294" s="4"/>
      <c r="Q294" s="4" t="s">
        <v>628</v>
      </c>
      <c r="R294" s="4" t="s">
        <v>252</v>
      </c>
      <c r="S294" s="4"/>
      <c r="T294" s="4"/>
      <c r="U294" s="4"/>
      <c r="V294" s="4" t="s">
        <v>1372</v>
      </c>
      <c r="W294" s="4"/>
      <c r="X294" s="4"/>
      <c r="Y294" s="4"/>
      <c r="Z294" s="4"/>
      <c r="AA294" s="4"/>
      <c r="AB294" s="4"/>
      <c r="AC294" s="4"/>
      <c r="AD294" s="4">
        <f t="shared" si="4"/>
        <v>17</v>
      </c>
    </row>
    <row r="295" spans="1:30" ht="78" thickBot="1" x14ac:dyDescent="0.3">
      <c r="A295" s="3">
        <v>45043.298472222225</v>
      </c>
      <c r="B295" s="4" t="s">
        <v>623</v>
      </c>
      <c r="C295" s="4" t="s">
        <v>656</v>
      </c>
      <c r="D295" s="31" t="s">
        <v>42</v>
      </c>
      <c r="E295" s="4" t="s">
        <v>655</v>
      </c>
      <c r="F295" s="5">
        <v>621078717</v>
      </c>
      <c r="G295" s="4"/>
      <c r="H295" s="4" t="s">
        <v>626</v>
      </c>
      <c r="I295" s="5">
        <v>10</v>
      </c>
      <c r="J295" s="4" t="s">
        <v>38</v>
      </c>
      <c r="K295" s="5">
        <v>10</v>
      </c>
      <c r="L295" s="4" t="s">
        <v>657</v>
      </c>
      <c r="M295" s="4" t="s">
        <v>658</v>
      </c>
      <c r="N295" s="4" t="s">
        <v>47</v>
      </c>
      <c r="O295" s="6">
        <v>45053</v>
      </c>
      <c r="P295" s="4"/>
      <c r="Q295" s="4" t="s">
        <v>628</v>
      </c>
      <c r="R295" s="4" t="s">
        <v>98</v>
      </c>
      <c r="S295" s="4"/>
      <c r="T295" s="4"/>
      <c r="U295" s="4"/>
      <c r="V295" s="4" t="s">
        <v>1372</v>
      </c>
      <c r="W295" s="4"/>
      <c r="X295" s="4"/>
      <c r="Y295" s="4"/>
      <c r="Z295" s="4"/>
      <c r="AA295" s="4"/>
      <c r="AB295" s="4"/>
      <c r="AC295" s="4"/>
      <c r="AD295" s="4">
        <f t="shared" si="4"/>
        <v>17</v>
      </c>
    </row>
    <row r="296" spans="1:30" ht="27" thickBot="1" x14ac:dyDescent="0.3">
      <c r="A296" s="3">
        <v>45043.441770833335</v>
      </c>
      <c r="B296" s="4" t="s">
        <v>391</v>
      </c>
      <c r="C296" s="4" t="s">
        <v>392</v>
      </c>
      <c r="D296" s="31" t="s">
        <v>42</v>
      </c>
      <c r="E296" s="4" t="s">
        <v>659</v>
      </c>
      <c r="F296" s="5">
        <v>623968729</v>
      </c>
      <c r="G296" s="5">
        <v>623968729</v>
      </c>
      <c r="H296" s="4" t="s">
        <v>576</v>
      </c>
      <c r="I296" s="5">
        <v>2</v>
      </c>
      <c r="J296" s="4" t="s">
        <v>38</v>
      </c>
      <c r="K296" s="5">
        <v>3</v>
      </c>
      <c r="L296" s="4" t="s">
        <v>120</v>
      </c>
      <c r="M296" s="4" t="s">
        <v>120</v>
      </c>
      <c r="N296" s="4" t="s">
        <v>33</v>
      </c>
      <c r="O296" s="6">
        <v>45043</v>
      </c>
      <c r="P296" s="4" t="s">
        <v>660</v>
      </c>
      <c r="Q296" s="4" t="s">
        <v>397</v>
      </c>
      <c r="R296" s="4" t="s">
        <v>36</v>
      </c>
      <c r="S296" s="4" t="s">
        <v>59</v>
      </c>
      <c r="T296" s="5">
        <v>3</v>
      </c>
      <c r="U296" s="6">
        <v>45048</v>
      </c>
      <c r="V296" s="4" t="s">
        <v>1352</v>
      </c>
      <c r="W296" s="4" t="s">
        <v>661</v>
      </c>
      <c r="X296" s="4"/>
      <c r="Y296" s="4"/>
      <c r="Z296" s="4"/>
      <c r="AA296" s="4"/>
      <c r="AB296" s="4"/>
      <c r="AC296" s="4"/>
      <c r="AD296" s="4">
        <f t="shared" si="4"/>
        <v>17</v>
      </c>
    </row>
    <row r="297" spans="1:30" ht="27" thickBot="1" x14ac:dyDescent="0.3">
      <c r="A297" s="3">
        <v>45043.453101851854</v>
      </c>
      <c r="B297" s="4" t="s">
        <v>614</v>
      </c>
      <c r="C297" s="4" t="s">
        <v>614</v>
      </c>
      <c r="D297" s="31" t="s">
        <v>42</v>
      </c>
      <c r="E297" s="4" t="s">
        <v>662</v>
      </c>
      <c r="F297" s="5">
        <v>627643822</v>
      </c>
      <c r="G297" s="4"/>
      <c r="H297" s="4" t="s">
        <v>663</v>
      </c>
      <c r="I297" s="5">
        <v>73</v>
      </c>
      <c r="J297" s="4" t="s">
        <v>38</v>
      </c>
      <c r="K297" s="5">
        <v>2</v>
      </c>
      <c r="L297" s="4" t="s">
        <v>664</v>
      </c>
      <c r="M297" s="4" t="s">
        <v>665</v>
      </c>
      <c r="N297" s="4" t="s">
        <v>33</v>
      </c>
      <c r="O297" s="6">
        <v>45046</v>
      </c>
      <c r="P297" s="4"/>
      <c r="Q297" s="4" t="s">
        <v>616</v>
      </c>
      <c r="R297" s="4" t="s">
        <v>67</v>
      </c>
      <c r="S297" s="4" t="s">
        <v>59</v>
      </c>
      <c r="T297" s="5">
        <v>2</v>
      </c>
      <c r="U297" s="6">
        <v>45044</v>
      </c>
      <c r="V297" s="4" t="s">
        <v>1351</v>
      </c>
      <c r="W297" s="10" t="s">
        <v>666</v>
      </c>
      <c r="X297" s="4"/>
      <c r="Y297" s="4"/>
      <c r="Z297" s="4"/>
      <c r="AA297" s="4"/>
      <c r="AB297" s="4"/>
      <c r="AC297" s="4"/>
      <c r="AD297" s="4">
        <f t="shared" si="4"/>
        <v>17</v>
      </c>
    </row>
    <row r="298" spans="1:30" ht="39.75" thickBot="1" x14ac:dyDescent="0.3">
      <c r="A298" s="3">
        <v>45043.455462962964</v>
      </c>
      <c r="B298" s="4" t="s">
        <v>552</v>
      </c>
      <c r="C298" s="4" t="s">
        <v>553</v>
      </c>
      <c r="D298" s="31" t="s">
        <v>42</v>
      </c>
      <c r="E298" s="8" t="s">
        <v>667</v>
      </c>
      <c r="F298" s="5">
        <v>620171202</v>
      </c>
      <c r="G298" s="4"/>
      <c r="H298" s="4" t="s">
        <v>619</v>
      </c>
      <c r="I298" s="5">
        <v>10</v>
      </c>
      <c r="J298" s="4" t="s">
        <v>38</v>
      </c>
      <c r="K298" s="5">
        <v>2</v>
      </c>
      <c r="L298" s="4" t="s">
        <v>93</v>
      </c>
      <c r="M298" s="4" t="s">
        <v>93</v>
      </c>
      <c r="N298" s="4" t="s">
        <v>47</v>
      </c>
      <c r="O298" s="6">
        <v>45046</v>
      </c>
      <c r="P298" s="4"/>
      <c r="Q298" s="4" t="s">
        <v>558</v>
      </c>
      <c r="R298" s="4" t="s">
        <v>36</v>
      </c>
      <c r="S298" s="4" t="s">
        <v>59</v>
      </c>
      <c r="T298" s="5">
        <v>2</v>
      </c>
      <c r="U298" s="6">
        <v>45048</v>
      </c>
      <c r="V298" s="4" t="s">
        <v>1352</v>
      </c>
      <c r="W298" s="4" t="s">
        <v>668</v>
      </c>
      <c r="X298" s="4"/>
      <c r="Y298" s="4"/>
      <c r="Z298" s="4"/>
      <c r="AA298" s="4"/>
      <c r="AB298" s="4"/>
      <c r="AC298" s="4"/>
      <c r="AD298" s="4">
        <f t="shared" si="4"/>
        <v>17</v>
      </c>
    </row>
    <row r="299" spans="1:30" ht="27" thickBot="1" x14ac:dyDescent="0.3">
      <c r="A299" s="3">
        <v>45043.503946759258</v>
      </c>
      <c r="B299" s="4" t="s">
        <v>253</v>
      </c>
      <c r="C299" s="4" t="s">
        <v>633</v>
      </c>
      <c r="D299" s="31" t="s">
        <v>42</v>
      </c>
      <c r="E299" s="4" t="s">
        <v>669</v>
      </c>
      <c r="F299" s="5">
        <v>621039958</v>
      </c>
      <c r="G299" s="4"/>
      <c r="H299" s="4" t="s">
        <v>670</v>
      </c>
      <c r="I299" s="5">
        <v>64</v>
      </c>
      <c r="J299" s="4" t="s">
        <v>38</v>
      </c>
      <c r="K299" s="5">
        <v>10</v>
      </c>
      <c r="L299" s="4" t="s">
        <v>671</v>
      </c>
      <c r="M299" s="4" t="s">
        <v>36</v>
      </c>
      <c r="N299" s="4" t="s">
        <v>90</v>
      </c>
      <c r="O299" s="6">
        <v>45044</v>
      </c>
      <c r="P299" s="4"/>
      <c r="Q299" s="4" t="s">
        <v>636</v>
      </c>
      <c r="R299" s="4" t="s">
        <v>36</v>
      </c>
      <c r="S299" s="4" t="s">
        <v>59</v>
      </c>
      <c r="T299" s="5">
        <v>10</v>
      </c>
      <c r="U299" s="6">
        <v>45043</v>
      </c>
      <c r="V299" s="4" t="s">
        <v>1351</v>
      </c>
      <c r="W299" s="4" t="s">
        <v>672</v>
      </c>
      <c r="X299" s="4"/>
      <c r="Y299" s="4"/>
      <c r="Z299" s="4"/>
      <c r="AA299" s="4"/>
      <c r="AB299" s="4"/>
      <c r="AC299" s="4"/>
      <c r="AD299" s="4">
        <f t="shared" si="4"/>
        <v>17</v>
      </c>
    </row>
    <row r="300" spans="1:30" ht="39.75" thickBot="1" x14ac:dyDescent="0.3">
      <c r="A300" s="3">
        <v>45043.533784722225</v>
      </c>
      <c r="B300" s="4" t="s">
        <v>79</v>
      </c>
      <c r="C300" s="4" t="s">
        <v>80</v>
      </c>
      <c r="D300" s="31" t="s">
        <v>27</v>
      </c>
      <c r="E300" s="4" t="s">
        <v>673</v>
      </c>
      <c r="F300" s="5">
        <v>628451165</v>
      </c>
      <c r="G300" s="5">
        <v>0</v>
      </c>
      <c r="H300" s="4" t="s">
        <v>332</v>
      </c>
      <c r="I300" s="5">
        <v>185</v>
      </c>
      <c r="J300" s="4" t="s">
        <v>38</v>
      </c>
      <c r="K300" s="5">
        <v>22</v>
      </c>
      <c r="L300" s="4" t="s">
        <v>674</v>
      </c>
      <c r="M300" s="4" t="s">
        <v>89</v>
      </c>
      <c r="N300" s="4" t="s">
        <v>47</v>
      </c>
      <c r="O300" s="6">
        <v>45051</v>
      </c>
      <c r="P300" s="4" t="s">
        <v>675</v>
      </c>
      <c r="Q300" s="4" t="s">
        <v>86</v>
      </c>
      <c r="R300" s="4" t="s">
        <v>36</v>
      </c>
      <c r="S300" s="4"/>
      <c r="T300" s="4"/>
      <c r="U300" s="4"/>
      <c r="V300" s="4" t="s">
        <v>1372</v>
      </c>
      <c r="W300" s="4"/>
      <c r="X300" s="4"/>
      <c r="Y300" s="4"/>
      <c r="Z300" s="4"/>
      <c r="AA300" s="4"/>
      <c r="AB300" s="4"/>
      <c r="AC300" s="4"/>
      <c r="AD300" s="4">
        <f t="shared" si="4"/>
        <v>17</v>
      </c>
    </row>
    <row r="301" spans="1:30" ht="39.75" thickBot="1" x14ac:dyDescent="0.3">
      <c r="A301" s="3">
        <v>45043.54078703704</v>
      </c>
      <c r="B301" s="4" t="s">
        <v>79</v>
      </c>
      <c r="C301" s="4" t="s">
        <v>80</v>
      </c>
      <c r="D301" s="31" t="s">
        <v>42</v>
      </c>
      <c r="E301" s="4" t="s">
        <v>676</v>
      </c>
      <c r="F301" s="5">
        <v>624875107</v>
      </c>
      <c r="G301" s="5">
        <v>0</v>
      </c>
      <c r="H301" s="4" t="s">
        <v>436</v>
      </c>
      <c r="I301" s="5">
        <v>20</v>
      </c>
      <c r="J301" s="4" t="s">
        <v>38</v>
      </c>
      <c r="K301" s="5">
        <v>10</v>
      </c>
      <c r="L301" s="4" t="s">
        <v>333</v>
      </c>
      <c r="M301" s="4" t="s">
        <v>89</v>
      </c>
      <c r="N301" s="4" t="s">
        <v>33</v>
      </c>
      <c r="O301" s="6">
        <v>45044</v>
      </c>
      <c r="P301" s="4" t="s">
        <v>321</v>
      </c>
      <c r="Q301" s="4" t="s">
        <v>86</v>
      </c>
      <c r="R301" s="4" t="s">
        <v>36</v>
      </c>
      <c r="S301" s="4" t="s">
        <v>59</v>
      </c>
      <c r="T301" s="5">
        <v>10</v>
      </c>
      <c r="U301" s="6">
        <v>45043</v>
      </c>
      <c r="V301" s="4" t="s">
        <v>1351</v>
      </c>
      <c r="W301" s="4"/>
      <c r="X301" s="4"/>
      <c r="Y301" s="4"/>
      <c r="Z301" s="4"/>
      <c r="AA301" s="4"/>
      <c r="AB301" s="4"/>
      <c r="AC301" s="4"/>
      <c r="AD301" s="4">
        <f t="shared" si="4"/>
        <v>17</v>
      </c>
    </row>
    <row r="302" spans="1:30" ht="27" thickBot="1" x14ac:dyDescent="0.3">
      <c r="A302" s="3">
        <v>45043.840451388889</v>
      </c>
      <c r="B302" s="4" t="s">
        <v>677</v>
      </c>
      <c r="C302" s="4" t="s">
        <v>678</v>
      </c>
      <c r="D302" s="31" t="s">
        <v>42</v>
      </c>
      <c r="E302" s="4" t="s">
        <v>679</v>
      </c>
      <c r="F302" s="5">
        <v>622149331</v>
      </c>
      <c r="G302" s="4"/>
      <c r="H302" s="4" t="s">
        <v>680</v>
      </c>
      <c r="I302" s="5">
        <v>45</v>
      </c>
      <c r="J302" s="4" t="s">
        <v>38</v>
      </c>
      <c r="K302" s="5">
        <v>5</v>
      </c>
      <c r="L302" s="4" t="s">
        <v>681</v>
      </c>
      <c r="M302" s="4" t="s">
        <v>681</v>
      </c>
      <c r="N302" s="4" t="s">
        <v>57</v>
      </c>
      <c r="O302" s="6">
        <v>45061</v>
      </c>
      <c r="P302" s="4"/>
      <c r="Q302" s="4" t="s">
        <v>682</v>
      </c>
      <c r="R302" s="4" t="s">
        <v>252</v>
      </c>
      <c r="S302" s="4"/>
      <c r="T302" s="4"/>
      <c r="U302" s="4"/>
      <c r="V302" s="4" t="s">
        <v>1372</v>
      </c>
      <c r="W302" s="4"/>
      <c r="X302" s="4"/>
      <c r="Y302" s="4"/>
      <c r="Z302" s="4"/>
      <c r="AA302" s="4"/>
      <c r="AB302" s="4"/>
      <c r="AC302" s="4"/>
      <c r="AD302" s="4">
        <f t="shared" si="4"/>
        <v>17</v>
      </c>
    </row>
    <row r="303" spans="1:30" ht="27" thickBot="1" x14ac:dyDescent="0.3">
      <c r="A303" s="3">
        <v>45044.341041666667</v>
      </c>
      <c r="B303" s="4" t="s">
        <v>1770</v>
      </c>
      <c r="C303" s="4" t="s">
        <v>254</v>
      </c>
      <c r="D303" s="31" t="s">
        <v>42</v>
      </c>
      <c r="E303" s="8" t="s">
        <v>683</v>
      </c>
      <c r="F303" s="5">
        <v>623400834</v>
      </c>
      <c r="G303" s="5">
        <v>623400834</v>
      </c>
      <c r="H303" s="4" t="s">
        <v>476</v>
      </c>
      <c r="I303" s="5">
        <v>7</v>
      </c>
      <c r="J303" s="4" t="s">
        <v>38</v>
      </c>
      <c r="K303" s="5">
        <v>3</v>
      </c>
      <c r="L303" s="4" t="s">
        <v>512</v>
      </c>
      <c r="M303" s="4" t="s">
        <v>512</v>
      </c>
      <c r="N303" s="4" t="s">
        <v>33</v>
      </c>
      <c r="O303" s="6">
        <v>45044</v>
      </c>
      <c r="P303" s="4"/>
      <c r="Q303" s="4" t="s">
        <v>405</v>
      </c>
      <c r="R303" s="4" t="s">
        <v>36</v>
      </c>
      <c r="S303" s="4" t="s">
        <v>59</v>
      </c>
      <c r="T303" s="5">
        <v>3</v>
      </c>
      <c r="U303" s="6">
        <v>45044</v>
      </c>
      <c r="V303" s="4" t="s">
        <v>1351</v>
      </c>
      <c r="W303" s="10" t="s">
        <v>684</v>
      </c>
      <c r="X303" s="4"/>
      <c r="Y303" s="4"/>
      <c r="Z303" s="4"/>
      <c r="AA303" s="4"/>
      <c r="AB303" s="4"/>
      <c r="AC303" s="4"/>
      <c r="AD303" s="4">
        <f t="shared" si="4"/>
        <v>17</v>
      </c>
    </row>
    <row r="304" spans="1:30" ht="27" thickBot="1" x14ac:dyDescent="0.3">
      <c r="A304" s="3">
        <v>45044.343969907408</v>
      </c>
      <c r="B304" s="4" t="s">
        <v>1770</v>
      </c>
      <c r="C304" s="4" t="s">
        <v>254</v>
      </c>
      <c r="D304" s="31" t="s">
        <v>42</v>
      </c>
      <c r="E304" s="8" t="s">
        <v>685</v>
      </c>
      <c r="F304" s="5">
        <v>623764754</v>
      </c>
      <c r="G304" s="5">
        <v>623764754</v>
      </c>
      <c r="H304" s="4" t="s">
        <v>476</v>
      </c>
      <c r="I304" s="5">
        <v>7</v>
      </c>
      <c r="J304" s="4" t="s">
        <v>38</v>
      </c>
      <c r="K304" s="5">
        <v>3</v>
      </c>
      <c r="L304" s="4" t="s">
        <v>493</v>
      </c>
      <c r="M304" s="4" t="s">
        <v>493</v>
      </c>
      <c r="N304" s="4" t="s">
        <v>90</v>
      </c>
      <c r="O304" s="6">
        <v>45044</v>
      </c>
      <c r="P304" s="4"/>
      <c r="Q304" s="4" t="s">
        <v>405</v>
      </c>
      <c r="R304" s="4" t="s">
        <v>36</v>
      </c>
      <c r="S304" s="4" t="s">
        <v>59</v>
      </c>
      <c r="T304" s="5">
        <v>3</v>
      </c>
      <c r="U304" s="6">
        <v>45044</v>
      </c>
      <c r="V304" s="4" t="s">
        <v>1351</v>
      </c>
      <c r="W304" s="10" t="s">
        <v>686</v>
      </c>
      <c r="X304" s="4"/>
      <c r="Y304" s="4"/>
      <c r="Z304" s="4"/>
      <c r="AA304" s="4"/>
      <c r="AB304" s="4"/>
      <c r="AC304" s="4"/>
      <c r="AD304" s="4">
        <f t="shared" si="4"/>
        <v>17</v>
      </c>
    </row>
    <row r="305" spans="1:30" ht="27" thickBot="1" x14ac:dyDescent="0.3">
      <c r="A305" s="3">
        <v>45044.34783564815</v>
      </c>
      <c r="B305" s="4" t="s">
        <v>1770</v>
      </c>
      <c r="C305" s="4" t="s">
        <v>254</v>
      </c>
      <c r="D305" s="31" t="s">
        <v>42</v>
      </c>
      <c r="E305" s="8" t="s">
        <v>687</v>
      </c>
      <c r="F305" s="5">
        <v>625331971</v>
      </c>
      <c r="G305" s="5">
        <v>625331971</v>
      </c>
      <c r="H305" s="4" t="s">
        <v>476</v>
      </c>
      <c r="I305" s="5">
        <v>7</v>
      </c>
      <c r="J305" s="4" t="s">
        <v>38</v>
      </c>
      <c r="K305" s="5">
        <v>10</v>
      </c>
      <c r="L305" s="4" t="s">
        <v>688</v>
      </c>
      <c r="M305" s="4" t="s">
        <v>689</v>
      </c>
      <c r="N305" s="4" t="s">
        <v>33</v>
      </c>
      <c r="O305" s="6">
        <v>45044</v>
      </c>
      <c r="P305" s="4"/>
      <c r="Q305" s="4" t="s">
        <v>405</v>
      </c>
      <c r="R305" s="4" t="s">
        <v>36</v>
      </c>
      <c r="S305" s="4" t="s">
        <v>59</v>
      </c>
      <c r="T305" s="5">
        <v>10</v>
      </c>
      <c r="U305" s="6">
        <v>45044</v>
      </c>
      <c r="V305" s="4" t="s">
        <v>1351</v>
      </c>
      <c r="W305" s="10" t="s">
        <v>690</v>
      </c>
      <c r="X305" s="4"/>
      <c r="Y305" s="4"/>
      <c r="Z305" s="4"/>
      <c r="AA305" s="4"/>
      <c r="AB305" s="4"/>
      <c r="AC305" s="4"/>
      <c r="AD305" s="4">
        <f t="shared" si="4"/>
        <v>17</v>
      </c>
    </row>
    <row r="306" spans="1:30" ht="27" thickBot="1" x14ac:dyDescent="0.3">
      <c r="A306" s="3">
        <v>45044.351875</v>
      </c>
      <c r="B306" s="4" t="s">
        <v>1770</v>
      </c>
      <c r="C306" s="4" t="s">
        <v>254</v>
      </c>
      <c r="D306" s="31" t="s">
        <v>42</v>
      </c>
      <c r="E306" s="8" t="s">
        <v>691</v>
      </c>
      <c r="F306" s="5">
        <v>621630087</v>
      </c>
      <c r="G306" s="5">
        <v>621630087</v>
      </c>
      <c r="H306" s="4" t="s">
        <v>476</v>
      </c>
      <c r="I306" s="5">
        <v>7</v>
      </c>
      <c r="J306" s="4" t="s">
        <v>38</v>
      </c>
      <c r="K306" s="5">
        <v>4</v>
      </c>
      <c r="L306" s="4" t="s">
        <v>512</v>
      </c>
      <c r="M306" s="4" t="s">
        <v>512</v>
      </c>
      <c r="N306" s="4" t="s">
        <v>33</v>
      </c>
      <c r="O306" s="6">
        <v>45044</v>
      </c>
      <c r="P306" s="4"/>
      <c r="Q306" s="4" t="s">
        <v>405</v>
      </c>
      <c r="R306" s="4" t="s">
        <v>36</v>
      </c>
      <c r="S306" s="4" t="s">
        <v>59</v>
      </c>
      <c r="T306" s="5">
        <v>4</v>
      </c>
      <c r="U306" s="6">
        <v>45044</v>
      </c>
      <c r="V306" s="4" t="s">
        <v>1351</v>
      </c>
      <c r="W306" s="10" t="s">
        <v>686</v>
      </c>
      <c r="X306" s="4"/>
      <c r="Y306" s="4"/>
      <c r="Z306" s="4"/>
      <c r="AA306" s="4"/>
      <c r="AB306" s="4"/>
      <c r="AC306" s="4"/>
      <c r="AD306" s="4">
        <f t="shared" si="4"/>
        <v>17</v>
      </c>
    </row>
    <row r="307" spans="1:30" ht="27" thickBot="1" x14ac:dyDescent="0.3">
      <c r="A307" s="3">
        <v>45044.354409722226</v>
      </c>
      <c r="B307" s="4" t="s">
        <v>1770</v>
      </c>
      <c r="C307" s="4" t="s">
        <v>254</v>
      </c>
      <c r="D307" s="31" t="s">
        <v>42</v>
      </c>
      <c r="E307" s="8" t="s">
        <v>692</v>
      </c>
      <c r="F307" s="5">
        <v>623039868</v>
      </c>
      <c r="G307" s="5">
        <v>623039868</v>
      </c>
      <c r="H307" s="4" t="s">
        <v>476</v>
      </c>
      <c r="I307" s="5">
        <v>7</v>
      </c>
      <c r="J307" s="4" t="s">
        <v>38</v>
      </c>
      <c r="K307" s="5">
        <v>1</v>
      </c>
      <c r="L307" s="4" t="s">
        <v>512</v>
      </c>
      <c r="M307" s="4" t="s">
        <v>512</v>
      </c>
      <c r="N307" s="4" t="s">
        <v>33</v>
      </c>
      <c r="O307" s="6">
        <v>45044</v>
      </c>
      <c r="P307" s="4"/>
      <c r="Q307" s="4" t="s">
        <v>405</v>
      </c>
      <c r="R307" s="4" t="s">
        <v>36</v>
      </c>
      <c r="S307" s="4" t="s">
        <v>59</v>
      </c>
      <c r="T307" s="5">
        <v>1</v>
      </c>
      <c r="U307" s="6">
        <v>45044</v>
      </c>
      <c r="V307" s="4" t="s">
        <v>1351</v>
      </c>
      <c r="W307" s="10" t="s">
        <v>686</v>
      </c>
      <c r="X307" s="4"/>
      <c r="Y307" s="4"/>
      <c r="Z307" s="4"/>
      <c r="AA307" s="4"/>
      <c r="AB307" s="4"/>
      <c r="AC307" s="4"/>
      <c r="AD307" s="4">
        <f t="shared" si="4"/>
        <v>17</v>
      </c>
    </row>
    <row r="308" spans="1:30" ht="27" thickBot="1" x14ac:dyDescent="0.3">
      <c r="A308" s="3">
        <v>45044.35596064815</v>
      </c>
      <c r="B308" s="4" t="s">
        <v>1770</v>
      </c>
      <c r="C308" s="4" t="s">
        <v>254</v>
      </c>
      <c r="D308" s="31" t="s">
        <v>42</v>
      </c>
      <c r="E308" s="8" t="s">
        <v>200</v>
      </c>
      <c r="F308" s="5">
        <v>628941416</v>
      </c>
      <c r="G308" s="5">
        <v>628941416</v>
      </c>
      <c r="H308" s="4" t="s">
        <v>476</v>
      </c>
      <c r="I308" s="5">
        <v>7</v>
      </c>
      <c r="J308" s="4" t="s">
        <v>38</v>
      </c>
      <c r="K308" s="5">
        <v>1</v>
      </c>
      <c r="L308" s="4" t="s">
        <v>333</v>
      </c>
      <c r="M308" s="4" t="s">
        <v>333</v>
      </c>
      <c r="N308" s="4" t="s">
        <v>33</v>
      </c>
      <c r="O308" s="6">
        <v>45044</v>
      </c>
      <c r="P308" s="4"/>
      <c r="Q308" s="4" t="s">
        <v>405</v>
      </c>
      <c r="R308" s="4" t="s">
        <v>36</v>
      </c>
      <c r="S308" s="4" t="s">
        <v>59</v>
      </c>
      <c r="T308" s="5">
        <v>1</v>
      </c>
      <c r="U308" s="6">
        <v>45044</v>
      </c>
      <c r="V308" s="4" t="s">
        <v>1351</v>
      </c>
      <c r="W308" s="10" t="s">
        <v>686</v>
      </c>
      <c r="X308" s="4"/>
      <c r="Y308" s="4"/>
      <c r="Z308" s="4"/>
      <c r="AA308" s="4"/>
      <c r="AB308" s="4"/>
      <c r="AC308" s="4"/>
      <c r="AD308" s="4">
        <f t="shared" si="4"/>
        <v>17</v>
      </c>
    </row>
    <row r="309" spans="1:30" ht="27" thickBot="1" x14ac:dyDescent="0.3">
      <c r="A309" s="3">
        <v>45044.807245370372</v>
      </c>
      <c r="B309" s="4" t="s">
        <v>234</v>
      </c>
      <c r="C309" s="4" t="s">
        <v>235</v>
      </c>
      <c r="D309" s="31" t="s">
        <v>42</v>
      </c>
      <c r="E309" s="4" t="s">
        <v>693</v>
      </c>
      <c r="F309" s="5">
        <v>623540264</v>
      </c>
      <c r="G309" s="4"/>
      <c r="H309" s="4" t="s">
        <v>237</v>
      </c>
      <c r="I309" s="5">
        <v>80</v>
      </c>
      <c r="J309" s="4" t="s">
        <v>38</v>
      </c>
      <c r="K309" s="5">
        <v>2</v>
      </c>
      <c r="L309" s="4" t="s">
        <v>430</v>
      </c>
      <c r="M309" s="4" t="s">
        <v>430</v>
      </c>
      <c r="N309" s="4" t="s">
        <v>47</v>
      </c>
      <c r="O309" s="6">
        <v>45046</v>
      </c>
      <c r="P309" s="4"/>
      <c r="Q309" s="4" t="s">
        <v>240</v>
      </c>
      <c r="R309" s="4" t="s">
        <v>36</v>
      </c>
      <c r="S309" s="4" t="s">
        <v>59</v>
      </c>
      <c r="T309" s="5">
        <v>2</v>
      </c>
      <c r="U309" s="6">
        <v>45048</v>
      </c>
      <c r="V309" s="4" t="s">
        <v>1352</v>
      </c>
      <c r="W309" s="4" t="s">
        <v>694</v>
      </c>
      <c r="X309" s="4"/>
      <c r="Y309" s="4"/>
      <c r="Z309" s="4"/>
      <c r="AA309" s="4"/>
      <c r="AB309" s="4"/>
      <c r="AC309" s="4"/>
      <c r="AD309" s="4">
        <f t="shared" si="4"/>
        <v>17</v>
      </c>
    </row>
    <row r="310" spans="1:30" ht="27" thickBot="1" x14ac:dyDescent="0.3">
      <c r="A310" s="3">
        <v>45045.394143518519</v>
      </c>
      <c r="B310" s="4" t="s">
        <v>253</v>
      </c>
      <c r="C310" s="4" t="s">
        <v>633</v>
      </c>
      <c r="D310" s="31" t="s">
        <v>42</v>
      </c>
      <c r="E310" s="4" t="s">
        <v>695</v>
      </c>
      <c r="F310" s="5">
        <v>610622732</v>
      </c>
      <c r="G310" s="4"/>
      <c r="H310" s="4" t="s">
        <v>268</v>
      </c>
      <c r="I310" s="5">
        <v>180</v>
      </c>
      <c r="J310" s="4" t="s">
        <v>38</v>
      </c>
      <c r="K310" s="5">
        <v>25</v>
      </c>
      <c r="L310" s="4" t="s">
        <v>252</v>
      </c>
      <c r="M310" s="4" t="s">
        <v>252</v>
      </c>
      <c r="N310" s="4" t="s">
        <v>57</v>
      </c>
      <c r="O310" s="6">
        <v>45047</v>
      </c>
      <c r="P310" s="4"/>
      <c r="Q310" s="4" t="s">
        <v>636</v>
      </c>
      <c r="R310" s="4" t="s">
        <v>252</v>
      </c>
      <c r="S310" s="4" t="s">
        <v>59</v>
      </c>
      <c r="T310" s="5">
        <v>25</v>
      </c>
      <c r="U310" s="6">
        <v>45048</v>
      </c>
      <c r="V310" s="4" t="s">
        <v>1352</v>
      </c>
      <c r="W310" s="4" t="s">
        <v>696</v>
      </c>
      <c r="X310" s="4"/>
      <c r="Y310" s="4"/>
      <c r="Z310" s="4"/>
      <c r="AA310" s="4"/>
      <c r="AB310" s="4"/>
      <c r="AC310" s="4"/>
      <c r="AD310" s="4">
        <f t="shared" si="4"/>
        <v>17</v>
      </c>
    </row>
    <row r="311" spans="1:30" ht="39.75" thickBot="1" x14ac:dyDescent="0.3">
      <c r="A311" s="3">
        <v>45045.424895833334</v>
      </c>
      <c r="B311" s="4" t="s">
        <v>552</v>
      </c>
      <c r="C311" s="4" t="s">
        <v>553</v>
      </c>
      <c r="D311" s="31" t="s">
        <v>42</v>
      </c>
      <c r="E311" s="4" t="s">
        <v>697</v>
      </c>
      <c r="F311" s="5">
        <v>628144562</v>
      </c>
      <c r="G311" s="4"/>
      <c r="H311" s="4" t="s">
        <v>555</v>
      </c>
      <c r="I311" s="5">
        <v>150</v>
      </c>
      <c r="J311" s="4" t="s">
        <v>38</v>
      </c>
      <c r="K311" s="5">
        <v>20</v>
      </c>
      <c r="L311" s="4" t="s">
        <v>556</v>
      </c>
      <c r="M311" s="4" t="s">
        <v>556</v>
      </c>
      <c r="N311" s="4" t="s">
        <v>90</v>
      </c>
      <c r="O311" s="6">
        <v>45045</v>
      </c>
      <c r="P311" s="4"/>
      <c r="Q311" s="4" t="s">
        <v>558</v>
      </c>
      <c r="R311" s="4" t="s">
        <v>36</v>
      </c>
      <c r="S311" s="4" t="s">
        <v>59</v>
      </c>
      <c r="T311" s="5">
        <v>20</v>
      </c>
      <c r="U311" s="6">
        <v>45048</v>
      </c>
      <c r="V311" s="4" t="s">
        <v>1352</v>
      </c>
      <c r="W311" s="4" t="s">
        <v>698</v>
      </c>
      <c r="X311" s="4"/>
      <c r="Y311" s="4"/>
      <c r="Z311" s="4"/>
      <c r="AA311" s="4"/>
      <c r="AB311" s="4"/>
      <c r="AC311" s="4"/>
      <c r="AD311" s="4">
        <f t="shared" si="4"/>
        <v>17</v>
      </c>
    </row>
    <row r="312" spans="1:30" ht="27" thickBot="1" x14ac:dyDescent="0.3">
      <c r="A312" s="3">
        <v>45045.456388888888</v>
      </c>
      <c r="B312" s="4" t="s">
        <v>391</v>
      </c>
      <c r="C312" s="4" t="s">
        <v>392</v>
      </c>
      <c r="D312" s="31" t="s">
        <v>42</v>
      </c>
      <c r="E312" s="4" t="s">
        <v>699</v>
      </c>
      <c r="F312" s="5">
        <v>621003132</v>
      </c>
      <c r="G312" s="5">
        <v>621003132</v>
      </c>
      <c r="H312" s="4" t="s">
        <v>447</v>
      </c>
      <c r="I312" s="5">
        <v>18</v>
      </c>
      <c r="J312" s="4" t="s">
        <v>38</v>
      </c>
      <c r="K312" s="5">
        <v>15</v>
      </c>
      <c r="L312" s="4" t="s">
        <v>700</v>
      </c>
      <c r="M312" s="4" t="s">
        <v>700</v>
      </c>
      <c r="N312" s="4" t="s">
        <v>47</v>
      </c>
      <c r="O312" s="6">
        <v>45045</v>
      </c>
      <c r="P312" s="4" t="s">
        <v>449</v>
      </c>
      <c r="Q312" s="4" t="s">
        <v>397</v>
      </c>
      <c r="R312" s="4" t="s">
        <v>36</v>
      </c>
      <c r="S312" s="4" t="s">
        <v>59</v>
      </c>
      <c r="T312" s="5">
        <v>15</v>
      </c>
      <c r="U312" s="6">
        <v>45048</v>
      </c>
      <c r="V312" s="4" t="s">
        <v>1352</v>
      </c>
      <c r="W312" s="4" t="s">
        <v>701</v>
      </c>
      <c r="X312" s="4"/>
      <c r="Y312" s="4"/>
      <c r="Z312" s="4"/>
      <c r="AA312" s="4"/>
      <c r="AB312" s="4"/>
      <c r="AC312" s="4"/>
      <c r="AD312" s="4">
        <f t="shared" si="4"/>
        <v>17</v>
      </c>
    </row>
    <row r="313" spans="1:30" ht="27" thickBot="1" x14ac:dyDescent="0.3">
      <c r="A313" s="3">
        <v>45045.490902777776</v>
      </c>
      <c r="B313" s="4" t="s">
        <v>241</v>
      </c>
      <c r="C313" s="4" t="s">
        <v>606</v>
      </c>
      <c r="D313" s="31" t="s">
        <v>42</v>
      </c>
      <c r="E313" s="4" t="s">
        <v>702</v>
      </c>
      <c r="F313" s="5">
        <v>620948612</v>
      </c>
      <c r="G313" s="4"/>
      <c r="H313" s="4" t="s">
        <v>703</v>
      </c>
      <c r="I313" s="5">
        <v>18</v>
      </c>
      <c r="J313" s="4" t="s">
        <v>38</v>
      </c>
      <c r="K313" s="5">
        <v>10</v>
      </c>
      <c r="L313" s="4" t="s">
        <v>704</v>
      </c>
      <c r="M313" s="4" t="s">
        <v>705</v>
      </c>
      <c r="N313" s="4" t="s">
        <v>33</v>
      </c>
      <c r="O313" s="6">
        <v>45051</v>
      </c>
      <c r="P313" s="4" t="s">
        <v>706</v>
      </c>
      <c r="Q313" s="4" t="s">
        <v>247</v>
      </c>
      <c r="R313" s="4" t="s">
        <v>36</v>
      </c>
      <c r="S313" s="4"/>
      <c r="T313" s="4"/>
      <c r="U313" s="4"/>
      <c r="V313" s="4" t="s">
        <v>1372</v>
      </c>
      <c r="W313" s="4"/>
      <c r="X313" s="4"/>
      <c r="Y313" s="4"/>
      <c r="Z313" s="4"/>
      <c r="AA313" s="4"/>
      <c r="AB313" s="4"/>
      <c r="AC313" s="4"/>
      <c r="AD313" s="4">
        <f t="shared" si="4"/>
        <v>17</v>
      </c>
    </row>
    <row r="314" spans="1:30" ht="39.75" thickBot="1" x14ac:dyDescent="0.3">
      <c r="A314" s="3">
        <v>45045.495185185187</v>
      </c>
      <c r="B314" s="4" t="s">
        <v>241</v>
      </c>
      <c r="C314" s="4" t="s">
        <v>606</v>
      </c>
      <c r="D314" s="31" t="s">
        <v>27</v>
      </c>
      <c r="E314" s="4" t="s">
        <v>707</v>
      </c>
      <c r="F314" s="5">
        <v>628065705</v>
      </c>
      <c r="G314" s="4"/>
      <c r="H314" s="4" t="s">
        <v>244</v>
      </c>
      <c r="I314" s="5">
        <v>142</v>
      </c>
      <c r="J314" s="4" t="s">
        <v>38</v>
      </c>
      <c r="K314" s="5">
        <v>130</v>
      </c>
      <c r="L314" s="4" t="s">
        <v>708</v>
      </c>
      <c r="M314" s="4" t="s">
        <v>709</v>
      </c>
      <c r="N314" s="4" t="s">
        <v>47</v>
      </c>
      <c r="O314" s="6">
        <v>45056</v>
      </c>
      <c r="P314" s="4" t="s">
        <v>706</v>
      </c>
      <c r="Q314" s="4" t="s">
        <v>247</v>
      </c>
      <c r="R314" s="4" t="s">
        <v>36</v>
      </c>
      <c r="S314" s="4"/>
      <c r="T314" s="4"/>
      <c r="U314" s="4"/>
      <c r="V314" s="4" t="s">
        <v>1372</v>
      </c>
      <c r="W314" s="4"/>
      <c r="X314" s="4"/>
      <c r="Y314" s="4"/>
      <c r="Z314" s="4"/>
      <c r="AA314" s="4"/>
      <c r="AB314" s="4"/>
      <c r="AC314" s="4"/>
      <c r="AD314" s="4">
        <f t="shared" si="4"/>
        <v>17</v>
      </c>
    </row>
    <row r="315" spans="1:30" ht="27" thickBot="1" x14ac:dyDescent="0.3">
      <c r="A315" s="3">
        <v>45045.501597222225</v>
      </c>
      <c r="B315" s="4" t="s">
        <v>241</v>
      </c>
      <c r="C315" s="4" t="s">
        <v>606</v>
      </c>
      <c r="D315" s="31" t="s">
        <v>42</v>
      </c>
      <c r="E315" s="4" t="s">
        <v>710</v>
      </c>
      <c r="F315" s="5">
        <v>628820936</v>
      </c>
      <c r="G315" s="4"/>
      <c r="H315" s="4" t="s">
        <v>703</v>
      </c>
      <c r="I315" s="5">
        <v>15</v>
      </c>
      <c r="J315" s="4" t="s">
        <v>101</v>
      </c>
      <c r="K315" s="5">
        <v>15</v>
      </c>
      <c r="L315" s="4" t="s">
        <v>711</v>
      </c>
      <c r="M315" s="4" t="s">
        <v>709</v>
      </c>
      <c r="N315" s="4" t="s">
        <v>47</v>
      </c>
      <c r="O315" s="6">
        <v>45079</v>
      </c>
      <c r="P315" s="4" t="s">
        <v>706</v>
      </c>
      <c r="Q315" s="4" t="s">
        <v>247</v>
      </c>
      <c r="R315" s="4" t="s">
        <v>36</v>
      </c>
      <c r="S315" s="4"/>
      <c r="T315" s="4"/>
      <c r="U315" s="4"/>
      <c r="V315" s="4" t="s">
        <v>1372</v>
      </c>
      <c r="W315" s="4"/>
      <c r="X315" s="4"/>
      <c r="Y315" s="4"/>
      <c r="Z315" s="4"/>
      <c r="AA315" s="4"/>
      <c r="AB315" s="4"/>
      <c r="AC315" s="4"/>
      <c r="AD315" s="4">
        <f t="shared" si="4"/>
        <v>17</v>
      </c>
    </row>
    <row r="316" spans="1:30" ht="27" thickBot="1" x14ac:dyDescent="0.3">
      <c r="A316" s="3">
        <v>45045.506030092591</v>
      </c>
      <c r="B316" s="4" t="s">
        <v>241</v>
      </c>
      <c r="C316" s="4" t="s">
        <v>606</v>
      </c>
      <c r="D316" s="31" t="s">
        <v>42</v>
      </c>
      <c r="E316" s="4" t="s">
        <v>712</v>
      </c>
      <c r="F316" s="5">
        <v>620908794</v>
      </c>
      <c r="G316" s="4"/>
      <c r="H316" s="4" t="s">
        <v>703</v>
      </c>
      <c r="I316" s="5">
        <v>15</v>
      </c>
      <c r="J316" s="4" t="s">
        <v>38</v>
      </c>
      <c r="K316" s="4">
        <v>6</v>
      </c>
      <c r="L316" s="4" t="s">
        <v>711</v>
      </c>
      <c r="M316" s="4" t="s">
        <v>709</v>
      </c>
      <c r="N316" s="4" t="s">
        <v>47</v>
      </c>
      <c r="O316" s="6">
        <v>45083</v>
      </c>
      <c r="P316" s="4" t="s">
        <v>713</v>
      </c>
      <c r="Q316" s="4" t="s">
        <v>247</v>
      </c>
      <c r="R316" s="4" t="s">
        <v>36</v>
      </c>
      <c r="S316" s="4"/>
      <c r="T316" s="4"/>
      <c r="U316" s="4"/>
      <c r="V316" s="4" t="s">
        <v>1372</v>
      </c>
      <c r="W316" s="4"/>
      <c r="X316" s="4"/>
      <c r="Y316" s="4"/>
      <c r="Z316" s="4"/>
      <c r="AA316" s="4"/>
      <c r="AB316" s="4"/>
      <c r="AC316" s="4"/>
      <c r="AD316" s="4">
        <f t="shared" si="4"/>
        <v>17</v>
      </c>
    </row>
    <row r="317" spans="1:30" ht="27" thickBot="1" x14ac:dyDescent="0.3">
      <c r="A317" s="3">
        <v>45045.511597222219</v>
      </c>
      <c r="B317" s="4" t="s">
        <v>241</v>
      </c>
      <c r="C317" s="4" t="s">
        <v>606</v>
      </c>
      <c r="D317" s="31" t="s">
        <v>42</v>
      </c>
      <c r="E317" s="4" t="s">
        <v>714</v>
      </c>
      <c r="F317" s="5">
        <v>623634500</v>
      </c>
      <c r="G317" s="4"/>
      <c r="H317" s="4" t="s">
        <v>703</v>
      </c>
      <c r="I317" s="5">
        <v>15</v>
      </c>
      <c r="J317" s="4" t="s">
        <v>101</v>
      </c>
      <c r="K317" s="5">
        <v>13</v>
      </c>
      <c r="L317" s="4" t="s">
        <v>711</v>
      </c>
      <c r="M317" s="4" t="s">
        <v>709</v>
      </c>
      <c r="N317" s="4" t="s">
        <v>47</v>
      </c>
      <c r="O317" s="6">
        <v>45078</v>
      </c>
      <c r="P317" s="4" t="s">
        <v>715</v>
      </c>
      <c r="Q317" s="4" t="s">
        <v>247</v>
      </c>
      <c r="R317" s="4" t="s">
        <v>36</v>
      </c>
      <c r="S317" s="4"/>
      <c r="T317" s="4"/>
      <c r="U317" s="4"/>
      <c r="V317" s="4" t="s">
        <v>1372</v>
      </c>
      <c r="W317" s="4"/>
      <c r="X317" s="4"/>
      <c r="Y317" s="4"/>
      <c r="Z317" s="4"/>
      <c r="AA317" s="4"/>
      <c r="AB317" s="4"/>
      <c r="AC317" s="4"/>
      <c r="AD317" s="4">
        <f t="shared" si="4"/>
        <v>17</v>
      </c>
    </row>
    <row r="318" spans="1:30" ht="27" thickBot="1" x14ac:dyDescent="0.3">
      <c r="A318" s="3">
        <v>45045.516180555554</v>
      </c>
      <c r="B318" s="4" t="s">
        <v>241</v>
      </c>
      <c r="C318" s="4" t="s">
        <v>606</v>
      </c>
      <c r="D318" s="31" t="s">
        <v>42</v>
      </c>
      <c r="E318" s="4" t="s">
        <v>716</v>
      </c>
      <c r="F318" s="5">
        <v>628040569</v>
      </c>
      <c r="G318" s="4"/>
      <c r="H318" s="4" t="s">
        <v>703</v>
      </c>
      <c r="I318" s="5">
        <v>17</v>
      </c>
      <c r="J318" s="4" t="s">
        <v>38</v>
      </c>
      <c r="K318" s="5">
        <v>7</v>
      </c>
      <c r="L318" s="4" t="s">
        <v>223</v>
      </c>
      <c r="M318" s="4" t="s">
        <v>717</v>
      </c>
      <c r="N318" s="4" t="s">
        <v>57</v>
      </c>
      <c r="O318" s="6">
        <v>45117</v>
      </c>
      <c r="P318" s="4" t="s">
        <v>713</v>
      </c>
      <c r="Q318" s="4" t="s">
        <v>247</v>
      </c>
      <c r="R318" s="4" t="s">
        <v>36</v>
      </c>
      <c r="S318" s="4"/>
      <c r="T318" s="4"/>
      <c r="U318" s="4"/>
      <c r="V318" s="4" t="s">
        <v>1372</v>
      </c>
      <c r="W318" s="4"/>
      <c r="X318" s="4"/>
      <c r="Y318" s="4"/>
      <c r="Z318" s="4"/>
      <c r="AA318" s="4"/>
      <c r="AB318" s="4"/>
      <c r="AC318" s="4"/>
      <c r="AD318" s="4">
        <f t="shared" si="4"/>
        <v>17</v>
      </c>
    </row>
    <row r="319" spans="1:30" ht="27" thickBot="1" x14ac:dyDescent="0.3">
      <c r="A319" s="3">
        <v>45045.517997685187</v>
      </c>
      <c r="B319" s="4" t="s">
        <v>241</v>
      </c>
      <c r="C319" s="4" t="s">
        <v>606</v>
      </c>
      <c r="D319" s="31" t="s">
        <v>42</v>
      </c>
      <c r="E319" s="4" t="s">
        <v>718</v>
      </c>
      <c r="F319" s="5">
        <v>622230676</v>
      </c>
      <c r="G319" s="4"/>
      <c r="H319" s="4" t="s">
        <v>719</v>
      </c>
      <c r="I319" s="5">
        <v>12</v>
      </c>
      <c r="J319" s="4" t="s">
        <v>101</v>
      </c>
      <c r="K319" s="5">
        <v>42</v>
      </c>
      <c r="L319" s="4" t="s">
        <v>323</v>
      </c>
      <c r="M319" s="4" t="s">
        <v>93</v>
      </c>
      <c r="N319" s="4" t="s">
        <v>33</v>
      </c>
      <c r="O319" s="6">
        <v>45071</v>
      </c>
      <c r="P319" s="4" t="s">
        <v>706</v>
      </c>
      <c r="Q319" s="4" t="s">
        <v>247</v>
      </c>
      <c r="R319" s="4" t="s">
        <v>36</v>
      </c>
      <c r="S319" s="4"/>
      <c r="T319" s="4"/>
      <c r="U319" s="4"/>
      <c r="V319" s="4" t="s">
        <v>1372</v>
      </c>
      <c r="W319" s="4"/>
      <c r="X319" s="4"/>
      <c r="Y319" s="4"/>
      <c r="Z319" s="4"/>
      <c r="AA319" s="4"/>
      <c r="AB319" s="4"/>
      <c r="AC319" s="4"/>
      <c r="AD319" s="4">
        <f t="shared" si="4"/>
        <v>17</v>
      </c>
    </row>
    <row r="320" spans="1:30" ht="27" thickBot="1" x14ac:dyDescent="0.3">
      <c r="A320" s="3">
        <v>45045.534201388888</v>
      </c>
      <c r="B320" s="4" t="s">
        <v>241</v>
      </c>
      <c r="C320" s="4" t="s">
        <v>606</v>
      </c>
      <c r="D320" s="31" t="s">
        <v>42</v>
      </c>
      <c r="E320" s="4" t="s">
        <v>720</v>
      </c>
      <c r="F320" s="5">
        <v>622112007</v>
      </c>
      <c r="G320" s="4"/>
      <c r="H320" s="4" t="s">
        <v>610</v>
      </c>
      <c r="I320" s="4">
        <v>9</v>
      </c>
      <c r="J320" s="4" t="s">
        <v>101</v>
      </c>
      <c r="K320" s="5">
        <v>12</v>
      </c>
      <c r="L320" s="4" t="s">
        <v>73</v>
      </c>
      <c r="M320" s="4" t="s">
        <v>32</v>
      </c>
      <c r="N320" s="4" t="s">
        <v>90</v>
      </c>
      <c r="O320" s="6">
        <v>45051</v>
      </c>
      <c r="P320" s="4" t="s">
        <v>713</v>
      </c>
      <c r="Q320" s="4" t="s">
        <v>247</v>
      </c>
      <c r="R320" s="4" t="s">
        <v>36</v>
      </c>
      <c r="S320" s="4"/>
      <c r="T320" s="4"/>
      <c r="U320" s="4"/>
      <c r="V320" s="4" t="s">
        <v>1372</v>
      </c>
      <c r="W320" s="4"/>
      <c r="X320" s="4"/>
      <c r="Y320" s="4"/>
      <c r="Z320" s="4"/>
      <c r="AA320" s="4"/>
      <c r="AB320" s="4"/>
      <c r="AC320" s="4"/>
      <c r="AD320" s="4">
        <f t="shared" si="4"/>
        <v>17</v>
      </c>
    </row>
    <row r="321" spans="1:30" ht="27" thickBot="1" x14ac:dyDescent="0.3">
      <c r="A321" s="3">
        <v>45045.536064814813</v>
      </c>
      <c r="B321" s="4" t="s">
        <v>241</v>
      </c>
      <c r="C321" s="4" t="s">
        <v>606</v>
      </c>
      <c r="D321" s="31" t="s">
        <v>42</v>
      </c>
      <c r="E321" s="4" t="s">
        <v>721</v>
      </c>
      <c r="F321" s="5">
        <v>628144273</v>
      </c>
      <c r="G321" s="4"/>
      <c r="H321" s="4" t="s">
        <v>610</v>
      </c>
      <c r="I321" s="4">
        <v>9</v>
      </c>
      <c r="J321" s="4" t="s">
        <v>101</v>
      </c>
      <c r="K321" s="5">
        <v>15</v>
      </c>
      <c r="L321" s="4" t="s">
        <v>722</v>
      </c>
      <c r="M321" s="4" t="s">
        <v>723</v>
      </c>
      <c r="N321" s="4" t="s">
        <v>47</v>
      </c>
      <c r="O321" s="6">
        <v>45080</v>
      </c>
      <c r="P321" s="4" t="s">
        <v>706</v>
      </c>
      <c r="Q321" s="4" t="s">
        <v>247</v>
      </c>
      <c r="R321" s="4" t="s">
        <v>36</v>
      </c>
      <c r="S321" s="4"/>
      <c r="T321" s="4"/>
      <c r="U321" s="4"/>
      <c r="V321" s="4" t="s">
        <v>1372</v>
      </c>
      <c r="W321" s="4"/>
      <c r="X321" s="4"/>
      <c r="Y321" s="4"/>
      <c r="Z321" s="4"/>
      <c r="AA321" s="4"/>
      <c r="AB321" s="4"/>
      <c r="AC321" s="4"/>
      <c r="AD321" s="4">
        <f t="shared" si="4"/>
        <v>17</v>
      </c>
    </row>
    <row r="322" spans="1:30" ht="27" thickBot="1" x14ac:dyDescent="0.3">
      <c r="A322" s="3">
        <v>45045.538101851853</v>
      </c>
      <c r="B322" s="4" t="s">
        <v>241</v>
      </c>
      <c r="C322" s="4" t="s">
        <v>606</v>
      </c>
      <c r="D322" s="31" t="s">
        <v>27</v>
      </c>
      <c r="E322" s="4" t="s">
        <v>724</v>
      </c>
      <c r="F322" s="5">
        <v>622339114</v>
      </c>
      <c r="G322" s="4"/>
      <c r="H322" s="4" t="s">
        <v>610</v>
      </c>
      <c r="I322" s="5">
        <v>13</v>
      </c>
      <c r="J322" s="4" t="s">
        <v>38</v>
      </c>
      <c r="K322" s="5">
        <v>70</v>
      </c>
      <c r="L322" s="4" t="s">
        <v>725</v>
      </c>
      <c r="M322" s="4" t="s">
        <v>147</v>
      </c>
      <c r="N322" s="4" t="s">
        <v>47</v>
      </c>
      <c r="O322" s="6">
        <v>45078</v>
      </c>
      <c r="P322" s="4" t="s">
        <v>706</v>
      </c>
      <c r="Q322" s="4" t="s">
        <v>247</v>
      </c>
      <c r="R322" s="4" t="s">
        <v>36</v>
      </c>
      <c r="S322" s="4"/>
      <c r="T322" s="4"/>
      <c r="U322" s="4"/>
      <c r="V322" s="4" t="s">
        <v>1372</v>
      </c>
      <c r="W322" s="4"/>
      <c r="X322" s="4"/>
      <c r="Y322" s="4"/>
      <c r="Z322" s="4"/>
      <c r="AA322" s="4"/>
      <c r="AB322" s="4"/>
      <c r="AC322" s="4"/>
      <c r="AD322" s="4">
        <f t="shared" si="4"/>
        <v>17</v>
      </c>
    </row>
    <row r="323" spans="1:30" ht="39.75" thickBot="1" x14ac:dyDescent="0.3">
      <c r="A323" s="3">
        <v>45045.541030092594</v>
      </c>
      <c r="B323" s="4" t="s">
        <v>241</v>
      </c>
      <c r="C323" s="4" t="s">
        <v>606</v>
      </c>
      <c r="D323" s="31" t="s">
        <v>27</v>
      </c>
      <c r="E323" s="4" t="s">
        <v>726</v>
      </c>
      <c r="F323" s="5">
        <v>628293857</v>
      </c>
      <c r="G323" s="4"/>
      <c r="H323" s="4" t="s">
        <v>727</v>
      </c>
      <c r="I323" s="5">
        <v>42</v>
      </c>
      <c r="J323" s="4" t="s">
        <v>101</v>
      </c>
      <c r="K323" s="5">
        <v>67</v>
      </c>
      <c r="L323" s="4" t="s">
        <v>723</v>
      </c>
      <c r="M323" s="4" t="s">
        <v>147</v>
      </c>
      <c r="N323" s="4" t="s">
        <v>47</v>
      </c>
      <c r="O323" s="6">
        <v>45078</v>
      </c>
      <c r="P323" s="4" t="s">
        <v>706</v>
      </c>
      <c r="Q323" s="4" t="s">
        <v>247</v>
      </c>
      <c r="R323" s="4" t="s">
        <v>36</v>
      </c>
      <c r="S323" s="4"/>
      <c r="T323" s="4"/>
      <c r="U323" s="4"/>
      <c r="V323" s="4" t="s">
        <v>1372</v>
      </c>
      <c r="W323" s="4"/>
      <c r="X323" s="4"/>
      <c r="Y323" s="4"/>
      <c r="Z323" s="4"/>
      <c r="AA323" s="4"/>
      <c r="AB323" s="4"/>
      <c r="AC323" s="4"/>
      <c r="AD323" s="4">
        <f t="shared" ref="AD323:AD386" si="5">WEEKNUM(LEFT(A323,10))</f>
        <v>17</v>
      </c>
    </row>
    <row r="324" spans="1:30" ht="27" thickBot="1" x14ac:dyDescent="0.3">
      <c r="A324" s="3">
        <v>45045.543136574073</v>
      </c>
      <c r="B324" s="4" t="s">
        <v>241</v>
      </c>
      <c r="C324" s="4" t="s">
        <v>606</v>
      </c>
      <c r="D324" s="31" t="s">
        <v>27</v>
      </c>
      <c r="E324" s="4" t="s">
        <v>728</v>
      </c>
      <c r="F324" s="5">
        <v>624049846</v>
      </c>
      <c r="G324" s="4"/>
      <c r="H324" s="4" t="s">
        <v>610</v>
      </c>
      <c r="I324" s="5">
        <v>11</v>
      </c>
      <c r="J324" s="4" t="s">
        <v>101</v>
      </c>
      <c r="K324" s="5">
        <v>30</v>
      </c>
      <c r="L324" s="4" t="s">
        <v>729</v>
      </c>
      <c r="M324" s="4" t="s">
        <v>729</v>
      </c>
      <c r="N324" s="4" t="s">
        <v>33</v>
      </c>
      <c r="O324" s="6">
        <v>45073</v>
      </c>
      <c r="P324" s="4" t="s">
        <v>706</v>
      </c>
      <c r="Q324" s="4" t="s">
        <v>247</v>
      </c>
      <c r="R324" s="4" t="s">
        <v>36</v>
      </c>
      <c r="S324" s="4"/>
      <c r="T324" s="4"/>
      <c r="U324" s="4"/>
      <c r="V324" s="4" t="s">
        <v>1372</v>
      </c>
      <c r="W324" s="4"/>
      <c r="X324" s="4"/>
      <c r="Y324" s="4"/>
      <c r="Z324" s="4"/>
      <c r="AA324" s="4"/>
      <c r="AB324" s="4"/>
      <c r="AC324" s="4"/>
      <c r="AD324" s="4">
        <f t="shared" si="5"/>
        <v>17</v>
      </c>
    </row>
    <row r="325" spans="1:30" ht="27" thickBot="1" x14ac:dyDescent="0.3">
      <c r="A325" s="3">
        <v>45045.545173611114</v>
      </c>
      <c r="B325" s="4" t="s">
        <v>241</v>
      </c>
      <c r="C325" s="4" t="s">
        <v>606</v>
      </c>
      <c r="D325" s="31" t="s">
        <v>27</v>
      </c>
      <c r="E325" s="4" t="s">
        <v>730</v>
      </c>
      <c r="F325" s="5">
        <v>622340279</v>
      </c>
      <c r="G325" s="4"/>
      <c r="H325" s="4" t="s">
        <v>610</v>
      </c>
      <c r="I325" s="5">
        <v>11</v>
      </c>
      <c r="J325" s="4" t="s">
        <v>101</v>
      </c>
      <c r="K325" s="5">
        <v>68</v>
      </c>
      <c r="L325" s="4" t="s">
        <v>731</v>
      </c>
      <c r="M325" s="4" t="s">
        <v>729</v>
      </c>
      <c r="N325" s="4" t="s">
        <v>33</v>
      </c>
      <c r="O325" s="6">
        <v>45061</v>
      </c>
      <c r="P325" s="4" t="s">
        <v>706</v>
      </c>
      <c r="Q325" s="4" t="s">
        <v>247</v>
      </c>
      <c r="R325" s="4" t="s">
        <v>36</v>
      </c>
      <c r="S325" s="4"/>
      <c r="T325" s="4"/>
      <c r="U325" s="4"/>
      <c r="V325" s="4" t="s">
        <v>1372</v>
      </c>
      <c r="W325" s="4"/>
      <c r="X325" s="4"/>
      <c r="Y325" s="4"/>
      <c r="Z325" s="4"/>
      <c r="AA325" s="4"/>
      <c r="AB325" s="4"/>
      <c r="AC325" s="4"/>
      <c r="AD325" s="4">
        <f t="shared" si="5"/>
        <v>17</v>
      </c>
    </row>
    <row r="326" spans="1:30" ht="52.5" thickBot="1" x14ac:dyDescent="0.3">
      <c r="A326" s="3">
        <v>45046.390451388892</v>
      </c>
      <c r="B326" s="4" t="s">
        <v>25</v>
      </c>
      <c r="C326" s="4" t="s">
        <v>504</v>
      </c>
      <c r="D326" s="31" t="s">
        <v>27</v>
      </c>
      <c r="E326" s="4" t="s">
        <v>732</v>
      </c>
      <c r="F326" s="5">
        <v>620279911</v>
      </c>
      <c r="G326" s="4"/>
      <c r="H326" s="4" t="s">
        <v>111</v>
      </c>
      <c r="I326" s="5">
        <v>12</v>
      </c>
      <c r="J326" s="4" t="s">
        <v>38</v>
      </c>
      <c r="K326" s="5">
        <v>5</v>
      </c>
      <c r="L326" s="4" t="s">
        <v>50</v>
      </c>
      <c r="M326" s="4" t="s">
        <v>32</v>
      </c>
      <c r="N326" s="4" t="s">
        <v>33</v>
      </c>
      <c r="O326" s="6">
        <v>45046</v>
      </c>
      <c r="P326" s="4" t="s">
        <v>34</v>
      </c>
      <c r="Q326" s="4" t="s">
        <v>35</v>
      </c>
      <c r="R326" s="4" t="s">
        <v>36</v>
      </c>
      <c r="S326" s="4" t="s">
        <v>59</v>
      </c>
      <c r="T326" s="5">
        <v>5</v>
      </c>
      <c r="U326" s="6">
        <v>45046</v>
      </c>
      <c r="V326" s="4" t="s">
        <v>1352</v>
      </c>
      <c r="W326" s="4" t="s">
        <v>733</v>
      </c>
      <c r="X326" s="4"/>
      <c r="Y326" s="4"/>
      <c r="Z326" s="4"/>
      <c r="AA326" s="4"/>
      <c r="AB326" s="4"/>
      <c r="AC326" s="4"/>
      <c r="AD326" s="4">
        <f t="shared" si="5"/>
        <v>18</v>
      </c>
    </row>
    <row r="327" spans="1:30" ht="65.25" thickBot="1" x14ac:dyDescent="0.3">
      <c r="A327" s="3">
        <v>45046.393171296295</v>
      </c>
      <c r="B327" s="4" t="s">
        <v>25</v>
      </c>
      <c r="C327" s="4" t="s">
        <v>26</v>
      </c>
      <c r="D327" s="31" t="s">
        <v>42</v>
      </c>
      <c r="E327" s="4" t="s">
        <v>734</v>
      </c>
      <c r="F327" s="5">
        <v>626841494</v>
      </c>
      <c r="G327" s="4"/>
      <c r="H327" s="4" t="s">
        <v>45</v>
      </c>
      <c r="I327" s="5">
        <v>90</v>
      </c>
      <c r="J327" s="4" t="s">
        <v>38</v>
      </c>
      <c r="K327" s="5">
        <v>5</v>
      </c>
      <c r="L327" s="4" t="s">
        <v>52</v>
      </c>
      <c r="M327" s="4" t="s">
        <v>32</v>
      </c>
      <c r="N327" s="4" t="s">
        <v>33</v>
      </c>
      <c r="O327" s="6">
        <v>45049</v>
      </c>
      <c r="P327" s="4" t="s">
        <v>34</v>
      </c>
      <c r="Q327" s="4" t="s">
        <v>35</v>
      </c>
      <c r="R327" s="4" t="s">
        <v>36</v>
      </c>
      <c r="S327" s="4" t="s">
        <v>59</v>
      </c>
      <c r="T327" s="5">
        <v>5</v>
      </c>
      <c r="U327" s="6">
        <v>45046</v>
      </c>
      <c r="V327" s="4" t="s">
        <v>1352</v>
      </c>
      <c r="W327" s="4" t="s">
        <v>735</v>
      </c>
      <c r="X327" s="4"/>
      <c r="Y327" s="4"/>
      <c r="Z327" s="4"/>
      <c r="AA327" s="4"/>
      <c r="AB327" s="4"/>
      <c r="AC327" s="4"/>
      <c r="AD327" s="4">
        <f t="shared" si="5"/>
        <v>18</v>
      </c>
    </row>
    <row r="328" spans="1:30" ht="65.25" thickBot="1" x14ac:dyDescent="0.3">
      <c r="A328" s="3">
        <v>45046.400034722225</v>
      </c>
      <c r="B328" s="4" t="s">
        <v>25</v>
      </c>
      <c r="C328" s="4" t="s">
        <v>26</v>
      </c>
      <c r="D328" s="31" t="s">
        <v>27</v>
      </c>
      <c r="E328" s="4" t="s">
        <v>736</v>
      </c>
      <c r="F328" s="5">
        <v>622653693</v>
      </c>
      <c r="G328" s="5">
        <v>622044210</v>
      </c>
      <c r="H328" s="4" t="s">
        <v>45</v>
      </c>
      <c r="I328" s="5">
        <v>90</v>
      </c>
      <c r="J328" s="4" t="s">
        <v>38</v>
      </c>
      <c r="K328" s="5">
        <v>18</v>
      </c>
      <c r="L328" s="4" t="s">
        <v>373</v>
      </c>
      <c r="M328" s="4" t="s">
        <v>32</v>
      </c>
      <c r="N328" s="4" t="s">
        <v>33</v>
      </c>
      <c r="O328" s="6">
        <v>45050</v>
      </c>
      <c r="P328" s="4" t="s">
        <v>34</v>
      </c>
      <c r="Q328" s="4" t="s">
        <v>35</v>
      </c>
      <c r="R328" s="4" t="s">
        <v>36</v>
      </c>
      <c r="S328" s="4" t="s">
        <v>59</v>
      </c>
      <c r="T328" s="5">
        <v>18</v>
      </c>
      <c r="U328" s="6">
        <v>45046</v>
      </c>
      <c r="V328" s="4" t="s">
        <v>1352</v>
      </c>
      <c r="W328" s="4" t="s">
        <v>737</v>
      </c>
      <c r="X328" s="4"/>
      <c r="Y328" s="4"/>
      <c r="Z328" s="4"/>
      <c r="AA328" s="4"/>
      <c r="AB328" s="4"/>
      <c r="AC328" s="4"/>
      <c r="AD328" s="4">
        <f t="shared" si="5"/>
        <v>18</v>
      </c>
    </row>
    <row r="329" spans="1:30" ht="39.75" thickBot="1" x14ac:dyDescent="0.3">
      <c r="A329" s="3">
        <v>45046.45417824074</v>
      </c>
      <c r="B329" s="4" t="s">
        <v>53</v>
      </c>
      <c r="C329" s="4" t="s">
        <v>53</v>
      </c>
      <c r="D329" s="31" t="s">
        <v>42</v>
      </c>
      <c r="E329" s="4" t="s">
        <v>738</v>
      </c>
      <c r="F329" s="5">
        <v>622180905</v>
      </c>
      <c r="G329" s="4"/>
      <c r="H329" s="4" t="s">
        <v>62</v>
      </c>
      <c r="I329" s="5">
        <v>3</v>
      </c>
      <c r="J329" s="4" t="s">
        <v>30</v>
      </c>
      <c r="K329" s="5">
        <v>3</v>
      </c>
      <c r="L329" s="4" t="s">
        <v>739</v>
      </c>
      <c r="M329" s="4" t="s">
        <v>224</v>
      </c>
      <c r="N329" s="4" t="s">
        <v>47</v>
      </c>
      <c r="O329" s="6">
        <v>45047</v>
      </c>
      <c r="P329" s="4"/>
      <c r="Q329" s="4" t="s">
        <v>58</v>
      </c>
      <c r="R329" s="4" t="s">
        <v>36</v>
      </c>
      <c r="S329" s="4" t="s">
        <v>59</v>
      </c>
      <c r="T329" s="5">
        <v>3</v>
      </c>
      <c r="U329" s="6">
        <v>45048</v>
      </c>
      <c r="V329" s="4" t="s">
        <v>1352</v>
      </c>
      <c r="W329" s="4" t="s">
        <v>740</v>
      </c>
      <c r="X329" s="4"/>
      <c r="Y329" s="4"/>
      <c r="Z329" s="4"/>
      <c r="AA329" s="4"/>
      <c r="AB329" s="4"/>
      <c r="AC329" s="4"/>
      <c r="AD329" s="4">
        <f t="shared" si="5"/>
        <v>18</v>
      </c>
    </row>
    <row r="330" spans="1:30" ht="27" thickBot="1" x14ac:dyDescent="0.3">
      <c r="A330" s="3">
        <v>45046.457349537035</v>
      </c>
      <c r="B330" s="4" t="s">
        <v>53</v>
      </c>
      <c r="C330" s="4" t="s">
        <v>53</v>
      </c>
      <c r="D330" s="31" t="s">
        <v>42</v>
      </c>
      <c r="E330" s="4" t="s">
        <v>72</v>
      </c>
      <c r="F330" s="5">
        <v>628305638</v>
      </c>
      <c r="G330" s="4"/>
      <c r="H330" s="4" t="s">
        <v>62</v>
      </c>
      <c r="I330" s="5">
        <v>3</v>
      </c>
      <c r="J330" s="4" t="s">
        <v>30</v>
      </c>
      <c r="K330" s="5">
        <v>1.5</v>
      </c>
      <c r="L330" s="4" t="s">
        <v>63</v>
      </c>
      <c r="M330" s="4" t="s">
        <v>63</v>
      </c>
      <c r="N330" s="4" t="s">
        <v>47</v>
      </c>
      <c r="O330" s="6">
        <v>45049</v>
      </c>
      <c r="P330" s="4"/>
      <c r="Q330" s="4" t="s">
        <v>58</v>
      </c>
      <c r="R330" s="4" t="s">
        <v>36</v>
      </c>
      <c r="S330" s="4" t="s">
        <v>59</v>
      </c>
      <c r="T330" s="5">
        <v>1.5</v>
      </c>
      <c r="U330" s="6">
        <v>45048</v>
      </c>
      <c r="V330" s="4" t="s">
        <v>1352</v>
      </c>
      <c r="W330" s="4" t="s">
        <v>740</v>
      </c>
      <c r="X330" s="4"/>
      <c r="Y330" s="4"/>
      <c r="Z330" s="4"/>
      <c r="AA330" s="4"/>
      <c r="AB330" s="4"/>
      <c r="AC330" s="4"/>
      <c r="AD330" s="4">
        <f t="shared" si="5"/>
        <v>18</v>
      </c>
    </row>
    <row r="331" spans="1:30" ht="39.75" thickBot="1" x14ac:dyDescent="0.3">
      <c r="A331" s="3">
        <v>45046.701238425929</v>
      </c>
      <c r="B331" s="4" t="s">
        <v>79</v>
      </c>
      <c r="C331" s="4" t="s">
        <v>80</v>
      </c>
      <c r="D331" s="31" t="s">
        <v>42</v>
      </c>
      <c r="E331" s="4" t="s">
        <v>741</v>
      </c>
      <c r="F331" s="5">
        <v>629935836</v>
      </c>
      <c r="G331" s="5">
        <v>0</v>
      </c>
      <c r="H331" s="4" t="s">
        <v>365</v>
      </c>
      <c r="I331" s="5">
        <v>53</v>
      </c>
      <c r="J331" s="4" t="s">
        <v>30</v>
      </c>
      <c r="K331" s="5">
        <v>10</v>
      </c>
      <c r="L331" s="4" t="s">
        <v>742</v>
      </c>
      <c r="M331" s="4" t="s">
        <v>89</v>
      </c>
      <c r="N331" s="4" t="s">
        <v>47</v>
      </c>
      <c r="O331" s="6">
        <v>45047</v>
      </c>
      <c r="P331" s="4" t="s">
        <v>321</v>
      </c>
      <c r="Q331" s="4" t="s">
        <v>86</v>
      </c>
      <c r="R331" s="4" t="s">
        <v>36</v>
      </c>
      <c r="S331" s="4" t="s">
        <v>59</v>
      </c>
      <c r="T331" s="5">
        <v>10</v>
      </c>
      <c r="U331" s="6">
        <v>45048</v>
      </c>
      <c r="V331" s="4" t="s">
        <v>1352</v>
      </c>
      <c r="W331" s="4" t="s">
        <v>743</v>
      </c>
      <c r="X331" s="4"/>
      <c r="Y331" s="4"/>
      <c r="Z331" s="4"/>
      <c r="AA331" s="4"/>
      <c r="AB331" s="4"/>
      <c r="AC331" s="4"/>
      <c r="AD331" s="4">
        <f t="shared" si="5"/>
        <v>18</v>
      </c>
    </row>
    <row r="332" spans="1:30" ht="27" thickBot="1" x14ac:dyDescent="0.3">
      <c r="A332" s="3">
        <v>45046.722384259258</v>
      </c>
      <c r="B332" s="4" t="s">
        <v>1770</v>
      </c>
      <c r="C332" s="4" t="s">
        <v>254</v>
      </c>
      <c r="D332" s="31" t="s">
        <v>42</v>
      </c>
      <c r="E332" s="4" t="s">
        <v>744</v>
      </c>
      <c r="F332" s="5">
        <v>621059544</v>
      </c>
      <c r="G332" s="5">
        <v>621059544</v>
      </c>
      <c r="H332" s="4" t="s">
        <v>476</v>
      </c>
      <c r="I332" s="5">
        <v>8</v>
      </c>
      <c r="J332" s="4" t="s">
        <v>38</v>
      </c>
      <c r="K332" s="5">
        <v>3</v>
      </c>
      <c r="L332" s="4" t="s">
        <v>493</v>
      </c>
      <c r="M332" s="4" t="s">
        <v>493</v>
      </c>
      <c r="N332" s="4" t="s">
        <v>90</v>
      </c>
      <c r="O332" s="6">
        <v>45046</v>
      </c>
      <c r="P332" s="4"/>
      <c r="Q332" s="4" t="s">
        <v>405</v>
      </c>
      <c r="R332" s="4" t="s">
        <v>36</v>
      </c>
      <c r="S332" s="4" t="s">
        <v>59</v>
      </c>
      <c r="T332" s="5">
        <v>3</v>
      </c>
      <c r="U332" s="6">
        <v>45048</v>
      </c>
      <c r="V332" s="4" t="s">
        <v>1352</v>
      </c>
      <c r="W332" s="10" t="s">
        <v>745</v>
      </c>
      <c r="X332" s="4"/>
      <c r="Y332" s="4"/>
      <c r="Z332" s="4"/>
      <c r="AA332" s="4"/>
      <c r="AB332" s="4"/>
      <c r="AC332" s="4"/>
      <c r="AD332" s="4">
        <f t="shared" si="5"/>
        <v>18</v>
      </c>
    </row>
    <row r="333" spans="1:30" ht="27" thickBot="1" x14ac:dyDescent="0.3">
      <c r="A333" s="3">
        <v>45046.724976851852</v>
      </c>
      <c r="B333" s="4" t="s">
        <v>1770</v>
      </c>
      <c r="C333" s="4" t="s">
        <v>254</v>
      </c>
      <c r="D333" s="31" t="s">
        <v>42</v>
      </c>
      <c r="E333" s="4" t="s">
        <v>746</v>
      </c>
      <c r="F333" s="5">
        <v>622082951</v>
      </c>
      <c r="G333" s="5">
        <v>622082951</v>
      </c>
      <c r="H333" s="4" t="s">
        <v>476</v>
      </c>
      <c r="I333" s="5">
        <v>3</v>
      </c>
      <c r="J333" s="4" t="s">
        <v>38</v>
      </c>
      <c r="K333" s="5">
        <v>1</v>
      </c>
      <c r="L333" s="4" t="s">
        <v>333</v>
      </c>
      <c r="M333" s="4" t="s">
        <v>333</v>
      </c>
      <c r="N333" s="4" t="s">
        <v>33</v>
      </c>
      <c r="O333" s="6">
        <v>45046</v>
      </c>
      <c r="P333" s="4"/>
      <c r="Q333" s="4" t="s">
        <v>405</v>
      </c>
      <c r="R333" s="4" t="s">
        <v>36</v>
      </c>
      <c r="S333" s="4" t="s">
        <v>59</v>
      </c>
      <c r="T333" s="5">
        <v>1</v>
      </c>
      <c r="U333" s="6">
        <v>45048</v>
      </c>
      <c r="V333" s="4" t="s">
        <v>1352</v>
      </c>
      <c r="W333" s="10" t="s">
        <v>747</v>
      </c>
      <c r="X333" s="4"/>
      <c r="Y333" s="4"/>
      <c r="Z333" s="4"/>
      <c r="AA333" s="4"/>
      <c r="AB333" s="4"/>
      <c r="AC333" s="4"/>
      <c r="AD333" s="4">
        <f t="shared" si="5"/>
        <v>18</v>
      </c>
    </row>
    <row r="334" spans="1:30" ht="27" thickBot="1" x14ac:dyDescent="0.3">
      <c r="A334" s="3">
        <v>45046.726701388892</v>
      </c>
      <c r="B334" s="4" t="s">
        <v>1770</v>
      </c>
      <c r="C334" s="4" t="s">
        <v>254</v>
      </c>
      <c r="D334" s="31" t="s">
        <v>42</v>
      </c>
      <c r="E334" s="4" t="s">
        <v>562</v>
      </c>
      <c r="F334" s="5">
        <v>610245921</v>
      </c>
      <c r="G334" s="5">
        <v>610245921</v>
      </c>
      <c r="H334" s="4" t="s">
        <v>476</v>
      </c>
      <c r="I334" s="5">
        <v>7</v>
      </c>
      <c r="J334" s="4" t="s">
        <v>38</v>
      </c>
      <c r="K334" s="5">
        <v>3</v>
      </c>
      <c r="L334" s="4" t="s">
        <v>568</v>
      </c>
      <c r="M334" s="4" t="s">
        <v>568</v>
      </c>
      <c r="N334" s="4" t="s">
        <v>90</v>
      </c>
      <c r="O334" s="6">
        <v>45046</v>
      </c>
      <c r="P334" s="4"/>
      <c r="Q334" s="4" t="s">
        <v>405</v>
      </c>
      <c r="R334" s="4" t="s">
        <v>36</v>
      </c>
      <c r="S334" s="4" t="s">
        <v>59</v>
      </c>
      <c r="T334" s="5">
        <v>3</v>
      </c>
      <c r="U334" s="6">
        <v>45048</v>
      </c>
      <c r="V334" s="4" t="s">
        <v>1352</v>
      </c>
      <c r="W334" s="10" t="s">
        <v>748</v>
      </c>
      <c r="X334" s="4"/>
      <c r="Y334" s="4"/>
      <c r="Z334" s="4"/>
      <c r="AA334" s="4"/>
      <c r="AB334" s="4"/>
      <c r="AC334" s="4"/>
      <c r="AD334" s="4">
        <f t="shared" si="5"/>
        <v>18</v>
      </c>
    </row>
    <row r="335" spans="1:30" ht="27" thickBot="1" x14ac:dyDescent="0.3">
      <c r="A335" s="3">
        <v>45046.728888888887</v>
      </c>
      <c r="B335" s="4" t="s">
        <v>1770</v>
      </c>
      <c r="C335" s="4" t="s">
        <v>254</v>
      </c>
      <c r="D335" s="31" t="s">
        <v>42</v>
      </c>
      <c r="E335" s="4" t="s">
        <v>749</v>
      </c>
      <c r="F335" s="5">
        <v>624069772</v>
      </c>
      <c r="G335" s="5">
        <v>624069772</v>
      </c>
      <c r="H335" s="4" t="s">
        <v>476</v>
      </c>
      <c r="I335" s="5">
        <v>12</v>
      </c>
      <c r="J335" s="4" t="s">
        <v>38</v>
      </c>
      <c r="K335" s="5">
        <v>3</v>
      </c>
      <c r="L335" s="4" t="s">
        <v>512</v>
      </c>
      <c r="M335" s="4" t="s">
        <v>512</v>
      </c>
      <c r="N335" s="4" t="s">
        <v>33</v>
      </c>
      <c r="O335" s="6">
        <v>45048</v>
      </c>
      <c r="P335" s="4"/>
      <c r="Q335" s="4" t="s">
        <v>405</v>
      </c>
      <c r="R335" s="4" t="s">
        <v>36</v>
      </c>
      <c r="S335" s="4" t="s">
        <v>59</v>
      </c>
      <c r="T335" s="5">
        <v>3</v>
      </c>
      <c r="U335" s="6">
        <v>45048</v>
      </c>
      <c r="V335" s="4" t="s">
        <v>1352</v>
      </c>
      <c r="W335" s="10" t="s">
        <v>747</v>
      </c>
      <c r="X335" s="4"/>
      <c r="Y335" s="4"/>
      <c r="Z335" s="4"/>
      <c r="AA335" s="4"/>
      <c r="AB335" s="4"/>
      <c r="AC335" s="4"/>
      <c r="AD335" s="4">
        <f t="shared" si="5"/>
        <v>18</v>
      </c>
    </row>
    <row r="336" spans="1:30" ht="27" thickBot="1" x14ac:dyDescent="0.3">
      <c r="A336" s="3">
        <v>45046.732546296298</v>
      </c>
      <c r="B336" s="4" t="s">
        <v>1770</v>
      </c>
      <c r="C336" s="4" t="s">
        <v>254</v>
      </c>
      <c r="D336" s="31" t="s">
        <v>42</v>
      </c>
      <c r="E336" s="4" t="s">
        <v>750</v>
      </c>
      <c r="F336" s="5">
        <v>628648645</v>
      </c>
      <c r="G336" s="5">
        <v>628648645</v>
      </c>
      <c r="H336" s="4" t="s">
        <v>476</v>
      </c>
      <c r="I336" s="5">
        <v>22</v>
      </c>
      <c r="J336" s="4" t="s">
        <v>38</v>
      </c>
      <c r="K336" s="5">
        <v>10</v>
      </c>
      <c r="L336" s="4" t="s">
        <v>751</v>
      </c>
      <c r="M336" s="4" t="s">
        <v>751</v>
      </c>
      <c r="N336" s="4" t="s">
        <v>90</v>
      </c>
      <c r="O336" s="6">
        <v>45047</v>
      </c>
      <c r="P336" s="4"/>
      <c r="Q336" s="4" t="s">
        <v>405</v>
      </c>
      <c r="R336" s="4" t="s">
        <v>36</v>
      </c>
      <c r="S336" s="4" t="s">
        <v>59</v>
      </c>
      <c r="T336" s="5">
        <v>10</v>
      </c>
      <c r="U336" s="6">
        <v>45048</v>
      </c>
      <c r="V336" s="4" t="s">
        <v>1352</v>
      </c>
      <c r="W336" s="10" t="s">
        <v>686</v>
      </c>
      <c r="X336" s="4"/>
      <c r="Y336" s="4"/>
      <c r="Z336" s="4"/>
      <c r="AA336" s="4"/>
      <c r="AB336" s="4"/>
      <c r="AC336" s="4"/>
      <c r="AD336" s="4">
        <f t="shared" si="5"/>
        <v>18</v>
      </c>
    </row>
    <row r="337" spans="1:30" ht="27" thickBot="1" x14ac:dyDescent="0.3">
      <c r="A337" s="3">
        <v>45046.734490740739</v>
      </c>
      <c r="B337" s="4" t="s">
        <v>1770</v>
      </c>
      <c r="C337" s="4" t="s">
        <v>254</v>
      </c>
      <c r="D337" s="31" t="s">
        <v>42</v>
      </c>
      <c r="E337" s="4" t="s">
        <v>752</v>
      </c>
      <c r="F337" s="5">
        <v>622946451</v>
      </c>
      <c r="G337" s="5">
        <v>622946451</v>
      </c>
      <c r="H337" s="4" t="s">
        <v>476</v>
      </c>
      <c r="I337" s="5">
        <v>13</v>
      </c>
      <c r="J337" s="4" t="s">
        <v>38</v>
      </c>
      <c r="K337" s="5">
        <v>5</v>
      </c>
      <c r="L337" s="4" t="s">
        <v>512</v>
      </c>
      <c r="M337" s="4" t="s">
        <v>512</v>
      </c>
      <c r="N337" s="4" t="s">
        <v>33</v>
      </c>
      <c r="O337" s="6">
        <v>45048</v>
      </c>
      <c r="P337" s="4"/>
      <c r="Q337" s="4" t="s">
        <v>405</v>
      </c>
      <c r="R337" s="4" t="s">
        <v>36</v>
      </c>
      <c r="S337" s="4" t="s">
        <v>59</v>
      </c>
      <c r="T337" s="5">
        <v>5</v>
      </c>
      <c r="U337" s="6">
        <v>45048</v>
      </c>
      <c r="V337" s="4" t="s">
        <v>1352</v>
      </c>
      <c r="W337" s="10" t="s">
        <v>745</v>
      </c>
      <c r="X337" s="4"/>
      <c r="Y337" s="4"/>
      <c r="Z337" s="4"/>
      <c r="AA337" s="4"/>
      <c r="AB337" s="4"/>
      <c r="AC337" s="4"/>
      <c r="AD337" s="4">
        <f t="shared" si="5"/>
        <v>18</v>
      </c>
    </row>
    <row r="338" spans="1:30" ht="52.5" thickBot="1" x14ac:dyDescent="0.3">
      <c r="A338" s="3">
        <v>45046.744606481479</v>
      </c>
      <c r="B338" s="4" t="s">
        <v>1770</v>
      </c>
      <c r="C338" s="4" t="s">
        <v>254</v>
      </c>
      <c r="D338" s="31" t="s">
        <v>27</v>
      </c>
      <c r="E338" s="4" t="s">
        <v>753</v>
      </c>
      <c r="F338" s="5">
        <v>622525703</v>
      </c>
      <c r="G338" s="5">
        <v>622525703</v>
      </c>
      <c r="H338" s="4" t="s">
        <v>402</v>
      </c>
      <c r="I338" s="5">
        <v>35</v>
      </c>
      <c r="J338" s="4" t="s">
        <v>38</v>
      </c>
      <c r="K338" s="5">
        <v>20</v>
      </c>
      <c r="L338" s="4" t="s">
        <v>754</v>
      </c>
      <c r="M338" s="4" t="s">
        <v>755</v>
      </c>
      <c r="N338" s="4" t="s">
        <v>90</v>
      </c>
      <c r="O338" s="6">
        <v>45049</v>
      </c>
      <c r="P338" s="4"/>
      <c r="Q338" s="4" t="s">
        <v>405</v>
      </c>
      <c r="R338" s="4" t="s">
        <v>36</v>
      </c>
      <c r="S338" s="4" t="s">
        <v>59</v>
      </c>
      <c r="T338" s="5">
        <v>20</v>
      </c>
      <c r="U338" s="6">
        <v>45048</v>
      </c>
      <c r="V338" s="4" t="s">
        <v>1352</v>
      </c>
      <c r="W338" s="10" t="s">
        <v>686</v>
      </c>
      <c r="X338" s="4"/>
      <c r="Y338" s="4"/>
      <c r="Z338" s="4"/>
      <c r="AA338" s="4"/>
      <c r="AB338" s="4"/>
      <c r="AC338" s="4"/>
      <c r="AD338" s="4">
        <f t="shared" si="5"/>
        <v>18</v>
      </c>
    </row>
    <row r="339" spans="1:30" ht="27" thickBot="1" x14ac:dyDescent="0.3">
      <c r="A339" s="3">
        <v>45047.031018518515</v>
      </c>
      <c r="B339" s="4" t="s">
        <v>234</v>
      </c>
      <c r="C339" s="4" t="s">
        <v>235</v>
      </c>
      <c r="D339" s="31" t="s">
        <v>42</v>
      </c>
      <c r="E339" s="4" t="s">
        <v>756</v>
      </c>
      <c r="F339" s="5">
        <v>624508843</v>
      </c>
      <c r="G339" s="4"/>
      <c r="H339" s="4" t="s">
        <v>244</v>
      </c>
      <c r="I339" s="5">
        <v>60</v>
      </c>
      <c r="J339" s="4" t="s">
        <v>101</v>
      </c>
      <c r="K339" s="5">
        <v>5</v>
      </c>
      <c r="L339" s="4" t="s">
        <v>52</v>
      </c>
      <c r="M339" s="4" t="s">
        <v>52</v>
      </c>
      <c r="N339" s="4" t="s">
        <v>47</v>
      </c>
      <c r="O339" s="6">
        <v>45066</v>
      </c>
      <c r="P339" s="4"/>
      <c r="Q339" s="4" t="s">
        <v>240</v>
      </c>
      <c r="R339" s="4" t="s">
        <v>36</v>
      </c>
      <c r="S339" s="4"/>
      <c r="T339" s="4"/>
      <c r="U339" s="4"/>
      <c r="V339" s="4" t="s">
        <v>1372</v>
      </c>
      <c r="W339" s="4"/>
      <c r="X339" s="4"/>
      <c r="Y339" s="4"/>
      <c r="Z339" s="4"/>
      <c r="AA339" s="4"/>
      <c r="AB339" s="4"/>
      <c r="AC339" s="4"/>
      <c r="AD339" s="4">
        <f t="shared" si="5"/>
        <v>18</v>
      </c>
    </row>
    <row r="340" spans="1:30" ht="27" thickBot="1" x14ac:dyDescent="0.3">
      <c r="A340" s="3">
        <v>45047.033993055556</v>
      </c>
      <c r="B340" s="4" t="s">
        <v>234</v>
      </c>
      <c r="C340" s="4" t="s">
        <v>235</v>
      </c>
      <c r="D340" s="31" t="s">
        <v>42</v>
      </c>
      <c r="E340" s="4" t="s">
        <v>757</v>
      </c>
      <c r="F340" s="5">
        <v>611456449</v>
      </c>
      <c r="G340" s="4"/>
      <c r="H340" s="4" t="s">
        <v>244</v>
      </c>
      <c r="I340" s="5">
        <v>63</v>
      </c>
      <c r="J340" s="4" t="s">
        <v>101</v>
      </c>
      <c r="K340" s="5">
        <v>2</v>
      </c>
      <c r="L340" s="4" t="s">
        <v>758</v>
      </c>
      <c r="M340" s="4" t="s">
        <v>759</v>
      </c>
      <c r="N340" s="4" t="s">
        <v>57</v>
      </c>
      <c r="O340" s="6">
        <v>45082</v>
      </c>
      <c r="P340" s="4"/>
      <c r="Q340" s="4" t="s">
        <v>240</v>
      </c>
      <c r="R340" s="4" t="s">
        <v>36</v>
      </c>
      <c r="S340" s="4"/>
      <c r="T340" s="4"/>
      <c r="U340" s="4"/>
      <c r="V340" s="4" t="s">
        <v>1372</v>
      </c>
      <c r="W340" s="4"/>
      <c r="X340" s="4"/>
      <c r="Y340" s="4"/>
      <c r="Z340" s="4"/>
      <c r="AA340" s="4"/>
      <c r="AB340" s="4"/>
      <c r="AC340" s="4"/>
      <c r="AD340" s="4">
        <f t="shared" si="5"/>
        <v>18</v>
      </c>
    </row>
    <row r="341" spans="1:30" ht="27" thickBot="1" x14ac:dyDescent="0.3">
      <c r="A341" s="3">
        <v>45047.035937499997</v>
      </c>
      <c r="B341" s="4" t="s">
        <v>234</v>
      </c>
      <c r="C341" s="4" t="s">
        <v>235</v>
      </c>
      <c r="D341" s="31" t="s">
        <v>42</v>
      </c>
      <c r="E341" s="4" t="s">
        <v>760</v>
      </c>
      <c r="F341" s="5">
        <v>625093457</v>
      </c>
      <c r="G341" s="4"/>
      <c r="H341" s="4" t="s">
        <v>244</v>
      </c>
      <c r="I341" s="5">
        <v>56</v>
      </c>
      <c r="J341" s="4" t="s">
        <v>101</v>
      </c>
      <c r="K341" s="5">
        <v>6</v>
      </c>
      <c r="L341" s="4" t="s">
        <v>52</v>
      </c>
      <c r="M341" s="4" t="s">
        <v>52</v>
      </c>
      <c r="N341" s="4" t="s">
        <v>47</v>
      </c>
      <c r="O341" s="6">
        <v>45061</v>
      </c>
      <c r="P341" s="4"/>
      <c r="Q341" s="4" t="s">
        <v>240</v>
      </c>
      <c r="R341" s="4" t="s">
        <v>36</v>
      </c>
      <c r="S341" s="4"/>
      <c r="T341" s="4"/>
      <c r="U341" s="4"/>
      <c r="V341" s="4" t="s">
        <v>1372</v>
      </c>
      <c r="W341" s="4"/>
      <c r="X341" s="4"/>
      <c r="Y341" s="4"/>
      <c r="Z341" s="4"/>
      <c r="AA341" s="4"/>
      <c r="AB341" s="4"/>
      <c r="AC341" s="4"/>
      <c r="AD341" s="4">
        <f t="shared" si="5"/>
        <v>18</v>
      </c>
    </row>
    <row r="342" spans="1:30" ht="65.25" thickBot="1" x14ac:dyDescent="0.3">
      <c r="A342" s="3">
        <v>45047.038553240738</v>
      </c>
      <c r="B342" s="4" t="s">
        <v>234</v>
      </c>
      <c r="C342" s="4" t="s">
        <v>235</v>
      </c>
      <c r="D342" s="31" t="s">
        <v>42</v>
      </c>
      <c r="E342" s="4" t="s">
        <v>761</v>
      </c>
      <c r="F342" s="5">
        <v>621419314</v>
      </c>
      <c r="G342" s="4"/>
      <c r="H342" s="4" t="s">
        <v>244</v>
      </c>
      <c r="I342" s="5">
        <v>62</v>
      </c>
      <c r="J342" s="4" t="s">
        <v>101</v>
      </c>
      <c r="K342" s="5">
        <v>2</v>
      </c>
      <c r="L342" s="4" t="s">
        <v>402</v>
      </c>
      <c r="M342" s="4" t="s">
        <v>402</v>
      </c>
      <c r="N342" s="4" t="s">
        <v>47</v>
      </c>
      <c r="O342" s="6">
        <v>45071</v>
      </c>
      <c r="P342" s="4" t="s">
        <v>762</v>
      </c>
      <c r="Q342" s="4" t="s">
        <v>240</v>
      </c>
      <c r="R342" s="4" t="s">
        <v>36</v>
      </c>
      <c r="S342" s="4"/>
      <c r="T342" s="4"/>
      <c r="U342" s="4"/>
      <c r="V342" s="4" t="s">
        <v>1372</v>
      </c>
      <c r="W342" s="4"/>
      <c r="X342" s="4"/>
      <c r="Y342" s="4"/>
      <c r="Z342" s="4"/>
      <c r="AA342" s="4"/>
      <c r="AB342" s="4"/>
      <c r="AC342" s="4"/>
      <c r="AD342" s="4">
        <f t="shared" si="5"/>
        <v>18</v>
      </c>
    </row>
    <row r="343" spans="1:30" ht="39.75" thickBot="1" x14ac:dyDescent="0.3">
      <c r="A343" s="3">
        <v>45047.041435185187</v>
      </c>
      <c r="B343" s="4" t="s">
        <v>234</v>
      </c>
      <c r="C343" s="4" t="s">
        <v>235</v>
      </c>
      <c r="D343" s="31" t="s">
        <v>42</v>
      </c>
      <c r="E343" s="4" t="s">
        <v>763</v>
      </c>
      <c r="F343" s="5">
        <v>621419314</v>
      </c>
      <c r="G343" s="4"/>
      <c r="H343" s="4" t="s">
        <v>244</v>
      </c>
      <c r="I343" s="5">
        <v>2</v>
      </c>
      <c r="J343" s="4" t="s">
        <v>101</v>
      </c>
      <c r="K343" s="5">
        <v>2</v>
      </c>
      <c r="L343" s="4" t="s">
        <v>764</v>
      </c>
      <c r="M343" s="4" t="s">
        <v>764</v>
      </c>
      <c r="N343" s="4" t="s">
        <v>47</v>
      </c>
      <c r="O343" s="6">
        <v>45071</v>
      </c>
      <c r="P343" s="4" t="s">
        <v>765</v>
      </c>
      <c r="Q343" s="4" t="s">
        <v>240</v>
      </c>
      <c r="R343" s="4" t="s">
        <v>36</v>
      </c>
      <c r="S343" s="4"/>
      <c r="T343" s="4"/>
      <c r="U343" s="4"/>
      <c r="V343" s="4" t="s">
        <v>1372</v>
      </c>
      <c r="W343" s="4"/>
      <c r="X343" s="4"/>
      <c r="Y343" s="4"/>
      <c r="Z343" s="4"/>
      <c r="AA343" s="4"/>
      <c r="AB343" s="4"/>
      <c r="AC343" s="4"/>
      <c r="AD343" s="4">
        <f t="shared" si="5"/>
        <v>18</v>
      </c>
    </row>
    <row r="344" spans="1:30" ht="27" thickBot="1" x14ac:dyDescent="0.3">
      <c r="A344" s="3">
        <v>45047.042951388888</v>
      </c>
      <c r="B344" s="4" t="s">
        <v>234</v>
      </c>
      <c r="C344" s="4" t="s">
        <v>235</v>
      </c>
      <c r="D344" s="31" t="s">
        <v>42</v>
      </c>
      <c r="E344" s="4" t="s">
        <v>766</v>
      </c>
      <c r="F344" s="5">
        <v>628053351</v>
      </c>
      <c r="G344" s="4"/>
      <c r="H344" s="4" t="s">
        <v>244</v>
      </c>
      <c r="I344" s="5">
        <v>60</v>
      </c>
      <c r="J344" s="4" t="s">
        <v>101</v>
      </c>
      <c r="K344" s="5">
        <v>7</v>
      </c>
      <c r="L344" s="4" t="s">
        <v>767</v>
      </c>
      <c r="M344" s="4" t="s">
        <v>767</v>
      </c>
      <c r="N344" s="4" t="s">
        <v>47</v>
      </c>
      <c r="O344" s="6">
        <v>45076</v>
      </c>
      <c r="P344" s="4"/>
      <c r="Q344" s="4" t="s">
        <v>240</v>
      </c>
      <c r="R344" s="4" t="s">
        <v>36</v>
      </c>
      <c r="S344" s="4"/>
      <c r="T344" s="4"/>
      <c r="U344" s="4"/>
      <c r="V344" s="4" t="s">
        <v>1372</v>
      </c>
      <c r="W344" s="4"/>
      <c r="X344" s="4"/>
      <c r="Y344" s="4"/>
      <c r="Z344" s="4"/>
      <c r="AA344" s="4"/>
      <c r="AB344" s="4"/>
      <c r="AC344" s="4"/>
      <c r="AD344" s="4">
        <f t="shared" si="5"/>
        <v>18</v>
      </c>
    </row>
    <row r="345" spans="1:30" ht="27" thickBot="1" x14ac:dyDescent="0.3">
      <c r="A345" s="3">
        <v>45047.04482638889</v>
      </c>
      <c r="B345" s="4" t="s">
        <v>234</v>
      </c>
      <c r="C345" s="4" t="s">
        <v>235</v>
      </c>
      <c r="D345" s="31" t="s">
        <v>42</v>
      </c>
      <c r="E345" s="4" t="s">
        <v>768</v>
      </c>
      <c r="F345" s="5">
        <v>626935645</v>
      </c>
      <c r="G345" s="4"/>
      <c r="H345" s="4" t="s">
        <v>244</v>
      </c>
      <c r="I345" s="5">
        <v>60</v>
      </c>
      <c r="J345" s="4" t="s">
        <v>101</v>
      </c>
      <c r="K345" s="5">
        <v>4</v>
      </c>
      <c r="L345" s="4" t="s">
        <v>769</v>
      </c>
      <c r="M345" s="4" t="s">
        <v>770</v>
      </c>
      <c r="N345" s="4" t="s">
        <v>57</v>
      </c>
      <c r="O345" s="6">
        <v>45102</v>
      </c>
      <c r="P345" s="4"/>
      <c r="Q345" s="4" t="s">
        <v>240</v>
      </c>
      <c r="R345" s="4" t="s">
        <v>36</v>
      </c>
      <c r="S345" s="4"/>
      <c r="T345" s="4"/>
      <c r="U345" s="4"/>
      <c r="V345" s="4" t="s">
        <v>1372</v>
      </c>
      <c r="W345" s="4"/>
      <c r="X345" s="4"/>
      <c r="Y345" s="4"/>
      <c r="Z345" s="4"/>
      <c r="AA345" s="4"/>
      <c r="AB345" s="4"/>
      <c r="AC345" s="4"/>
      <c r="AD345" s="4">
        <f t="shared" si="5"/>
        <v>18</v>
      </c>
    </row>
    <row r="346" spans="1:30" ht="27" thickBot="1" x14ac:dyDescent="0.3">
      <c r="A346" s="3">
        <v>45047.047071759262</v>
      </c>
      <c r="B346" s="4" t="s">
        <v>234</v>
      </c>
      <c r="C346" s="4" t="s">
        <v>235</v>
      </c>
      <c r="D346" s="31" t="s">
        <v>42</v>
      </c>
      <c r="E346" s="4" t="s">
        <v>771</v>
      </c>
      <c r="F346" s="5">
        <v>620737815</v>
      </c>
      <c r="G346" s="4"/>
      <c r="H346" s="4" t="s">
        <v>772</v>
      </c>
      <c r="I346" s="5">
        <v>8</v>
      </c>
      <c r="J346" s="4" t="s">
        <v>101</v>
      </c>
      <c r="K346" s="5">
        <v>6</v>
      </c>
      <c r="L346" s="4" t="s">
        <v>773</v>
      </c>
      <c r="M346" s="4" t="s">
        <v>774</v>
      </c>
      <c r="N346" s="4" t="s">
        <v>47</v>
      </c>
      <c r="O346" s="6">
        <v>45071</v>
      </c>
      <c r="P346" s="4"/>
      <c r="Q346" s="4" t="s">
        <v>240</v>
      </c>
      <c r="R346" s="4" t="s">
        <v>36</v>
      </c>
      <c r="S346" s="4"/>
      <c r="T346" s="4"/>
      <c r="U346" s="4"/>
      <c r="V346" s="4" t="s">
        <v>1372</v>
      </c>
      <c r="W346" s="4"/>
      <c r="X346" s="4"/>
      <c r="Y346" s="4"/>
      <c r="Z346" s="4"/>
      <c r="AA346" s="4"/>
      <c r="AB346" s="4"/>
      <c r="AC346" s="4"/>
      <c r="AD346" s="4">
        <f t="shared" si="5"/>
        <v>18</v>
      </c>
    </row>
    <row r="347" spans="1:30" ht="27" thickBot="1" x14ac:dyDescent="0.3">
      <c r="A347" s="3">
        <v>45047.049027777779</v>
      </c>
      <c r="B347" s="4" t="s">
        <v>234</v>
      </c>
      <c r="C347" s="4" t="s">
        <v>235</v>
      </c>
      <c r="D347" s="31" t="s">
        <v>42</v>
      </c>
      <c r="E347" s="4" t="s">
        <v>775</v>
      </c>
      <c r="F347" s="5">
        <v>629220165</v>
      </c>
      <c r="G347" s="4"/>
      <c r="H347" s="4" t="s">
        <v>772</v>
      </c>
      <c r="I347" s="5">
        <v>8</v>
      </c>
      <c r="J347" s="4" t="s">
        <v>101</v>
      </c>
      <c r="K347" s="5">
        <v>2</v>
      </c>
      <c r="L347" s="4" t="s">
        <v>774</v>
      </c>
      <c r="M347" s="4" t="s">
        <v>774</v>
      </c>
      <c r="N347" s="4" t="s">
        <v>47</v>
      </c>
      <c r="O347" s="6">
        <v>45074</v>
      </c>
      <c r="P347" s="4"/>
      <c r="Q347" s="4" t="s">
        <v>240</v>
      </c>
      <c r="R347" s="4" t="s">
        <v>36</v>
      </c>
      <c r="S347" s="4"/>
      <c r="T347" s="4"/>
      <c r="U347" s="4"/>
      <c r="V347" s="4" t="s">
        <v>1372</v>
      </c>
      <c r="W347" s="4"/>
      <c r="X347" s="4"/>
      <c r="Y347" s="4"/>
      <c r="Z347" s="4"/>
      <c r="AA347" s="4"/>
      <c r="AB347" s="4"/>
      <c r="AC347" s="4"/>
      <c r="AD347" s="4">
        <f t="shared" si="5"/>
        <v>18</v>
      </c>
    </row>
    <row r="348" spans="1:30" ht="27" thickBot="1" x14ac:dyDescent="0.3">
      <c r="A348" s="3">
        <v>45047.055671296293</v>
      </c>
      <c r="B348" s="4" t="s">
        <v>234</v>
      </c>
      <c r="C348" s="4" t="s">
        <v>235</v>
      </c>
      <c r="D348" s="31" t="s">
        <v>42</v>
      </c>
      <c r="E348" s="4" t="s">
        <v>776</v>
      </c>
      <c r="F348" s="5">
        <v>620094545</v>
      </c>
      <c r="G348" s="4"/>
      <c r="H348" s="4" t="s">
        <v>777</v>
      </c>
      <c r="I348" s="5">
        <v>40</v>
      </c>
      <c r="J348" s="4" t="s">
        <v>101</v>
      </c>
      <c r="K348" s="5">
        <v>8</v>
      </c>
      <c r="L348" s="4" t="s">
        <v>778</v>
      </c>
      <c r="M348" s="4" t="s">
        <v>239</v>
      </c>
      <c r="N348" s="4" t="s">
        <v>47</v>
      </c>
      <c r="O348" s="6">
        <v>45071</v>
      </c>
      <c r="P348" s="4"/>
      <c r="Q348" s="4" t="s">
        <v>240</v>
      </c>
      <c r="R348" s="4" t="s">
        <v>36</v>
      </c>
      <c r="S348" s="4"/>
      <c r="T348" s="4"/>
      <c r="U348" s="4"/>
      <c r="V348" s="4" t="s">
        <v>1372</v>
      </c>
      <c r="W348" s="4"/>
      <c r="X348" s="4"/>
      <c r="Y348" s="4"/>
      <c r="Z348" s="4"/>
      <c r="AA348" s="4"/>
      <c r="AB348" s="4"/>
      <c r="AC348" s="4"/>
      <c r="AD348" s="4">
        <f t="shared" si="5"/>
        <v>18</v>
      </c>
    </row>
    <row r="349" spans="1:30" ht="27" thickBot="1" x14ac:dyDescent="0.3">
      <c r="A349" s="3">
        <v>45047.057939814818</v>
      </c>
      <c r="B349" s="4" t="s">
        <v>234</v>
      </c>
      <c r="C349" s="4" t="s">
        <v>235</v>
      </c>
      <c r="D349" s="31" t="s">
        <v>42</v>
      </c>
      <c r="E349" s="4" t="s">
        <v>779</v>
      </c>
      <c r="F349" s="5">
        <v>624519284</v>
      </c>
      <c r="G349" s="4"/>
      <c r="H349" s="4" t="s">
        <v>777</v>
      </c>
      <c r="I349" s="5">
        <v>40</v>
      </c>
      <c r="J349" s="4" t="s">
        <v>101</v>
      </c>
      <c r="K349" s="5">
        <v>8</v>
      </c>
      <c r="L349" s="4" t="s">
        <v>333</v>
      </c>
      <c r="M349" s="4" t="s">
        <v>333</v>
      </c>
      <c r="N349" s="4" t="s">
        <v>47</v>
      </c>
      <c r="O349" s="6">
        <v>45076</v>
      </c>
      <c r="P349" s="4"/>
      <c r="Q349" s="4" t="s">
        <v>240</v>
      </c>
      <c r="R349" s="4" t="s">
        <v>36</v>
      </c>
      <c r="S349" s="4"/>
      <c r="T349" s="4"/>
      <c r="U349" s="4"/>
      <c r="V349" s="4" t="s">
        <v>1372</v>
      </c>
      <c r="W349" s="4"/>
      <c r="X349" s="4"/>
      <c r="Y349" s="4"/>
      <c r="Z349" s="4"/>
      <c r="AA349" s="4"/>
      <c r="AB349" s="4"/>
      <c r="AC349" s="4"/>
      <c r="AD349" s="4">
        <f t="shared" si="5"/>
        <v>18</v>
      </c>
    </row>
    <row r="350" spans="1:30" ht="27" thickBot="1" x14ac:dyDescent="0.3">
      <c r="A350" s="3">
        <v>45047.060636574075</v>
      </c>
      <c r="B350" s="4" t="s">
        <v>234</v>
      </c>
      <c r="C350" s="4" t="s">
        <v>235</v>
      </c>
      <c r="D350" s="31" t="s">
        <v>42</v>
      </c>
      <c r="E350" s="4" t="s">
        <v>780</v>
      </c>
      <c r="F350" s="5">
        <v>666628786</v>
      </c>
      <c r="G350" s="4"/>
      <c r="H350" s="4" t="s">
        <v>244</v>
      </c>
      <c r="I350" s="5">
        <v>60</v>
      </c>
      <c r="J350" s="4" t="s">
        <v>101</v>
      </c>
      <c r="K350" s="5">
        <v>2</v>
      </c>
      <c r="L350" s="4" t="s">
        <v>430</v>
      </c>
      <c r="M350" s="4" t="s">
        <v>430</v>
      </c>
      <c r="N350" s="4" t="s">
        <v>47</v>
      </c>
      <c r="O350" s="6">
        <v>45076</v>
      </c>
      <c r="P350" s="4"/>
      <c r="Q350" s="4" t="s">
        <v>240</v>
      </c>
      <c r="R350" s="4" t="s">
        <v>36</v>
      </c>
      <c r="S350" s="4"/>
      <c r="T350" s="4"/>
      <c r="U350" s="4"/>
      <c r="V350" s="4" t="s">
        <v>1372</v>
      </c>
      <c r="W350" s="4"/>
      <c r="X350" s="4"/>
      <c r="Y350" s="4"/>
      <c r="Z350" s="4"/>
      <c r="AA350" s="4"/>
      <c r="AB350" s="4"/>
      <c r="AC350" s="4"/>
      <c r="AD350" s="4">
        <f t="shared" si="5"/>
        <v>18</v>
      </c>
    </row>
    <row r="351" spans="1:30" ht="27" thickBot="1" x14ac:dyDescent="0.3">
      <c r="A351" s="3">
        <v>45047.063009259262</v>
      </c>
      <c r="B351" s="4" t="s">
        <v>234</v>
      </c>
      <c r="C351" s="4" t="s">
        <v>235</v>
      </c>
      <c r="D351" s="31" t="s">
        <v>42</v>
      </c>
      <c r="E351" s="4" t="s">
        <v>781</v>
      </c>
      <c r="F351" s="5">
        <v>622452111</v>
      </c>
      <c r="G351" s="4"/>
      <c r="H351" s="4" t="s">
        <v>244</v>
      </c>
      <c r="I351" s="5">
        <v>67</v>
      </c>
      <c r="J351" s="4" t="s">
        <v>101</v>
      </c>
      <c r="K351" s="5">
        <v>6</v>
      </c>
      <c r="L351" s="4" t="s">
        <v>395</v>
      </c>
      <c r="M351" s="4" t="s">
        <v>395</v>
      </c>
      <c r="N351" s="4" t="s">
        <v>33</v>
      </c>
      <c r="O351" s="6">
        <v>45061</v>
      </c>
      <c r="P351" s="4"/>
      <c r="Q351" s="4" t="s">
        <v>240</v>
      </c>
      <c r="R351" s="4" t="s">
        <v>36</v>
      </c>
      <c r="S351" s="4"/>
      <c r="T351" s="4"/>
      <c r="U351" s="4"/>
      <c r="V351" s="4" t="s">
        <v>1372</v>
      </c>
      <c r="W351" s="4"/>
      <c r="X351" s="4"/>
      <c r="Y351" s="4"/>
      <c r="Z351" s="4"/>
      <c r="AA351" s="4"/>
      <c r="AB351" s="4"/>
      <c r="AC351" s="4"/>
      <c r="AD351" s="4">
        <f t="shared" si="5"/>
        <v>18</v>
      </c>
    </row>
    <row r="352" spans="1:30" ht="27" thickBot="1" x14ac:dyDescent="0.3">
      <c r="A352" s="3">
        <v>45047.065937500003</v>
      </c>
      <c r="B352" s="4" t="s">
        <v>234</v>
      </c>
      <c r="C352" s="4" t="s">
        <v>235</v>
      </c>
      <c r="D352" s="31" t="s">
        <v>42</v>
      </c>
      <c r="E352" s="4" t="s">
        <v>782</v>
      </c>
      <c r="F352" s="5">
        <v>628009057</v>
      </c>
      <c r="G352" s="4"/>
      <c r="H352" s="4" t="s">
        <v>777</v>
      </c>
      <c r="I352" s="5">
        <v>27</v>
      </c>
      <c r="J352" s="4" t="s">
        <v>101</v>
      </c>
      <c r="K352" s="5">
        <v>5</v>
      </c>
      <c r="L352" s="4" t="s">
        <v>783</v>
      </c>
      <c r="M352" s="4" t="s">
        <v>239</v>
      </c>
      <c r="N352" s="4" t="s">
        <v>47</v>
      </c>
      <c r="O352" s="6">
        <v>45076</v>
      </c>
      <c r="P352" s="4"/>
      <c r="Q352" s="4" t="s">
        <v>240</v>
      </c>
      <c r="R352" s="4" t="s">
        <v>36</v>
      </c>
      <c r="S352" s="4"/>
      <c r="T352" s="4"/>
      <c r="U352" s="4"/>
      <c r="V352" s="4" t="s">
        <v>1372</v>
      </c>
      <c r="W352" s="4"/>
      <c r="X352" s="4"/>
      <c r="Y352" s="4"/>
      <c r="Z352" s="4"/>
      <c r="AA352" s="4"/>
      <c r="AB352" s="4"/>
      <c r="AC352" s="4"/>
      <c r="AD352" s="4">
        <f t="shared" si="5"/>
        <v>18</v>
      </c>
    </row>
    <row r="353" spans="1:30" ht="27" thickBot="1" x14ac:dyDescent="0.3">
      <c r="A353" s="3">
        <v>45047.071736111109</v>
      </c>
      <c r="B353" s="4" t="s">
        <v>234</v>
      </c>
      <c r="C353" s="4" t="s">
        <v>235</v>
      </c>
      <c r="D353" s="31" t="s">
        <v>42</v>
      </c>
      <c r="E353" s="4" t="s">
        <v>784</v>
      </c>
      <c r="F353" s="5">
        <v>623458432</v>
      </c>
      <c r="G353" s="4"/>
      <c r="H353" s="4" t="s">
        <v>777</v>
      </c>
      <c r="I353" s="5">
        <v>35</v>
      </c>
      <c r="J353" s="4" t="s">
        <v>38</v>
      </c>
      <c r="K353" s="5">
        <v>4</v>
      </c>
      <c r="L353" s="4" t="s">
        <v>785</v>
      </c>
      <c r="M353" s="4" t="s">
        <v>786</v>
      </c>
      <c r="N353" s="4" t="s">
        <v>57</v>
      </c>
      <c r="O353" s="6">
        <v>45087</v>
      </c>
      <c r="P353" s="4"/>
      <c r="Q353" s="4" t="s">
        <v>240</v>
      </c>
      <c r="R353" s="4" t="s">
        <v>252</v>
      </c>
      <c r="S353" s="4"/>
      <c r="T353" s="4"/>
      <c r="U353" s="4"/>
      <c r="V353" s="4" t="s">
        <v>1372</v>
      </c>
      <c r="W353" s="4"/>
      <c r="X353" s="4"/>
      <c r="Y353" s="4"/>
      <c r="Z353" s="4"/>
      <c r="AA353" s="4"/>
      <c r="AB353" s="4"/>
      <c r="AC353" s="4"/>
      <c r="AD353" s="4">
        <f t="shared" si="5"/>
        <v>18</v>
      </c>
    </row>
    <row r="354" spans="1:30" ht="52.5" thickBot="1" x14ac:dyDescent="0.3">
      <c r="A354" s="3">
        <v>45047.077152777776</v>
      </c>
      <c r="B354" s="4" t="s">
        <v>234</v>
      </c>
      <c r="C354" s="4" t="s">
        <v>235</v>
      </c>
      <c r="D354" s="31" t="s">
        <v>42</v>
      </c>
      <c r="E354" s="4" t="s">
        <v>787</v>
      </c>
      <c r="F354" s="5">
        <v>620446949</v>
      </c>
      <c r="G354" s="4"/>
      <c r="H354" s="4" t="s">
        <v>777</v>
      </c>
      <c r="I354" s="5">
        <v>40</v>
      </c>
      <c r="J354" s="4" t="s">
        <v>38</v>
      </c>
      <c r="K354" s="5">
        <v>8</v>
      </c>
      <c r="L354" s="4" t="s">
        <v>786</v>
      </c>
      <c r="M354" s="4" t="s">
        <v>788</v>
      </c>
      <c r="N354" s="4" t="s">
        <v>57</v>
      </c>
      <c r="O354" s="6">
        <v>45082</v>
      </c>
      <c r="P354" s="4" t="s">
        <v>789</v>
      </c>
      <c r="Q354" s="4" t="s">
        <v>240</v>
      </c>
      <c r="R354" s="4" t="s">
        <v>252</v>
      </c>
      <c r="S354" s="4"/>
      <c r="T354" s="4"/>
      <c r="U354" s="4"/>
      <c r="V354" s="4" t="s">
        <v>1372</v>
      </c>
      <c r="W354" s="4"/>
      <c r="X354" s="4"/>
      <c r="Y354" s="4"/>
      <c r="Z354" s="4"/>
      <c r="AA354" s="4"/>
      <c r="AB354" s="4"/>
      <c r="AC354" s="4"/>
      <c r="AD354" s="4">
        <f t="shared" si="5"/>
        <v>18</v>
      </c>
    </row>
    <row r="355" spans="1:30" ht="27" thickBot="1" x14ac:dyDescent="0.3">
      <c r="A355" s="3">
        <v>45047.078958333332</v>
      </c>
      <c r="B355" s="4" t="s">
        <v>234</v>
      </c>
      <c r="C355" s="4" t="s">
        <v>235</v>
      </c>
      <c r="D355" s="31" t="s">
        <v>42</v>
      </c>
      <c r="E355" s="4" t="s">
        <v>790</v>
      </c>
      <c r="F355" s="5">
        <v>622571732</v>
      </c>
      <c r="G355" s="4"/>
      <c r="H355" s="4" t="s">
        <v>777</v>
      </c>
      <c r="I355" s="5">
        <v>25</v>
      </c>
      <c r="J355" s="4" t="s">
        <v>38</v>
      </c>
      <c r="K355" s="5">
        <v>4</v>
      </c>
      <c r="L355" s="4" t="s">
        <v>791</v>
      </c>
      <c r="M355" s="4" t="s">
        <v>792</v>
      </c>
      <c r="N355" s="4" t="s">
        <v>33</v>
      </c>
      <c r="O355" s="6">
        <v>45066</v>
      </c>
      <c r="P355" s="4"/>
      <c r="Q355" s="4" t="s">
        <v>240</v>
      </c>
      <c r="R355" s="4" t="s">
        <v>252</v>
      </c>
      <c r="S355" s="4"/>
      <c r="T355" s="4"/>
      <c r="U355" s="4"/>
      <c r="V355" s="4" t="s">
        <v>1372</v>
      </c>
      <c r="W355" s="4"/>
      <c r="X355" s="4"/>
      <c r="Y355" s="4"/>
      <c r="Z355" s="4"/>
      <c r="AA355" s="4"/>
      <c r="AB355" s="4"/>
      <c r="AC355" s="4"/>
      <c r="AD355" s="4">
        <f t="shared" si="5"/>
        <v>18</v>
      </c>
    </row>
    <row r="356" spans="1:30" ht="27" thickBot="1" x14ac:dyDescent="0.3">
      <c r="A356" s="3">
        <v>45047.081562500003</v>
      </c>
      <c r="B356" s="4" t="s">
        <v>234</v>
      </c>
      <c r="C356" s="4" t="s">
        <v>235</v>
      </c>
      <c r="D356" s="31" t="s">
        <v>42</v>
      </c>
      <c r="E356" s="4" t="s">
        <v>793</v>
      </c>
      <c r="F356" s="5">
        <v>623054766</v>
      </c>
      <c r="G356" s="4"/>
      <c r="H356" s="4" t="s">
        <v>777</v>
      </c>
      <c r="I356" s="5">
        <v>27</v>
      </c>
      <c r="J356" s="4" t="s">
        <v>38</v>
      </c>
      <c r="K356" s="5">
        <v>5</v>
      </c>
      <c r="L356" s="4" t="s">
        <v>794</v>
      </c>
      <c r="M356" s="4" t="s">
        <v>239</v>
      </c>
      <c r="N356" s="4" t="s">
        <v>57</v>
      </c>
      <c r="O356" s="6">
        <v>45087</v>
      </c>
      <c r="P356" s="4"/>
      <c r="Q356" s="4" t="s">
        <v>240</v>
      </c>
      <c r="R356" s="4" t="s">
        <v>252</v>
      </c>
      <c r="S356" s="4"/>
      <c r="T356" s="4"/>
      <c r="U356" s="4"/>
      <c r="V356" s="4" t="s">
        <v>1372</v>
      </c>
      <c r="W356" s="4"/>
      <c r="X356" s="4"/>
      <c r="Y356" s="4"/>
      <c r="Z356" s="4"/>
      <c r="AA356" s="4"/>
      <c r="AB356" s="4"/>
      <c r="AC356" s="4"/>
      <c r="AD356" s="4">
        <f t="shared" si="5"/>
        <v>18</v>
      </c>
    </row>
    <row r="357" spans="1:30" ht="27" thickBot="1" x14ac:dyDescent="0.3">
      <c r="A357" s="3">
        <v>45047.085497685184</v>
      </c>
      <c r="B357" s="4" t="s">
        <v>234</v>
      </c>
      <c r="C357" s="4" t="s">
        <v>235</v>
      </c>
      <c r="D357" s="31" t="s">
        <v>42</v>
      </c>
      <c r="E357" s="4" t="s">
        <v>795</v>
      </c>
      <c r="F357" s="5">
        <v>623286760</v>
      </c>
      <c r="G357" s="4"/>
      <c r="H357" s="4" t="s">
        <v>777</v>
      </c>
      <c r="I357" s="5">
        <v>45</v>
      </c>
      <c r="J357" s="4" t="s">
        <v>38</v>
      </c>
      <c r="K357" s="5">
        <v>4</v>
      </c>
      <c r="L357" s="4" t="s">
        <v>796</v>
      </c>
      <c r="M357" s="4" t="s">
        <v>797</v>
      </c>
      <c r="N357" s="4" t="s">
        <v>57</v>
      </c>
      <c r="O357" s="6">
        <v>45092</v>
      </c>
      <c r="P357" s="4"/>
      <c r="Q357" s="4" t="s">
        <v>240</v>
      </c>
      <c r="R357" s="4" t="s">
        <v>252</v>
      </c>
      <c r="S357" s="4"/>
      <c r="T357" s="4"/>
      <c r="U357" s="4"/>
      <c r="V357" s="4" t="s">
        <v>1372</v>
      </c>
      <c r="W357" s="4"/>
      <c r="X357" s="4"/>
      <c r="Y357" s="4"/>
      <c r="Z357" s="4"/>
      <c r="AA357" s="4"/>
      <c r="AB357" s="4"/>
      <c r="AC357" s="4"/>
      <c r="AD357" s="4">
        <f t="shared" si="5"/>
        <v>18</v>
      </c>
    </row>
    <row r="358" spans="1:30" ht="27" thickBot="1" x14ac:dyDescent="0.3">
      <c r="A358" s="3">
        <v>45047.089120370372</v>
      </c>
      <c r="B358" s="4" t="s">
        <v>234</v>
      </c>
      <c r="C358" s="4" t="s">
        <v>235</v>
      </c>
      <c r="D358" s="31" t="s">
        <v>42</v>
      </c>
      <c r="E358" s="4" t="s">
        <v>798</v>
      </c>
      <c r="F358" s="5">
        <v>622024538</v>
      </c>
      <c r="G358" s="4"/>
      <c r="H358" s="4" t="s">
        <v>777</v>
      </c>
      <c r="I358" s="5">
        <v>28</v>
      </c>
      <c r="J358" s="4" t="s">
        <v>101</v>
      </c>
      <c r="K358" s="5">
        <v>10</v>
      </c>
      <c r="L358" s="4" t="s">
        <v>799</v>
      </c>
      <c r="M358" s="4" t="s">
        <v>799</v>
      </c>
      <c r="N358" s="4" t="s">
        <v>57</v>
      </c>
      <c r="O358" s="6">
        <v>45092</v>
      </c>
      <c r="P358" s="4"/>
      <c r="Q358" s="4" t="s">
        <v>240</v>
      </c>
      <c r="R358" s="4" t="s">
        <v>36</v>
      </c>
      <c r="S358" s="4"/>
      <c r="T358" s="4"/>
      <c r="U358" s="4"/>
      <c r="V358" s="4" t="s">
        <v>1372</v>
      </c>
      <c r="W358" s="4"/>
      <c r="X358" s="4"/>
      <c r="Y358" s="4"/>
      <c r="Z358" s="4"/>
      <c r="AA358" s="4"/>
      <c r="AB358" s="4"/>
      <c r="AC358" s="4"/>
      <c r="AD358" s="4">
        <f t="shared" si="5"/>
        <v>18</v>
      </c>
    </row>
    <row r="359" spans="1:30" ht="27" thickBot="1" x14ac:dyDescent="0.3">
      <c r="A359" s="3">
        <v>45047.090937499997</v>
      </c>
      <c r="B359" s="4" t="s">
        <v>234</v>
      </c>
      <c r="C359" s="4" t="s">
        <v>235</v>
      </c>
      <c r="D359" s="31" t="s">
        <v>42</v>
      </c>
      <c r="E359" s="4" t="s">
        <v>798</v>
      </c>
      <c r="F359" s="5">
        <v>622024538</v>
      </c>
      <c r="G359" s="4"/>
      <c r="H359" s="4" t="s">
        <v>777</v>
      </c>
      <c r="I359" s="5">
        <v>28</v>
      </c>
      <c r="J359" s="4" t="s">
        <v>38</v>
      </c>
      <c r="K359" s="5">
        <v>5</v>
      </c>
      <c r="L359" s="4" t="s">
        <v>263</v>
      </c>
      <c r="M359" s="4" t="s">
        <v>263</v>
      </c>
      <c r="N359" s="4" t="s">
        <v>57</v>
      </c>
      <c r="O359" s="6">
        <v>45082</v>
      </c>
      <c r="P359" s="4"/>
      <c r="Q359" s="4" t="s">
        <v>240</v>
      </c>
      <c r="R359" s="4" t="s">
        <v>252</v>
      </c>
      <c r="S359" s="4"/>
      <c r="T359" s="4"/>
      <c r="U359" s="4"/>
      <c r="V359" s="4" t="s">
        <v>1372</v>
      </c>
      <c r="W359" s="4"/>
      <c r="X359" s="4"/>
      <c r="Y359" s="4"/>
      <c r="Z359" s="4"/>
      <c r="AA359" s="4"/>
      <c r="AB359" s="4"/>
      <c r="AC359" s="4"/>
      <c r="AD359" s="4">
        <f t="shared" si="5"/>
        <v>18</v>
      </c>
    </row>
    <row r="360" spans="1:30" ht="27" thickBot="1" x14ac:dyDescent="0.3">
      <c r="A360" s="3">
        <v>45047.096446759257</v>
      </c>
      <c r="B360" s="4" t="s">
        <v>234</v>
      </c>
      <c r="C360" s="4" t="s">
        <v>235</v>
      </c>
      <c r="D360" s="31" t="s">
        <v>42</v>
      </c>
      <c r="E360" s="4" t="s">
        <v>800</v>
      </c>
      <c r="F360" s="5">
        <v>622090310</v>
      </c>
      <c r="G360" s="4"/>
      <c r="H360" s="4" t="s">
        <v>244</v>
      </c>
      <c r="I360" s="5">
        <v>55</v>
      </c>
      <c r="J360" s="4" t="s">
        <v>101</v>
      </c>
      <c r="K360" s="5">
        <v>15</v>
      </c>
      <c r="L360" s="4" t="s">
        <v>430</v>
      </c>
      <c r="M360" s="4" t="s">
        <v>239</v>
      </c>
      <c r="N360" s="4" t="s">
        <v>47</v>
      </c>
      <c r="O360" s="6">
        <v>45082</v>
      </c>
      <c r="P360" s="4"/>
      <c r="Q360" s="4" t="s">
        <v>240</v>
      </c>
      <c r="R360" s="4" t="s">
        <v>36</v>
      </c>
      <c r="S360" s="4"/>
      <c r="T360" s="4"/>
      <c r="U360" s="4"/>
      <c r="V360" s="4" t="s">
        <v>1372</v>
      </c>
      <c r="W360" s="4"/>
      <c r="X360" s="4"/>
      <c r="Y360" s="4"/>
      <c r="Z360" s="4"/>
      <c r="AA360" s="4"/>
      <c r="AB360" s="4"/>
      <c r="AC360" s="4"/>
      <c r="AD360" s="4">
        <f t="shared" si="5"/>
        <v>18</v>
      </c>
    </row>
    <row r="361" spans="1:30" ht="27" thickBot="1" x14ac:dyDescent="0.3">
      <c r="A361" s="3">
        <v>45047.099421296298</v>
      </c>
      <c r="B361" s="4" t="s">
        <v>234</v>
      </c>
      <c r="C361" s="4" t="s">
        <v>235</v>
      </c>
      <c r="D361" s="31" t="s">
        <v>42</v>
      </c>
      <c r="E361" s="4" t="s">
        <v>801</v>
      </c>
      <c r="F361" s="5">
        <v>622121313</v>
      </c>
      <c r="G361" s="4"/>
      <c r="H361" s="4" t="s">
        <v>244</v>
      </c>
      <c r="I361" s="5">
        <v>60</v>
      </c>
      <c r="J361" s="4" t="s">
        <v>101</v>
      </c>
      <c r="K361" s="5">
        <v>5</v>
      </c>
      <c r="L361" s="4" t="s">
        <v>314</v>
      </c>
      <c r="M361" s="4" t="s">
        <v>314</v>
      </c>
      <c r="N361" s="4" t="s">
        <v>47</v>
      </c>
      <c r="O361" s="6">
        <v>45082</v>
      </c>
      <c r="P361" s="4"/>
      <c r="Q361" s="4" t="s">
        <v>240</v>
      </c>
      <c r="R361" s="4" t="s">
        <v>36</v>
      </c>
      <c r="S361" s="4"/>
      <c r="T361" s="4"/>
      <c r="U361" s="4"/>
      <c r="V361" s="4" t="s">
        <v>1372</v>
      </c>
      <c r="W361" s="4"/>
      <c r="X361" s="4"/>
      <c r="Y361" s="4"/>
      <c r="Z361" s="4"/>
      <c r="AA361" s="4"/>
      <c r="AB361" s="4"/>
      <c r="AC361" s="4"/>
      <c r="AD361" s="4">
        <f t="shared" si="5"/>
        <v>18</v>
      </c>
    </row>
    <row r="362" spans="1:30" ht="27" thickBot="1" x14ac:dyDescent="0.3">
      <c r="A362" s="3">
        <v>45047.101990740739</v>
      </c>
      <c r="B362" s="4" t="s">
        <v>234</v>
      </c>
      <c r="C362" s="4" t="s">
        <v>235</v>
      </c>
      <c r="D362" s="31" t="s">
        <v>42</v>
      </c>
      <c r="E362" s="4" t="s">
        <v>802</v>
      </c>
      <c r="F362" s="5">
        <v>621628802</v>
      </c>
      <c r="G362" s="4"/>
      <c r="H362" s="4" t="s">
        <v>244</v>
      </c>
      <c r="I362" s="5">
        <v>60</v>
      </c>
      <c r="J362" s="4" t="s">
        <v>101</v>
      </c>
      <c r="K362" s="5">
        <v>10</v>
      </c>
      <c r="L362" s="4" t="s">
        <v>395</v>
      </c>
      <c r="M362" s="4" t="s">
        <v>395</v>
      </c>
      <c r="N362" s="4" t="s">
        <v>33</v>
      </c>
      <c r="O362" s="6">
        <v>45066</v>
      </c>
      <c r="P362" s="4"/>
      <c r="Q362" s="4" t="s">
        <v>240</v>
      </c>
      <c r="R362" s="4" t="s">
        <v>36</v>
      </c>
      <c r="S362" s="4"/>
      <c r="T362" s="4"/>
      <c r="U362" s="4"/>
      <c r="V362" s="4" t="s">
        <v>1372</v>
      </c>
      <c r="W362" s="4"/>
      <c r="X362" s="4"/>
      <c r="Y362" s="4"/>
      <c r="Z362" s="4"/>
      <c r="AA362" s="4"/>
      <c r="AB362" s="4"/>
      <c r="AC362" s="4"/>
      <c r="AD362" s="4">
        <f t="shared" si="5"/>
        <v>18</v>
      </c>
    </row>
    <row r="363" spans="1:30" ht="27" thickBot="1" x14ac:dyDescent="0.3">
      <c r="A363" s="3">
        <v>45047.105590277781</v>
      </c>
      <c r="B363" s="4" t="s">
        <v>234</v>
      </c>
      <c r="C363" s="4" t="s">
        <v>235</v>
      </c>
      <c r="D363" s="31" t="s">
        <v>27</v>
      </c>
      <c r="E363" s="4" t="s">
        <v>803</v>
      </c>
      <c r="F363" s="5">
        <v>628963527</v>
      </c>
      <c r="G363" s="4"/>
      <c r="H363" s="4" t="s">
        <v>237</v>
      </c>
      <c r="I363" s="5">
        <v>85</v>
      </c>
      <c r="J363" s="4" t="s">
        <v>101</v>
      </c>
      <c r="K363" s="5">
        <v>10</v>
      </c>
      <c r="L363" s="4" t="s">
        <v>804</v>
      </c>
      <c r="M363" s="4" t="s">
        <v>804</v>
      </c>
      <c r="N363" s="4" t="s">
        <v>47</v>
      </c>
      <c r="O363" s="6">
        <v>45066</v>
      </c>
      <c r="P363" s="4"/>
      <c r="Q363" s="4" t="s">
        <v>240</v>
      </c>
      <c r="R363" s="4" t="s">
        <v>36</v>
      </c>
      <c r="S363" s="4"/>
      <c r="T363" s="4"/>
      <c r="U363" s="4"/>
      <c r="V363" s="4" t="s">
        <v>1372</v>
      </c>
      <c r="W363" s="4"/>
      <c r="X363" s="4"/>
      <c r="Y363" s="4"/>
      <c r="Z363" s="4"/>
      <c r="AA363" s="4"/>
      <c r="AB363" s="4"/>
      <c r="AC363" s="4"/>
      <c r="AD363" s="4">
        <f t="shared" si="5"/>
        <v>18</v>
      </c>
    </row>
    <row r="364" spans="1:30" ht="27" thickBot="1" x14ac:dyDescent="0.3">
      <c r="A364" s="3">
        <v>45047.110405092593</v>
      </c>
      <c r="B364" s="4" t="s">
        <v>234</v>
      </c>
      <c r="C364" s="4" t="s">
        <v>235</v>
      </c>
      <c r="D364" s="31" t="s">
        <v>42</v>
      </c>
      <c r="E364" s="4" t="s">
        <v>805</v>
      </c>
      <c r="F364" s="5">
        <v>623735598</v>
      </c>
      <c r="G364" s="4"/>
      <c r="H364" s="4" t="s">
        <v>777</v>
      </c>
      <c r="I364" s="5">
        <v>40</v>
      </c>
      <c r="J364" s="4" t="s">
        <v>101</v>
      </c>
      <c r="K364" s="5">
        <v>8</v>
      </c>
      <c r="L364" s="4" t="s">
        <v>430</v>
      </c>
      <c r="M364" s="4" t="s">
        <v>430</v>
      </c>
      <c r="N364" s="4" t="s">
        <v>47</v>
      </c>
      <c r="O364" s="6">
        <v>45066</v>
      </c>
      <c r="P364" s="4"/>
      <c r="Q364" s="4" t="s">
        <v>240</v>
      </c>
      <c r="R364" s="4" t="s">
        <v>36</v>
      </c>
      <c r="S364" s="4"/>
      <c r="T364" s="4"/>
      <c r="U364" s="4"/>
      <c r="V364" s="4" t="s">
        <v>1372</v>
      </c>
      <c r="W364" s="4"/>
      <c r="X364" s="4"/>
      <c r="Y364" s="4"/>
      <c r="Z364" s="4"/>
      <c r="AA364" s="4"/>
      <c r="AB364" s="4"/>
      <c r="AC364" s="4"/>
      <c r="AD364" s="4">
        <f t="shared" si="5"/>
        <v>18</v>
      </c>
    </row>
    <row r="365" spans="1:30" ht="27" thickBot="1" x14ac:dyDescent="0.3">
      <c r="A365" s="3">
        <v>45047.278784722221</v>
      </c>
      <c r="B365" s="4" t="s">
        <v>253</v>
      </c>
      <c r="C365" s="4" t="s">
        <v>633</v>
      </c>
      <c r="D365" s="31" t="s">
        <v>42</v>
      </c>
      <c r="E365" s="4" t="s">
        <v>806</v>
      </c>
      <c r="F365" s="5">
        <v>628312183</v>
      </c>
      <c r="G365" s="4"/>
      <c r="H365" s="4" t="s">
        <v>482</v>
      </c>
      <c r="I365" s="5">
        <v>40</v>
      </c>
      <c r="J365" s="4" t="s">
        <v>38</v>
      </c>
      <c r="K365" s="5">
        <v>10</v>
      </c>
      <c r="L365" s="4" t="s">
        <v>50</v>
      </c>
      <c r="M365" s="4" t="s">
        <v>36</v>
      </c>
      <c r="N365" s="4" t="s">
        <v>47</v>
      </c>
      <c r="O365" s="6">
        <v>45047</v>
      </c>
      <c r="P365" s="4"/>
      <c r="Q365" s="4" t="s">
        <v>636</v>
      </c>
      <c r="R365" s="4" t="s">
        <v>36</v>
      </c>
      <c r="S365" s="4" t="s">
        <v>59</v>
      </c>
      <c r="T365" s="5">
        <v>10</v>
      </c>
      <c r="U365" s="6">
        <v>45048</v>
      </c>
      <c r="V365" s="4" t="s">
        <v>1352</v>
      </c>
      <c r="W365" s="4" t="s">
        <v>807</v>
      </c>
      <c r="X365" s="4"/>
      <c r="Y365" s="4"/>
      <c r="Z365" s="4"/>
      <c r="AA365" s="4"/>
      <c r="AB365" s="4"/>
      <c r="AC365" s="4"/>
      <c r="AD365" s="4">
        <f t="shared" si="5"/>
        <v>18</v>
      </c>
    </row>
    <row r="366" spans="1:30" ht="27" thickBot="1" x14ac:dyDescent="0.3">
      <c r="A366" s="3">
        <v>45047.291620370372</v>
      </c>
      <c r="B366" s="4" t="s">
        <v>253</v>
      </c>
      <c r="C366" s="4" t="s">
        <v>633</v>
      </c>
      <c r="D366" s="31" t="s">
        <v>42</v>
      </c>
      <c r="E366" s="4" t="s">
        <v>753</v>
      </c>
      <c r="F366" s="5">
        <v>628387931</v>
      </c>
      <c r="G366" s="4"/>
      <c r="H366" s="4" t="s">
        <v>482</v>
      </c>
      <c r="I366" s="5">
        <v>10</v>
      </c>
      <c r="J366" s="4" t="s">
        <v>38</v>
      </c>
      <c r="K366" s="5">
        <v>2</v>
      </c>
      <c r="L366" s="4" t="s">
        <v>808</v>
      </c>
      <c r="M366" s="4" t="s">
        <v>36</v>
      </c>
      <c r="N366" s="4" t="s">
        <v>57</v>
      </c>
      <c r="O366" s="6">
        <v>45047</v>
      </c>
      <c r="P366" s="4"/>
      <c r="Q366" s="4" t="s">
        <v>636</v>
      </c>
      <c r="R366" s="4" t="s">
        <v>36</v>
      </c>
      <c r="S366" s="4" t="s">
        <v>59</v>
      </c>
      <c r="T366" s="5">
        <v>2</v>
      </c>
      <c r="U366" s="6">
        <v>45048</v>
      </c>
      <c r="V366" s="4" t="s">
        <v>1352</v>
      </c>
      <c r="W366" s="4" t="s">
        <v>809</v>
      </c>
      <c r="X366" s="4"/>
      <c r="Y366" s="4"/>
      <c r="Z366" s="4"/>
      <c r="AA366" s="4"/>
      <c r="AB366" s="4"/>
      <c r="AC366" s="4"/>
      <c r="AD366" s="4">
        <f t="shared" si="5"/>
        <v>18</v>
      </c>
    </row>
    <row r="367" spans="1:30" ht="27" thickBot="1" x14ac:dyDescent="0.3">
      <c r="A367" s="3">
        <v>45047.526122685187</v>
      </c>
      <c r="B367" s="4" t="s">
        <v>241</v>
      </c>
      <c r="C367" s="4" t="s">
        <v>606</v>
      </c>
      <c r="D367" s="31" t="s">
        <v>27</v>
      </c>
      <c r="E367" s="4" t="s">
        <v>810</v>
      </c>
      <c r="F367" s="5">
        <v>622236829</v>
      </c>
      <c r="G367" s="4"/>
      <c r="H367" s="4" t="s">
        <v>610</v>
      </c>
      <c r="I367" s="5">
        <v>10</v>
      </c>
      <c r="J367" s="4" t="s">
        <v>38</v>
      </c>
      <c r="K367" s="5">
        <v>75</v>
      </c>
      <c r="L367" s="4" t="s">
        <v>731</v>
      </c>
      <c r="M367" s="4" t="s">
        <v>717</v>
      </c>
      <c r="N367" s="4" t="s">
        <v>33</v>
      </c>
      <c r="O367" s="6">
        <v>45052</v>
      </c>
      <c r="P367" s="4" t="s">
        <v>706</v>
      </c>
      <c r="Q367" s="4" t="s">
        <v>247</v>
      </c>
      <c r="R367" s="4" t="s">
        <v>36</v>
      </c>
      <c r="S367" s="4"/>
      <c r="T367" s="4"/>
      <c r="U367" s="4"/>
      <c r="V367" s="4" t="s">
        <v>1372</v>
      </c>
      <c r="W367" s="4"/>
      <c r="X367" s="4"/>
      <c r="Y367" s="4"/>
      <c r="Z367" s="4"/>
      <c r="AA367" s="4"/>
      <c r="AB367" s="4"/>
      <c r="AC367" s="4"/>
      <c r="AD367" s="4">
        <f t="shared" si="5"/>
        <v>18</v>
      </c>
    </row>
    <row r="368" spans="1:30" ht="27" thickBot="1" x14ac:dyDescent="0.3">
      <c r="A368" s="3">
        <v>45047.529016203705</v>
      </c>
      <c r="B368" s="4" t="s">
        <v>241</v>
      </c>
      <c r="C368" s="4" t="s">
        <v>606</v>
      </c>
      <c r="D368" s="31" t="s">
        <v>27</v>
      </c>
      <c r="E368" s="4" t="s">
        <v>811</v>
      </c>
      <c r="F368" s="5">
        <v>621763507</v>
      </c>
      <c r="G368" s="4"/>
      <c r="H368" s="4" t="s">
        <v>610</v>
      </c>
      <c r="I368" s="5">
        <v>9</v>
      </c>
      <c r="J368" s="4" t="s">
        <v>101</v>
      </c>
      <c r="K368" s="5">
        <v>25</v>
      </c>
      <c r="L368" s="4" t="s">
        <v>812</v>
      </c>
      <c r="M368" s="4" t="s">
        <v>723</v>
      </c>
      <c r="N368" s="4" t="s">
        <v>47</v>
      </c>
      <c r="O368" s="6">
        <v>45075</v>
      </c>
      <c r="P368" s="4" t="s">
        <v>706</v>
      </c>
      <c r="Q368" s="4" t="s">
        <v>247</v>
      </c>
      <c r="R368" s="4" t="s">
        <v>36</v>
      </c>
      <c r="S368" s="4"/>
      <c r="T368" s="4"/>
      <c r="U368" s="4"/>
      <c r="V368" s="4" t="s">
        <v>1372</v>
      </c>
      <c r="W368" s="4"/>
      <c r="X368" s="4"/>
      <c r="Y368" s="4"/>
      <c r="Z368" s="4"/>
      <c r="AA368" s="4"/>
      <c r="AB368" s="4"/>
      <c r="AC368" s="4"/>
      <c r="AD368" s="4">
        <f t="shared" si="5"/>
        <v>18</v>
      </c>
    </row>
    <row r="369" spans="1:30" ht="27" thickBot="1" x14ac:dyDescent="0.3">
      <c r="A369" s="3">
        <v>45047.58221064815</v>
      </c>
      <c r="B369" s="4" t="s">
        <v>241</v>
      </c>
      <c r="C369" s="4" t="s">
        <v>606</v>
      </c>
      <c r="D369" s="31" t="s">
        <v>42</v>
      </c>
      <c r="E369" s="4" t="s">
        <v>813</v>
      </c>
      <c r="F369" s="5">
        <v>620840423</v>
      </c>
      <c r="G369" s="4"/>
      <c r="H369" s="4" t="s">
        <v>610</v>
      </c>
      <c r="I369" s="5">
        <v>12</v>
      </c>
      <c r="J369" s="4" t="s">
        <v>38</v>
      </c>
      <c r="K369" s="5">
        <v>7</v>
      </c>
      <c r="L369" s="4" t="s">
        <v>729</v>
      </c>
      <c r="M369" s="4" t="s">
        <v>729</v>
      </c>
      <c r="N369" s="4" t="s">
        <v>33</v>
      </c>
      <c r="O369" s="6">
        <v>45092</v>
      </c>
      <c r="P369" s="4" t="s">
        <v>706</v>
      </c>
      <c r="Q369" s="4" t="s">
        <v>247</v>
      </c>
      <c r="R369" s="4" t="s">
        <v>36</v>
      </c>
      <c r="S369" s="4"/>
      <c r="T369" s="4"/>
      <c r="U369" s="4"/>
      <c r="V369" s="4" t="s">
        <v>1372</v>
      </c>
      <c r="W369" s="4"/>
      <c r="X369" s="4"/>
      <c r="Y369" s="4"/>
      <c r="Z369" s="4"/>
      <c r="AA369" s="4"/>
      <c r="AB369" s="4"/>
      <c r="AC369" s="4"/>
      <c r="AD369" s="4">
        <f t="shared" si="5"/>
        <v>18</v>
      </c>
    </row>
    <row r="370" spans="1:30" ht="27" thickBot="1" x14ac:dyDescent="0.3">
      <c r="A370" s="3">
        <v>45047.596759259257</v>
      </c>
      <c r="B370" s="4" t="s">
        <v>241</v>
      </c>
      <c r="C370" s="4" t="s">
        <v>606</v>
      </c>
      <c r="D370" s="31" t="s">
        <v>27</v>
      </c>
      <c r="E370" s="4" t="s">
        <v>814</v>
      </c>
      <c r="F370" s="5">
        <v>620092773</v>
      </c>
      <c r="G370" s="4"/>
      <c r="H370" s="4" t="s">
        <v>719</v>
      </c>
      <c r="I370" s="5">
        <v>13</v>
      </c>
      <c r="J370" s="4" t="s">
        <v>101</v>
      </c>
      <c r="K370" s="5">
        <v>136</v>
      </c>
      <c r="L370" s="4" t="s">
        <v>704</v>
      </c>
      <c r="M370" s="4" t="s">
        <v>717</v>
      </c>
      <c r="N370" s="4" t="s">
        <v>33</v>
      </c>
      <c r="O370" s="6">
        <v>45082</v>
      </c>
      <c r="P370" s="4" t="s">
        <v>713</v>
      </c>
      <c r="Q370" s="4" t="s">
        <v>247</v>
      </c>
      <c r="R370" s="4" t="s">
        <v>36</v>
      </c>
      <c r="S370" s="4"/>
      <c r="T370" s="4"/>
      <c r="U370" s="4"/>
      <c r="V370" s="4" t="s">
        <v>1372</v>
      </c>
      <c r="W370" s="4"/>
      <c r="X370" s="4"/>
      <c r="Y370" s="4"/>
      <c r="Z370" s="4"/>
      <c r="AA370" s="4"/>
      <c r="AB370" s="4"/>
      <c r="AC370" s="4"/>
      <c r="AD370" s="4">
        <f t="shared" si="5"/>
        <v>18</v>
      </c>
    </row>
    <row r="371" spans="1:30" ht="39.75" thickBot="1" x14ac:dyDescent="0.3">
      <c r="A371" s="3">
        <v>45047.599398148152</v>
      </c>
      <c r="B371" s="4" t="s">
        <v>241</v>
      </c>
      <c r="C371" s="4" t="s">
        <v>606</v>
      </c>
      <c r="D371" s="31" t="s">
        <v>27</v>
      </c>
      <c r="E371" s="4" t="s">
        <v>815</v>
      </c>
      <c r="F371" s="5">
        <v>620142864</v>
      </c>
      <c r="G371" s="4"/>
      <c r="H371" s="4" t="s">
        <v>719</v>
      </c>
      <c r="I371" s="5">
        <v>13</v>
      </c>
      <c r="J371" s="4" t="s">
        <v>101</v>
      </c>
      <c r="K371" s="5">
        <v>25</v>
      </c>
      <c r="L371" s="4" t="s">
        <v>816</v>
      </c>
      <c r="M371" s="4" t="s">
        <v>817</v>
      </c>
      <c r="N371" s="4" t="s">
        <v>57</v>
      </c>
      <c r="O371" s="6">
        <v>45122</v>
      </c>
      <c r="P371" s="4" t="s">
        <v>713</v>
      </c>
      <c r="Q371" s="4" t="s">
        <v>247</v>
      </c>
      <c r="R371" s="4" t="s">
        <v>36</v>
      </c>
      <c r="S371" s="4"/>
      <c r="T371" s="4"/>
      <c r="U371" s="4"/>
      <c r="V371" s="4" t="s">
        <v>1372</v>
      </c>
      <c r="W371" s="4"/>
      <c r="X371" s="4"/>
      <c r="Y371" s="4"/>
      <c r="Z371" s="4"/>
      <c r="AA371" s="4"/>
      <c r="AB371" s="4"/>
      <c r="AC371" s="4"/>
      <c r="AD371" s="4">
        <f t="shared" si="5"/>
        <v>18</v>
      </c>
    </row>
    <row r="372" spans="1:30" ht="27" thickBot="1" x14ac:dyDescent="0.3">
      <c r="A372" s="3">
        <v>45047.601539351854</v>
      </c>
      <c r="B372" s="4" t="s">
        <v>241</v>
      </c>
      <c r="C372" s="4" t="s">
        <v>606</v>
      </c>
      <c r="D372" s="31" t="s">
        <v>27</v>
      </c>
      <c r="E372" s="4" t="s">
        <v>818</v>
      </c>
      <c r="F372" s="5">
        <v>628455659</v>
      </c>
      <c r="G372" s="4"/>
      <c r="H372" s="4" t="s">
        <v>719</v>
      </c>
      <c r="I372" s="5">
        <v>14</v>
      </c>
      <c r="J372" s="4" t="s">
        <v>101</v>
      </c>
      <c r="K372" s="5">
        <v>38</v>
      </c>
      <c r="L372" s="4" t="s">
        <v>323</v>
      </c>
      <c r="M372" s="4" t="s">
        <v>93</v>
      </c>
      <c r="N372" s="4" t="s">
        <v>33</v>
      </c>
      <c r="O372" s="6">
        <v>45078</v>
      </c>
      <c r="P372" s="4" t="s">
        <v>713</v>
      </c>
      <c r="Q372" s="4" t="s">
        <v>247</v>
      </c>
      <c r="R372" s="4" t="s">
        <v>36</v>
      </c>
      <c r="S372" s="4"/>
      <c r="T372" s="4"/>
      <c r="U372" s="4"/>
      <c r="V372" s="4" t="s">
        <v>1372</v>
      </c>
      <c r="W372" s="4"/>
      <c r="X372" s="4"/>
      <c r="Y372" s="4"/>
      <c r="Z372" s="4"/>
      <c r="AA372" s="4"/>
      <c r="AB372" s="4"/>
      <c r="AC372" s="4"/>
      <c r="AD372" s="4">
        <f t="shared" si="5"/>
        <v>18</v>
      </c>
    </row>
    <row r="373" spans="1:30" ht="27" thickBot="1" x14ac:dyDescent="0.3">
      <c r="A373" s="3">
        <v>45047.604317129626</v>
      </c>
      <c r="B373" s="4" t="s">
        <v>241</v>
      </c>
      <c r="C373" s="4" t="s">
        <v>606</v>
      </c>
      <c r="D373" s="31" t="s">
        <v>27</v>
      </c>
      <c r="E373" s="4" t="s">
        <v>819</v>
      </c>
      <c r="F373" s="5">
        <v>628121348</v>
      </c>
      <c r="G373" s="4"/>
      <c r="H373" s="4" t="s">
        <v>610</v>
      </c>
      <c r="I373" s="5">
        <v>15</v>
      </c>
      <c r="J373" s="4" t="s">
        <v>38</v>
      </c>
      <c r="K373" s="5">
        <v>75</v>
      </c>
      <c r="L373" s="4" t="s">
        <v>820</v>
      </c>
      <c r="M373" s="4" t="s">
        <v>821</v>
      </c>
      <c r="N373" s="4" t="s">
        <v>90</v>
      </c>
      <c r="O373" s="6">
        <v>45056</v>
      </c>
      <c r="P373" s="4" t="s">
        <v>706</v>
      </c>
      <c r="Q373" s="4" t="s">
        <v>247</v>
      </c>
      <c r="R373" s="4" t="s">
        <v>36</v>
      </c>
      <c r="S373" s="4"/>
      <c r="T373" s="4"/>
      <c r="U373" s="4"/>
      <c r="V373" s="4" t="s">
        <v>1372</v>
      </c>
      <c r="W373" s="4"/>
      <c r="X373" s="4"/>
      <c r="Y373" s="4"/>
      <c r="Z373" s="4"/>
      <c r="AA373" s="4"/>
      <c r="AB373" s="4"/>
      <c r="AC373" s="4"/>
      <c r="AD373" s="4">
        <f t="shared" si="5"/>
        <v>18</v>
      </c>
    </row>
    <row r="374" spans="1:30" ht="27" thickBot="1" x14ac:dyDescent="0.3">
      <c r="A374" s="3">
        <v>45047.610034722224</v>
      </c>
      <c r="B374" s="4" t="s">
        <v>241</v>
      </c>
      <c r="C374" s="4" t="s">
        <v>606</v>
      </c>
      <c r="D374" s="31" t="s">
        <v>27</v>
      </c>
      <c r="E374" s="4" t="s">
        <v>822</v>
      </c>
      <c r="F374" s="5">
        <v>623163986</v>
      </c>
      <c r="G374" s="4"/>
      <c r="H374" s="4" t="s">
        <v>610</v>
      </c>
      <c r="I374" s="5">
        <v>12</v>
      </c>
      <c r="J374" s="4" t="s">
        <v>38</v>
      </c>
      <c r="K374" s="5">
        <v>225</v>
      </c>
      <c r="L374" s="4" t="s">
        <v>823</v>
      </c>
      <c r="M374" s="4" t="s">
        <v>729</v>
      </c>
      <c r="N374" s="4" t="s">
        <v>33</v>
      </c>
      <c r="O374" s="6">
        <v>45082</v>
      </c>
      <c r="P374" s="4" t="s">
        <v>706</v>
      </c>
      <c r="Q374" s="4" t="s">
        <v>247</v>
      </c>
      <c r="R374" s="4" t="s">
        <v>36</v>
      </c>
      <c r="S374" s="4"/>
      <c r="T374" s="4"/>
      <c r="U374" s="4"/>
      <c r="V374" s="4" t="s">
        <v>1372</v>
      </c>
      <c r="W374" s="4"/>
      <c r="X374" s="4"/>
      <c r="Y374" s="4"/>
      <c r="Z374" s="4"/>
      <c r="AA374" s="4"/>
      <c r="AB374" s="4"/>
      <c r="AC374" s="4"/>
      <c r="AD374" s="4">
        <f t="shared" si="5"/>
        <v>18</v>
      </c>
    </row>
    <row r="375" spans="1:30" ht="39.75" thickBot="1" x14ac:dyDescent="0.3">
      <c r="A375" s="3">
        <v>45047.623796296299</v>
      </c>
      <c r="B375" s="4" t="s">
        <v>241</v>
      </c>
      <c r="C375" s="4" t="s">
        <v>606</v>
      </c>
      <c r="D375" s="31" t="s">
        <v>27</v>
      </c>
      <c r="E375" s="4" t="s">
        <v>824</v>
      </c>
      <c r="F375" s="5">
        <v>628940254</v>
      </c>
      <c r="G375" s="4"/>
      <c r="H375" s="4" t="s">
        <v>825</v>
      </c>
      <c r="I375" s="5">
        <v>78</v>
      </c>
      <c r="J375" s="4" t="s">
        <v>101</v>
      </c>
      <c r="K375" s="5">
        <v>65</v>
      </c>
      <c r="L375" s="4" t="s">
        <v>826</v>
      </c>
      <c r="M375" s="4" t="s">
        <v>147</v>
      </c>
      <c r="N375" s="4" t="s">
        <v>47</v>
      </c>
      <c r="O375" s="6">
        <v>45092</v>
      </c>
      <c r="P375" s="4" t="s">
        <v>706</v>
      </c>
      <c r="Q375" s="4" t="s">
        <v>247</v>
      </c>
      <c r="R375" s="4" t="s">
        <v>36</v>
      </c>
      <c r="S375" s="4"/>
      <c r="T375" s="4"/>
      <c r="U375" s="4"/>
      <c r="V375" s="4" t="s">
        <v>1372</v>
      </c>
      <c r="W375" s="4"/>
      <c r="X375" s="4"/>
      <c r="Y375" s="4"/>
      <c r="Z375" s="4"/>
      <c r="AA375" s="4"/>
      <c r="AB375" s="4"/>
      <c r="AC375" s="4"/>
      <c r="AD375" s="4">
        <f t="shared" si="5"/>
        <v>18</v>
      </c>
    </row>
    <row r="376" spans="1:30" ht="27" thickBot="1" x14ac:dyDescent="0.3">
      <c r="A376" s="3">
        <v>45047.625937500001</v>
      </c>
      <c r="B376" s="4" t="s">
        <v>241</v>
      </c>
      <c r="C376" s="4" t="s">
        <v>606</v>
      </c>
      <c r="D376" s="31" t="s">
        <v>42</v>
      </c>
      <c r="E376" s="4" t="s">
        <v>693</v>
      </c>
      <c r="F376" s="5">
        <v>628981800</v>
      </c>
      <c r="G376" s="4"/>
      <c r="H376" s="4" t="s">
        <v>825</v>
      </c>
      <c r="I376" s="5">
        <v>82</v>
      </c>
      <c r="J376" s="4" t="s">
        <v>101</v>
      </c>
      <c r="K376" s="5">
        <v>30</v>
      </c>
      <c r="L376" s="4" t="s">
        <v>723</v>
      </c>
      <c r="M376" s="4" t="s">
        <v>723</v>
      </c>
      <c r="N376" s="4" t="s">
        <v>47</v>
      </c>
      <c r="O376" s="6">
        <v>45087</v>
      </c>
      <c r="P376" s="4" t="s">
        <v>713</v>
      </c>
      <c r="Q376" s="4" t="s">
        <v>247</v>
      </c>
      <c r="R376" s="4" t="s">
        <v>36</v>
      </c>
      <c r="S376" s="4"/>
      <c r="T376" s="4"/>
      <c r="U376" s="4"/>
      <c r="V376" s="4" t="s">
        <v>1372</v>
      </c>
      <c r="W376" s="4"/>
      <c r="X376" s="4"/>
      <c r="Y376" s="4"/>
      <c r="Z376" s="4"/>
      <c r="AA376" s="4"/>
      <c r="AB376" s="4"/>
      <c r="AC376" s="4"/>
      <c r="AD376" s="4">
        <f t="shared" si="5"/>
        <v>18</v>
      </c>
    </row>
    <row r="377" spans="1:30" ht="27" thickBot="1" x14ac:dyDescent="0.3">
      <c r="A377" s="3">
        <v>45047.629918981482</v>
      </c>
      <c r="B377" s="4" t="s">
        <v>241</v>
      </c>
      <c r="C377" s="4" t="s">
        <v>606</v>
      </c>
      <c r="D377" s="31" t="s">
        <v>42</v>
      </c>
      <c r="E377" s="4" t="s">
        <v>827</v>
      </c>
      <c r="F377" s="5">
        <v>628935045</v>
      </c>
      <c r="G377" s="4"/>
      <c r="H377" s="4" t="s">
        <v>825</v>
      </c>
      <c r="I377" s="5">
        <v>85</v>
      </c>
      <c r="J377" s="4" t="s">
        <v>101</v>
      </c>
      <c r="K377" s="5">
        <v>25</v>
      </c>
      <c r="L377" s="4" t="s">
        <v>828</v>
      </c>
      <c r="M377" s="4" t="s">
        <v>147</v>
      </c>
      <c r="N377" s="4" t="s">
        <v>47</v>
      </c>
      <c r="O377" s="6">
        <v>45080</v>
      </c>
      <c r="P377" s="4" t="s">
        <v>706</v>
      </c>
      <c r="Q377" s="4" t="s">
        <v>247</v>
      </c>
      <c r="R377" s="4" t="s">
        <v>36</v>
      </c>
      <c r="S377" s="4"/>
      <c r="T377" s="4"/>
      <c r="U377" s="4"/>
      <c r="V377" s="4" t="s">
        <v>1372</v>
      </c>
      <c r="W377" s="4"/>
      <c r="X377" s="4"/>
      <c r="Y377" s="4"/>
      <c r="Z377" s="4"/>
      <c r="AA377" s="4"/>
      <c r="AB377" s="4"/>
      <c r="AC377" s="4"/>
      <c r="AD377" s="4">
        <f t="shared" si="5"/>
        <v>18</v>
      </c>
    </row>
    <row r="378" spans="1:30" ht="27" thickBot="1" x14ac:dyDescent="0.3">
      <c r="A378" s="3">
        <v>45047.93178240741</v>
      </c>
      <c r="B378" s="4" t="s">
        <v>241</v>
      </c>
      <c r="C378" s="4" t="s">
        <v>606</v>
      </c>
      <c r="D378" s="31" t="s">
        <v>42</v>
      </c>
      <c r="E378" s="4" t="s">
        <v>829</v>
      </c>
      <c r="F378" s="5">
        <v>622960951</v>
      </c>
      <c r="G378" s="4"/>
      <c r="H378" s="4" t="s">
        <v>825</v>
      </c>
      <c r="I378" s="5">
        <v>80</v>
      </c>
      <c r="J378" s="4" t="s">
        <v>101</v>
      </c>
      <c r="K378" s="5">
        <v>20</v>
      </c>
      <c r="L378" s="4" t="s">
        <v>830</v>
      </c>
      <c r="M378" s="4" t="s">
        <v>147</v>
      </c>
      <c r="N378" s="4" t="s">
        <v>47</v>
      </c>
      <c r="O378" s="6">
        <v>45077</v>
      </c>
      <c r="P378" s="4" t="s">
        <v>706</v>
      </c>
      <c r="Q378" s="4" t="s">
        <v>247</v>
      </c>
      <c r="R378" s="4" t="s">
        <v>36</v>
      </c>
      <c r="S378" s="4"/>
      <c r="T378" s="4"/>
      <c r="U378" s="4"/>
      <c r="V378" s="4" t="s">
        <v>1372</v>
      </c>
      <c r="W378" s="4"/>
      <c r="X378" s="4"/>
      <c r="Y378" s="4"/>
      <c r="Z378" s="4"/>
      <c r="AA378" s="4"/>
      <c r="AB378" s="4"/>
      <c r="AC378" s="4"/>
      <c r="AD378" s="4">
        <f t="shared" si="5"/>
        <v>18</v>
      </c>
    </row>
    <row r="379" spans="1:30" ht="27" thickBot="1" x14ac:dyDescent="0.3">
      <c r="A379" s="3">
        <v>45047.933576388888</v>
      </c>
      <c r="B379" s="4" t="s">
        <v>241</v>
      </c>
      <c r="C379" s="4" t="s">
        <v>606</v>
      </c>
      <c r="D379" s="31" t="s">
        <v>27</v>
      </c>
      <c r="E379" s="4" t="s">
        <v>831</v>
      </c>
      <c r="F379" s="5">
        <v>621041557</v>
      </c>
      <c r="G379" s="4"/>
      <c r="H379" s="4" t="s">
        <v>825</v>
      </c>
      <c r="I379" s="5">
        <v>77</v>
      </c>
      <c r="J379" s="4" t="s">
        <v>38</v>
      </c>
      <c r="K379" s="5">
        <v>30</v>
      </c>
      <c r="L379" s="4" t="s">
        <v>832</v>
      </c>
      <c r="M379" s="4" t="s">
        <v>246</v>
      </c>
      <c r="N379" s="4" t="s">
        <v>33</v>
      </c>
      <c r="O379" s="6">
        <v>45072</v>
      </c>
      <c r="P379" s="4" t="s">
        <v>713</v>
      </c>
      <c r="Q379" s="4" t="s">
        <v>247</v>
      </c>
      <c r="R379" s="4" t="s">
        <v>36</v>
      </c>
      <c r="S379" s="4"/>
      <c r="T379" s="4"/>
      <c r="U379" s="4"/>
      <c r="V379" s="4" t="s">
        <v>1372</v>
      </c>
      <c r="W379" s="4"/>
      <c r="X379" s="4"/>
      <c r="Y379" s="4"/>
      <c r="Z379" s="4"/>
      <c r="AA379" s="4"/>
      <c r="AB379" s="4"/>
      <c r="AC379" s="4"/>
      <c r="AD379" s="4">
        <f t="shared" si="5"/>
        <v>18</v>
      </c>
    </row>
    <row r="380" spans="1:30" ht="27" thickBot="1" x14ac:dyDescent="0.3">
      <c r="A380" s="3">
        <v>45047.93787037037</v>
      </c>
      <c r="B380" s="4" t="s">
        <v>241</v>
      </c>
      <c r="C380" s="4" t="s">
        <v>606</v>
      </c>
      <c r="D380" s="31" t="s">
        <v>42</v>
      </c>
      <c r="E380" s="4" t="s">
        <v>833</v>
      </c>
      <c r="F380" s="5">
        <v>621116056</v>
      </c>
      <c r="G380" s="4"/>
      <c r="H380" s="4" t="s">
        <v>825</v>
      </c>
      <c r="I380" s="5">
        <v>79</v>
      </c>
      <c r="J380" s="4" t="s">
        <v>101</v>
      </c>
      <c r="K380" s="5">
        <v>15</v>
      </c>
      <c r="L380" s="4" t="s">
        <v>723</v>
      </c>
      <c r="M380" s="4" t="s">
        <v>147</v>
      </c>
      <c r="N380" s="4" t="s">
        <v>47</v>
      </c>
      <c r="O380" s="6">
        <v>45093</v>
      </c>
      <c r="P380" s="4" t="s">
        <v>706</v>
      </c>
      <c r="Q380" s="4" t="s">
        <v>247</v>
      </c>
      <c r="R380" s="4" t="s">
        <v>36</v>
      </c>
      <c r="S380" s="4"/>
      <c r="T380" s="4"/>
      <c r="U380" s="4"/>
      <c r="V380" s="4" t="s">
        <v>1372</v>
      </c>
      <c r="W380" s="4"/>
      <c r="X380" s="4"/>
      <c r="Y380" s="4"/>
      <c r="Z380" s="4"/>
      <c r="AA380" s="4"/>
      <c r="AB380" s="4"/>
      <c r="AC380" s="4"/>
      <c r="AD380" s="4">
        <f t="shared" si="5"/>
        <v>18</v>
      </c>
    </row>
    <row r="381" spans="1:30" ht="27" thickBot="1" x14ac:dyDescent="0.3">
      <c r="A381" s="3">
        <v>45047.94054398148</v>
      </c>
      <c r="B381" s="4" t="s">
        <v>241</v>
      </c>
      <c r="C381" s="4" t="s">
        <v>606</v>
      </c>
      <c r="D381" s="31" t="s">
        <v>42</v>
      </c>
      <c r="E381" s="4" t="s">
        <v>199</v>
      </c>
      <c r="F381" s="5">
        <v>628262334</v>
      </c>
      <c r="G381" s="4"/>
      <c r="H381" s="4" t="s">
        <v>825</v>
      </c>
      <c r="I381" s="5">
        <v>81</v>
      </c>
      <c r="J381" s="4" t="s">
        <v>101</v>
      </c>
      <c r="K381" s="5">
        <v>17</v>
      </c>
      <c r="L381" s="4" t="s">
        <v>723</v>
      </c>
      <c r="M381" s="4" t="s">
        <v>147</v>
      </c>
      <c r="N381" s="4" t="s">
        <v>47</v>
      </c>
      <c r="O381" s="6">
        <v>45079</v>
      </c>
      <c r="P381" s="4" t="s">
        <v>713</v>
      </c>
      <c r="Q381" s="4" t="s">
        <v>247</v>
      </c>
      <c r="R381" s="4" t="s">
        <v>36</v>
      </c>
      <c r="S381" s="4"/>
      <c r="T381" s="4"/>
      <c r="U381" s="4"/>
      <c r="V381" s="4" t="s">
        <v>1372</v>
      </c>
      <c r="W381" s="4"/>
      <c r="X381" s="4"/>
      <c r="Y381" s="4"/>
      <c r="Z381" s="4"/>
      <c r="AA381" s="4"/>
      <c r="AB381" s="4"/>
      <c r="AC381" s="4"/>
      <c r="AD381" s="4">
        <f t="shared" si="5"/>
        <v>18</v>
      </c>
    </row>
    <row r="382" spans="1:30" ht="27" thickBot="1" x14ac:dyDescent="0.3">
      <c r="A382" s="3">
        <v>45047.943958333337</v>
      </c>
      <c r="B382" s="4" t="s">
        <v>241</v>
      </c>
      <c r="C382" s="4" t="s">
        <v>606</v>
      </c>
      <c r="D382" s="31" t="s">
        <v>27</v>
      </c>
      <c r="E382" s="4" t="s">
        <v>834</v>
      </c>
      <c r="F382" s="5">
        <v>622015376</v>
      </c>
      <c r="G382" s="4"/>
      <c r="H382" s="4" t="s">
        <v>825</v>
      </c>
      <c r="I382" s="5">
        <v>79</v>
      </c>
      <c r="J382" s="4" t="s">
        <v>38</v>
      </c>
      <c r="K382" s="5">
        <v>25</v>
      </c>
      <c r="L382" s="4" t="s">
        <v>835</v>
      </c>
      <c r="M382" s="4" t="s">
        <v>246</v>
      </c>
      <c r="N382" s="4" t="s">
        <v>33</v>
      </c>
      <c r="O382" s="6">
        <v>45076</v>
      </c>
      <c r="P382" s="4" t="s">
        <v>713</v>
      </c>
      <c r="Q382" s="4" t="s">
        <v>247</v>
      </c>
      <c r="R382" s="4" t="s">
        <v>36</v>
      </c>
      <c r="S382" s="4"/>
      <c r="T382" s="4"/>
      <c r="U382" s="4"/>
      <c r="V382" s="4" t="s">
        <v>1372</v>
      </c>
      <c r="W382" s="4"/>
      <c r="X382" s="4"/>
      <c r="Y382" s="4"/>
      <c r="Z382" s="4"/>
      <c r="AA382" s="4"/>
      <c r="AB382" s="4"/>
      <c r="AC382" s="4"/>
      <c r="AD382" s="4">
        <f t="shared" si="5"/>
        <v>18</v>
      </c>
    </row>
    <row r="383" spans="1:30" ht="27" thickBot="1" x14ac:dyDescent="0.3">
      <c r="A383" s="3">
        <v>45047.948645833334</v>
      </c>
      <c r="B383" s="4" t="s">
        <v>241</v>
      </c>
      <c r="C383" s="4" t="s">
        <v>606</v>
      </c>
      <c r="D383" s="31" t="s">
        <v>27</v>
      </c>
      <c r="E383" s="4" t="s">
        <v>836</v>
      </c>
      <c r="F383" s="5">
        <v>628652521</v>
      </c>
      <c r="G383" s="4"/>
      <c r="H383" s="4" t="s">
        <v>825</v>
      </c>
      <c r="I383" s="5">
        <v>68</v>
      </c>
      <c r="J383" s="4" t="s">
        <v>101</v>
      </c>
      <c r="K383" s="5">
        <v>30</v>
      </c>
      <c r="L383" s="4" t="s">
        <v>837</v>
      </c>
      <c r="M383" s="4" t="s">
        <v>246</v>
      </c>
      <c r="N383" s="4" t="s">
        <v>47</v>
      </c>
      <c r="O383" s="6">
        <v>45083</v>
      </c>
      <c r="P383" s="4" t="s">
        <v>713</v>
      </c>
      <c r="Q383" s="4" t="s">
        <v>247</v>
      </c>
      <c r="R383" s="4" t="s">
        <v>36</v>
      </c>
      <c r="S383" s="4"/>
      <c r="T383" s="4"/>
      <c r="U383" s="4"/>
      <c r="V383" s="4" t="s">
        <v>1372</v>
      </c>
      <c r="W383" s="4"/>
      <c r="X383" s="4"/>
      <c r="Y383" s="4"/>
      <c r="Z383" s="4"/>
      <c r="AA383" s="4"/>
      <c r="AB383" s="4"/>
      <c r="AC383" s="4"/>
      <c r="AD383" s="4">
        <f t="shared" si="5"/>
        <v>18</v>
      </c>
    </row>
    <row r="384" spans="1:30" ht="39.75" thickBot="1" x14ac:dyDescent="0.3">
      <c r="A384" s="3">
        <v>45047.950624999998</v>
      </c>
      <c r="B384" s="4" t="s">
        <v>241</v>
      </c>
      <c r="C384" s="4" t="s">
        <v>606</v>
      </c>
      <c r="D384" s="31" t="s">
        <v>27</v>
      </c>
      <c r="E384" s="4" t="s">
        <v>838</v>
      </c>
      <c r="F384" s="5">
        <v>622239720</v>
      </c>
      <c r="G384" s="4"/>
      <c r="H384" s="4" t="s">
        <v>825</v>
      </c>
      <c r="I384" s="5">
        <v>77</v>
      </c>
      <c r="J384" s="4" t="s">
        <v>101</v>
      </c>
      <c r="K384" s="5">
        <v>195</v>
      </c>
      <c r="L384" s="4" t="s">
        <v>839</v>
      </c>
      <c r="M384" s="4" t="s">
        <v>147</v>
      </c>
      <c r="N384" s="4" t="s">
        <v>47</v>
      </c>
      <c r="O384" s="6">
        <v>45082</v>
      </c>
      <c r="P384" s="4" t="s">
        <v>706</v>
      </c>
      <c r="Q384" s="4" t="s">
        <v>247</v>
      </c>
      <c r="R384" s="4" t="s">
        <v>36</v>
      </c>
      <c r="S384" s="4" t="s">
        <v>59</v>
      </c>
      <c r="T384" s="5">
        <v>30</v>
      </c>
      <c r="U384" s="6">
        <v>45050</v>
      </c>
      <c r="V384" s="4" t="s">
        <v>1352</v>
      </c>
      <c r="W384" s="4" t="s">
        <v>840</v>
      </c>
      <c r="X384" s="4"/>
      <c r="Y384" s="4"/>
      <c r="Z384" s="4"/>
      <c r="AA384" s="4"/>
      <c r="AB384" s="4"/>
      <c r="AC384" s="4"/>
      <c r="AD384" s="4">
        <f t="shared" si="5"/>
        <v>18</v>
      </c>
    </row>
    <row r="385" spans="1:30" ht="27" thickBot="1" x14ac:dyDescent="0.3">
      <c r="A385" s="3">
        <v>45047.952314814815</v>
      </c>
      <c r="B385" s="4" t="s">
        <v>241</v>
      </c>
      <c r="C385" s="4" t="s">
        <v>606</v>
      </c>
      <c r="D385" s="31" t="s">
        <v>42</v>
      </c>
      <c r="E385" s="4" t="s">
        <v>841</v>
      </c>
      <c r="F385" s="5">
        <v>628103773</v>
      </c>
      <c r="G385" s="4"/>
      <c r="H385" s="4" t="s">
        <v>825</v>
      </c>
      <c r="I385" s="5">
        <v>79</v>
      </c>
      <c r="J385" s="4" t="s">
        <v>101</v>
      </c>
      <c r="K385" s="5">
        <v>25</v>
      </c>
      <c r="L385" s="4" t="s">
        <v>723</v>
      </c>
      <c r="M385" s="4" t="s">
        <v>147</v>
      </c>
      <c r="N385" s="4" t="s">
        <v>47</v>
      </c>
      <c r="O385" s="6">
        <v>45083</v>
      </c>
      <c r="P385" s="4" t="s">
        <v>706</v>
      </c>
      <c r="Q385" s="4" t="s">
        <v>247</v>
      </c>
      <c r="R385" s="4" t="s">
        <v>36</v>
      </c>
      <c r="S385" s="4"/>
      <c r="T385" s="4"/>
      <c r="U385" s="4"/>
      <c r="V385" s="4" t="s">
        <v>1372</v>
      </c>
      <c r="W385" s="4"/>
      <c r="X385" s="4"/>
      <c r="Y385" s="4"/>
      <c r="Z385" s="4"/>
      <c r="AA385" s="4"/>
      <c r="AB385" s="4"/>
      <c r="AC385" s="4"/>
      <c r="AD385" s="4">
        <f t="shared" si="5"/>
        <v>18</v>
      </c>
    </row>
    <row r="386" spans="1:30" ht="27" thickBot="1" x14ac:dyDescent="0.3">
      <c r="A386" s="3">
        <v>45047.954351851855</v>
      </c>
      <c r="B386" s="4" t="s">
        <v>241</v>
      </c>
      <c r="C386" s="4" t="s">
        <v>606</v>
      </c>
      <c r="D386" s="31" t="s">
        <v>27</v>
      </c>
      <c r="E386" s="4" t="s">
        <v>842</v>
      </c>
      <c r="F386" s="5">
        <v>628879665</v>
      </c>
      <c r="G386" s="4"/>
      <c r="H386" s="4" t="s">
        <v>825</v>
      </c>
      <c r="I386" s="5">
        <v>78</v>
      </c>
      <c r="J386" s="4" t="s">
        <v>38</v>
      </c>
      <c r="K386" s="5">
        <v>30</v>
      </c>
      <c r="L386" s="4" t="s">
        <v>835</v>
      </c>
      <c r="M386" s="4" t="s">
        <v>246</v>
      </c>
      <c r="N386" s="4" t="s">
        <v>47</v>
      </c>
      <c r="O386" s="6">
        <v>45092</v>
      </c>
      <c r="P386" s="4" t="s">
        <v>706</v>
      </c>
      <c r="Q386" s="4" t="s">
        <v>247</v>
      </c>
      <c r="R386" s="4" t="s">
        <v>36</v>
      </c>
      <c r="S386" s="4"/>
      <c r="T386" s="4"/>
      <c r="U386" s="4"/>
      <c r="V386" s="4" t="s">
        <v>1372</v>
      </c>
      <c r="W386" s="4"/>
      <c r="X386" s="4"/>
      <c r="Y386" s="4"/>
      <c r="Z386" s="4"/>
      <c r="AA386" s="4"/>
      <c r="AB386" s="4"/>
      <c r="AC386" s="4"/>
      <c r="AD386" s="4">
        <f t="shared" si="5"/>
        <v>18</v>
      </c>
    </row>
    <row r="387" spans="1:30" ht="27" thickBot="1" x14ac:dyDescent="0.3">
      <c r="A387" s="3">
        <v>45048.045011574075</v>
      </c>
      <c r="B387" s="4" t="s">
        <v>234</v>
      </c>
      <c r="C387" s="4" t="s">
        <v>235</v>
      </c>
      <c r="D387" s="31" t="s">
        <v>42</v>
      </c>
      <c r="E387" s="4" t="s">
        <v>843</v>
      </c>
      <c r="F387" s="5">
        <v>622917579</v>
      </c>
      <c r="G387" s="4"/>
      <c r="H387" s="4" t="s">
        <v>244</v>
      </c>
      <c r="I387" s="5">
        <v>60</v>
      </c>
      <c r="J387" s="4" t="s">
        <v>101</v>
      </c>
      <c r="K387" s="5">
        <v>8</v>
      </c>
      <c r="L387" s="4" t="s">
        <v>284</v>
      </c>
      <c r="M387" s="4" t="s">
        <v>284</v>
      </c>
      <c r="N387" s="4" t="s">
        <v>47</v>
      </c>
      <c r="O387" s="6">
        <v>45071</v>
      </c>
      <c r="P387" s="4"/>
      <c r="Q387" s="4" t="s">
        <v>240</v>
      </c>
      <c r="R387" s="4" t="s">
        <v>36</v>
      </c>
      <c r="S387" s="4"/>
      <c r="T387" s="4"/>
      <c r="U387" s="4"/>
      <c r="V387" s="4" t="s">
        <v>1372</v>
      </c>
      <c r="W387" s="4"/>
      <c r="X387" s="4"/>
      <c r="Y387" s="4"/>
      <c r="Z387" s="4"/>
      <c r="AA387" s="4"/>
      <c r="AB387" s="4"/>
      <c r="AC387" s="4"/>
      <c r="AD387" s="4">
        <f t="shared" ref="AD387:AD450" si="6">WEEKNUM(LEFT(A387,10))</f>
        <v>18</v>
      </c>
    </row>
    <row r="388" spans="1:30" ht="27" thickBot="1" x14ac:dyDescent="0.3">
      <c r="A388" s="3">
        <v>45048.047303240739</v>
      </c>
      <c r="B388" s="4" t="s">
        <v>234</v>
      </c>
      <c r="C388" s="4" t="s">
        <v>235</v>
      </c>
      <c r="D388" s="31" t="s">
        <v>42</v>
      </c>
      <c r="E388" s="4" t="s">
        <v>844</v>
      </c>
      <c r="F388" s="5">
        <v>622209871</v>
      </c>
      <c r="G388" s="4"/>
      <c r="H388" s="4" t="s">
        <v>244</v>
      </c>
      <c r="I388" s="5">
        <v>65</v>
      </c>
      <c r="J388" s="4" t="s">
        <v>101</v>
      </c>
      <c r="K388" s="5">
        <v>5</v>
      </c>
      <c r="L388" s="4" t="s">
        <v>758</v>
      </c>
      <c r="M388" s="4" t="s">
        <v>845</v>
      </c>
      <c r="N388" s="4" t="s">
        <v>57</v>
      </c>
      <c r="O388" s="6">
        <v>45097</v>
      </c>
      <c r="P388" s="4"/>
      <c r="Q388" s="4" t="s">
        <v>240</v>
      </c>
      <c r="R388" s="4" t="s">
        <v>36</v>
      </c>
      <c r="S388" s="4"/>
      <c r="T388" s="4"/>
      <c r="U388" s="4"/>
      <c r="V388" s="4" t="s">
        <v>1372</v>
      </c>
      <c r="W388" s="4"/>
      <c r="X388" s="4"/>
      <c r="Y388" s="4"/>
      <c r="Z388" s="4"/>
      <c r="AA388" s="4"/>
      <c r="AB388" s="4"/>
      <c r="AC388" s="4"/>
      <c r="AD388" s="4">
        <f t="shared" si="6"/>
        <v>18</v>
      </c>
    </row>
    <row r="389" spans="1:30" ht="27" thickBot="1" x14ac:dyDescent="0.3">
      <c r="A389" s="3">
        <v>45048.049340277779</v>
      </c>
      <c r="B389" s="4" t="s">
        <v>234</v>
      </c>
      <c r="C389" s="4" t="s">
        <v>235</v>
      </c>
      <c r="D389" s="31" t="s">
        <v>42</v>
      </c>
      <c r="E389" s="4" t="s">
        <v>846</v>
      </c>
      <c r="F389" s="5">
        <v>622090210</v>
      </c>
      <c r="G389" s="4"/>
      <c r="H389" s="4" t="s">
        <v>244</v>
      </c>
      <c r="I389" s="5">
        <v>56</v>
      </c>
      <c r="J389" s="4" t="s">
        <v>101</v>
      </c>
      <c r="K389" s="5">
        <v>6</v>
      </c>
      <c r="L389" s="4" t="s">
        <v>333</v>
      </c>
      <c r="M389" s="4" t="s">
        <v>333</v>
      </c>
      <c r="N389" s="4" t="s">
        <v>47</v>
      </c>
      <c r="O389" s="6">
        <v>45071</v>
      </c>
      <c r="P389" s="4"/>
      <c r="Q389" s="4" t="s">
        <v>240</v>
      </c>
      <c r="R389" s="4" t="s">
        <v>36</v>
      </c>
      <c r="S389" s="4"/>
      <c r="T389" s="4"/>
      <c r="U389" s="4"/>
      <c r="V389" s="4" t="s">
        <v>1372</v>
      </c>
      <c r="W389" s="4"/>
      <c r="X389" s="4"/>
      <c r="Y389" s="4"/>
      <c r="Z389" s="4"/>
      <c r="AA389" s="4"/>
      <c r="AB389" s="4"/>
      <c r="AC389" s="4"/>
      <c r="AD389" s="4">
        <f t="shared" si="6"/>
        <v>18</v>
      </c>
    </row>
    <row r="390" spans="1:30" ht="27" thickBot="1" x14ac:dyDescent="0.3">
      <c r="A390" s="3">
        <v>45048.051064814812</v>
      </c>
      <c r="B390" s="4" t="s">
        <v>234</v>
      </c>
      <c r="C390" s="4" t="s">
        <v>235</v>
      </c>
      <c r="D390" s="31" t="s">
        <v>42</v>
      </c>
      <c r="E390" s="4" t="s">
        <v>768</v>
      </c>
      <c r="F390" s="5">
        <v>628007041</v>
      </c>
      <c r="G390" s="4"/>
      <c r="H390" s="4" t="s">
        <v>244</v>
      </c>
      <c r="I390" s="5">
        <v>67</v>
      </c>
      <c r="J390" s="4" t="s">
        <v>101</v>
      </c>
      <c r="K390" s="5">
        <v>3</v>
      </c>
      <c r="L390" s="4" t="s">
        <v>430</v>
      </c>
      <c r="M390" s="4" t="s">
        <v>430</v>
      </c>
      <c r="N390" s="4" t="s">
        <v>47</v>
      </c>
      <c r="O390" s="6">
        <v>45082</v>
      </c>
      <c r="P390" s="4"/>
      <c r="Q390" s="4" t="s">
        <v>240</v>
      </c>
      <c r="R390" s="4" t="s">
        <v>36</v>
      </c>
      <c r="S390" s="4"/>
      <c r="T390" s="4"/>
      <c r="U390" s="4"/>
      <c r="V390" s="4" t="s">
        <v>1372</v>
      </c>
      <c r="W390" s="4"/>
      <c r="X390" s="4"/>
      <c r="Y390" s="4"/>
      <c r="Z390" s="4"/>
      <c r="AA390" s="4"/>
      <c r="AB390" s="4"/>
      <c r="AC390" s="4"/>
      <c r="AD390" s="4">
        <f t="shared" si="6"/>
        <v>18</v>
      </c>
    </row>
    <row r="391" spans="1:30" ht="27" thickBot="1" x14ac:dyDescent="0.3">
      <c r="A391" s="3">
        <v>45048.052951388891</v>
      </c>
      <c r="B391" s="4" t="s">
        <v>234</v>
      </c>
      <c r="C391" s="4" t="s">
        <v>235</v>
      </c>
      <c r="D391" s="31" t="s">
        <v>42</v>
      </c>
      <c r="E391" s="4" t="s">
        <v>847</v>
      </c>
      <c r="F391" s="5">
        <v>622670421</v>
      </c>
      <c r="G391" s="4"/>
      <c r="H391" s="4" t="s">
        <v>244</v>
      </c>
      <c r="I391" s="5">
        <v>62</v>
      </c>
      <c r="J391" s="4" t="s">
        <v>101</v>
      </c>
      <c r="K391" s="5">
        <v>4</v>
      </c>
      <c r="L391" s="4" t="s">
        <v>52</v>
      </c>
      <c r="M391" s="4" t="s">
        <v>52</v>
      </c>
      <c r="N391" s="4" t="s">
        <v>47</v>
      </c>
      <c r="O391" s="6">
        <v>45076</v>
      </c>
      <c r="P391" s="4"/>
      <c r="Q391" s="4" t="s">
        <v>240</v>
      </c>
      <c r="R391" s="4" t="s">
        <v>36</v>
      </c>
      <c r="S391" s="4"/>
      <c r="T391" s="4"/>
      <c r="U391" s="4"/>
      <c r="V391" s="4" t="s">
        <v>1372</v>
      </c>
      <c r="W391" s="4"/>
      <c r="X391" s="4"/>
      <c r="Y391" s="4"/>
      <c r="Z391" s="4"/>
      <c r="AA391" s="4"/>
      <c r="AB391" s="4"/>
      <c r="AC391" s="4"/>
      <c r="AD391" s="4">
        <f t="shared" si="6"/>
        <v>18</v>
      </c>
    </row>
    <row r="392" spans="1:30" ht="27" thickBot="1" x14ac:dyDescent="0.3">
      <c r="A392" s="3">
        <v>45048.05505787037</v>
      </c>
      <c r="B392" s="4" t="s">
        <v>234</v>
      </c>
      <c r="C392" s="4" t="s">
        <v>235</v>
      </c>
      <c r="D392" s="31" t="s">
        <v>42</v>
      </c>
      <c r="E392" s="4" t="s">
        <v>848</v>
      </c>
      <c r="F392" s="5">
        <v>662670421</v>
      </c>
      <c r="G392" s="4"/>
      <c r="H392" s="4" t="s">
        <v>244</v>
      </c>
      <c r="I392" s="5">
        <v>54</v>
      </c>
      <c r="J392" s="4" t="s">
        <v>101</v>
      </c>
      <c r="K392" s="5">
        <v>5</v>
      </c>
      <c r="L392" s="4" t="s">
        <v>402</v>
      </c>
      <c r="M392" s="4" t="s">
        <v>402</v>
      </c>
      <c r="N392" s="4" t="s">
        <v>47</v>
      </c>
      <c r="O392" s="6">
        <v>45078</v>
      </c>
      <c r="P392" s="4"/>
      <c r="Q392" s="4" t="s">
        <v>240</v>
      </c>
      <c r="R392" s="4" t="s">
        <v>36</v>
      </c>
      <c r="S392" s="4"/>
      <c r="T392" s="4"/>
      <c r="U392" s="4"/>
      <c r="V392" s="4" t="s">
        <v>1372</v>
      </c>
      <c r="W392" s="4"/>
      <c r="X392" s="4"/>
      <c r="Y392" s="4"/>
      <c r="Z392" s="4"/>
      <c r="AA392" s="4"/>
      <c r="AB392" s="4"/>
      <c r="AC392" s="4"/>
      <c r="AD392" s="4">
        <f t="shared" si="6"/>
        <v>18</v>
      </c>
    </row>
    <row r="393" spans="1:30" ht="27" thickBot="1" x14ac:dyDescent="0.3">
      <c r="A393" s="3">
        <v>45048.057337962964</v>
      </c>
      <c r="B393" s="4" t="s">
        <v>234</v>
      </c>
      <c r="C393" s="4" t="s">
        <v>235</v>
      </c>
      <c r="D393" s="31" t="s">
        <v>42</v>
      </c>
      <c r="E393" s="4" t="s">
        <v>849</v>
      </c>
      <c r="F393" s="5">
        <v>622670421</v>
      </c>
      <c r="G393" s="4"/>
      <c r="H393" s="4" t="s">
        <v>244</v>
      </c>
      <c r="I393" s="5">
        <v>62</v>
      </c>
      <c r="J393" s="4" t="s">
        <v>101</v>
      </c>
      <c r="K393" s="5">
        <v>10</v>
      </c>
      <c r="L393" s="4" t="s">
        <v>314</v>
      </c>
      <c r="M393" s="4" t="s">
        <v>314</v>
      </c>
      <c r="N393" s="4" t="s">
        <v>47</v>
      </c>
      <c r="O393" s="6">
        <v>45082</v>
      </c>
      <c r="P393" s="4"/>
      <c r="Q393" s="4" t="s">
        <v>240</v>
      </c>
      <c r="R393" s="4" t="s">
        <v>36</v>
      </c>
      <c r="S393" s="4"/>
      <c r="T393" s="4"/>
      <c r="U393" s="4"/>
      <c r="V393" s="4" t="s">
        <v>1372</v>
      </c>
      <c r="W393" s="4"/>
      <c r="X393" s="4"/>
      <c r="Y393" s="4"/>
      <c r="Z393" s="4"/>
      <c r="AA393" s="4"/>
      <c r="AB393" s="4"/>
      <c r="AC393" s="4"/>
      <c r="AD393" s="4">
        <f t="shared" si="6"/>
        <v>18</v>
      </c>
    </row>
    <row r="394" spans="1:30" ht="27" thickBot="1" x14ac:dyDescent="0.3">
      <c r="A394" s="3">
        <v>45048.059675925928</v>
      </c>
      <c r="B394" s="4" t="s">
        <v>234</v>
      </c>
      <c r="C394" s="4" t="s">
        <v>235</v>
      </c>
      <c r="D394" s="31" t="s">
        <v>42</v>
      </c>
      <c r="E394" s="4" t="s">
        <v>850</v>
      </c>
      <c r="F394" s="5">
        <v>622242159</v>
      </c>
      <c r="G394" s="4"/>
      <c r="H394" s="4" t="s">
        <v>244</v>
      </c>
      <c r="I394" s="5">
        <v>60</v>
      </c>
      <c r="J394" s="4" t="s">
        <v>101</v>
      </c>
      <c r="K394" s="5">
        <v>8</v>
      </c>
      <c r="L394" s="4" t="s">
        <v>774</v>
      </c>
      <c r="M394" s="4" t="s">
        <v>774</v>
      </c>
      <c r="N394" s="4" t="s">
        <v>47</v>
      </c>
      <c r="O394" s="6">
        <v>45087</v>
      </c>
      <c r="P394" s="4"/>
      <c r="Q394" s="4" t="s">
        <v>240</v>
      </c>
      <c r="R394" s="4" t="s">
        <v>36</v>
      </c>
      <c r="S394" s="4"/>
      <c r="T394" s="4"/>
      <c r="U394" s="4"/>
      <c r="V394" s="4" t="s">
        <v>1372</v>
      </c>
      <c r="W394" s="4"/>
      <c r="X394" s="4"/>
      <c r="Y394" s="4"/>
      <c r="Z394" s="4"/>
      <c r="AA394" s="4"/>
      <c r="AB394" s="4"/>
      <c r="AC394" s="4"/>
      <c r="AD394" s="4">
        <f t="shared" si="6"/>
        <v>18</v>
      </c>
    </row>
    <row r="395" spans="1:30" ht="27" thickBot="1" x14ac:dyDescent="0.3">
      <c r="A395" s="3">
        <v>45048.06145833333</v>
      </c>
      <c r="B395" s="4" t="s">
        <v>234</v>
      </c>
      <c r="C395" s="4" t="s">
        <v>235</v>
      </c>
      <c r="D395" s="31" t="s">
        <v>42</v>
      </c>
      <c r="E395" s="4" t="s">
        <v>851</v>
      </c>
      <c r="F395" s="5">
        <v>622242192</v>
      </c>
      <c r="G395" s="4"/>
      <c r="H395" s="4" t="s">
        <v>244</v>
      </c>
      <c r="I395" s="5">
        <v>65</v>
      </c>
      <c r="J395" s="4" t="s">
        <v>101</v>
      </c>
      <c r="K395" s="5">
        <v>5</v>
      </c>
      <c r="L395" s="4" t="s">
        <v>764</v>
      </c>
      <c r="M395" s="4" t="s">
        <v>764</v>
      </c>
      <c r="N395" s="4" t="s">
        <v>47</v>
      </c>
      <c r="O395" s="6">
        <v>45089</v>
      </c>
      <c r="P395" s="4"/>
      <c r="Q395" s="4" t="s">
        <v>240</v>
      </c>
      <c r="R395" s="4" t="s">
        <v>36</v>
      </c>
      <c r="S395" s="4"/>
      <c r="T395" s="4"/>
      <c r="U395" s="4"/>
      <c r="V395" s="4" t="s">
        <v>1372</v>
      </c>
      <c r="W395" s="4"/>
      <c r="X395" s="4"/>
      <c r="Y395" s="4"/>
      <c r="Z395" s="4"/>
      <c r="AA395" s="4"/>
      <c r="AB395" s="4"/>
      <c r="AC395" s="4"/>
      <c r="AD395" s="4">
        <f t="shared" si="6"/>
        <v>18</v>
      </c>
    </row>
    <row r="396" spans="1:30" ht="27" thickBot="1" x14ac:dyDescent="0.3">
      <c r="A396" s="3">
        <v>45048.062928240739</v>
      </c>
      <c r="B396" s="4" t="s">
        <v>234</v>
      </c>
      <c r="C396" s="4" t="s">
        <v>235</v>
      </c>
      <c r="D396" s="31" t="s">
        <v>42</v>
      </c>
      <c r="E396" s="4" t="s">
        <v>852</v>
      </c>
      <c r="F396" s="5">
        <v>628526231</v>
      </c>
      <c r="G396" s="4"/>
      <c r="H396" s="4" t="s">
        <v>244</v>
      </c>
      <c r="I396" s="5">
        <v>60</v>
      </c>
      <c r="J396" s="4" t="s">
        <v>101</v>
      </c>
      <c r="K396" s="5">
        <v>9</v>
      </c>
      <c r="L396" s="4" t="s">
        <v>314</v>
      </c>
      <c r="M396" s="4" t="s">
        <v>314</v>
      </c>
      <c r="N396" s="4" t="s">
        <v>47</v>
      </c>
      <c r="O396" s="6">
        <v>45076</v>
      </c>
      <c r="P396" s="4"/>
      <c r="Q396" s="4" t="s">
        <v>240</v>
      </c>
      <c r="R396" s="4" t="s">
        <v>36</v>
      </c>
      <c r="S396" s="4"/>
      <c r="T396" s="4"/>
      <c r="U396" s="4"/>
      <c r="V396" s="4" t="s">
        <v>1372</v>
      </c>
      <c r="W396" s="4"/>
      <c r="X396" s="4"/>
      <c r="Y396" s="4"/>
      <c r="Z396" s="4"/>
      <c r="AA396" s="4"/>
      <c r="AB396" s="4"/>
      <c r="AC396" s="4"/>
      <c r="AD396" s="4">
        <f t="shared" si="6"/>
        <v>18</v>
      </c>
    </row>
    <row r="397" spans="1:30" ht="27" thickBot="1" x14ac:dyDescent="0.3">
      <c r="A397" s="3">
        <v>45048.065821759257</v>
      </c>
      <c r="B397" s="4" t="s">
        <v>234</v>
      </c>
      <c r="C397" s="4" t="s">
        <v>235</v>
      </c>
      <c r="D397" s="31" t="s">
        <v>42</v>
      </c>
      <c r="E397" s="4" t="s">
        <v>853</v>
      </c>
      <c r="F397" s="5">
        <v>611202598</v>
      </c>
      <c r="G397" s="4"/>
      <c r="H397" s="4" t="s">
        <v>244</v>
      </c>
      <c r="I397" s="5">
        <v>57</v>
      </c>
      <c r="J397" s="4" t="s">
        <v>101</v>
      </c>
      <c r="K397" s="5">
        <v>5</v>
      </c>
      <c r="L397" s="4" t="s">
        <v>769</v>
      </c>
      <c r="M397" s="4" t="s">
        <v>769</v>
      </c>
      <c r="N397" s="4" t="s">
        <v>57</v>
      </c>
      <c r="O397" s="6">
        <v>45107</v>
      </c>
      <c r="P397" s="4"/>
      <c r="Q397" s="4" t="s">
        <v>240</v>
      </c>
      <c r="R397" s="4" t="s">
        <v>36</v>
      </c>
      <c r="S397" s="4"/>
      <c r="T397" s="4"/>
      <c r="U397" s="4"/>
      <c r="V397" s="4" t="s">
        <v>1372</v>
      </c>
      <c r="W397" s="4"/>
      <c r="X397" s="4"/>
      <c r="Y397" s="4"/>
      <c r="Z397" s="4"/>
      <c r="AA397" s="4"/>
      <c r="AB397" s="4"/>
      <c r="AC397" s="4"/>
      <c r="AD397" s="4">
        <f t="shared" si="6"/>
        <v>18</v>
      </c>
    </row>
    <row r="398" spans="1:30" ht="27" thickBot="1" x14ac:dyDescent="0.3">
      <c r="A398" s="3">
        <v>45048.067476851851</v>
      </c>
      <c r="B398" s="4" t="s">
        <v>234</v>
      </c>
      <c r="C398" s="4" t="s">
        <v>235</v>
      </c>
      <c r="D398" s="31" t="s">
        <v>42</v>
      </c>
      <c r="E398" s="4" t="s">
        <v>854</v>
      </c>
      <c r="F398" s="5">
        <v>622242192</v>
      </c>
      <c r="G398" s="4"/>
      <c r="H398" s="4" t="s">
        <v>244</v>
      </c>
      <c r="I398" s="5">
        <v>60</v>
      </c>
      <c r="J398" s="4" t="s">
        <v>101</v>
      </c>
      <c r="K398" s="5">
        <v>3</v>
      </c>
      <c r="L398" s="4" t="s">
        <v>314</v>
      </c>
      <c r="M398" s="4" t="s">
        <v>314</v>
      </c>
      <c r="N398" s="4" t="s">
        <v>47</v>
      </c>
      <c r="O398" s="6">
        <v>45077</v>
      </c>
      <c r="P398" s="4"/>
      <c r="Q398" s="4" t="s">
        <v>240</v>
      </c>
      <c r="R398" s="4" t="s">
        <v>36</v>
      </c>
      <c r="S398" s="4"/>
      <c r="T398" s="4"/>
      <c r="U398" s="4"/>
      <c r="V398" s="4" t="s">
        <v>1372</v>
      </c>
      <c r="W398" s="4"/>
      <c r="X398" s="4"/>
      <c r="Y398" s="4"/>
      <c r="Z398" s="4"/>
      <c r="AA398" s="4"/>
      <c r="AB398" s="4"/>
      <c r="AC398" s="4"/>
      <c r="AD398" s="4">
        <f t="shared" si="6"/>
        <v>18</v>
      </c>
    </row>
    <row r="399" spans="1:30" ht="27" thickBot="1" x14ac:dyDescent="0.3">
      <c r="A399" s="3">
        <v>45048.069814814815</v>
      </c>
      <c r="B399" s="4" t="s">
        <v>234</v>
      </c>
      <c r="C399" s="4" t="s">
        <v>235</v>
      </c>
      <c r="D399" s="31" t="s">
        <v>42</v>
      </c>
      <c r="E399" s="4" t="s">
        <v>855</v>
      </c>
      <c r="F399" s="5">
        <v>622318688</v>
      </c>
      <c r="G399" s="4"/>
      <c r="H399" s="4" t="s">
        <v>244</v>
      </c>
      <c r="I399" s="5">
        <v>62</v>
      </c>
      <c r="J399" s="4" t="s">
        <v>101</v>
      </c>
      <c r="K399" s="5">
        <v>3</v>
      </c>
      <c r="L399" s="4" t="s">
        <v>314</v>
      </c>
      <c r="M399" s="4" t="s">
        <v>314</v>
      </c>
      <c r="N399" s="4" t="s">
        <v>47</v>
      </c>
      <c r="O399" s="6">
        <v>45071</v>
      </c>
      <c r="P399" s="4"/>
      <c r="Q399" s="4" t="s">
        <v>240</v>
      </c>
      <c r="R399" s="4" t="s">
        <v>36</v>
      </c>
      <c r="S399" s="4"/>
      <c r="T399" s="4"/>
      <c r="U399" s="4"/>
      <c r="V399" s="4" t="s">
        <v>1372</v>
      </c>
      <c r="W399" s="4"/>
      <c r="X399" s="4"/>
      <c r="Y399" s="4"/>
      <c r="Z399" s="4"/>
      <c r="AA399" s="4"/>
      <c r="AB399" s="4"/>
      <c r="AC399" s="4"/>
      <c r="AD399" s="4">
        <f t="shared" si="6"/>
        <v>18</v>
      </c>
    </row>
    <row r="400" spans="1:30" ht="27" thickBot="1" x14ac:dyDescent="0.3">
      <c r="A400" s="3">
        <v>45048.071666666663</v>
      </c>
      <c r="B400" s="4" t="s">
        <v>234</v>
      </c>
      <c r="C400" s="4" t="s">
        <v>235</v>
      </c>
      <c r="D400" s="31" t="s">
        <v>42</v>
      </c>
      <c r="E400" s="4" t="s">
        <v>856</v>
      </c>
      <c r="F400" s="5">
        <v>622090188</v>
      </c>
      <c r="G400" s="4"/>
      <c r="H400" s="4" t="s">
        <v>244</v>
      </c>
      <c r="I400" s="5">
        <v>60</v>
      </c>
      <c r="J400" s="4" t="s">
        <v>101</v>
      </c>
      <c r="K400" s="5">
        <v>2</v>
      </c>
      <c r="L400" s="4" t="s">
        <v>395</v>
      </c>
      <c r="M400" s="4" t="s">
        <v>395</v>
      </c>
      <c r="N400" s="4" t="s">
        <v>33</v>
      </c>
      <c r="O400" s="6">
        <v>45056</v>
      </c>
      <c r="P400" s="4"/>
      <c r="Q400" s="4" t="s">
        <v>240</v>
      </c>
      <c r="R400" s="4" t="s">
        <v>36</v>
      </c>
      <c r="S400" s="4"/>
      <c r="T400" s="4"/>
      <c r="U400" s="4"/>
      <c r="V400" s="4" t="s">
        <v>1372</v>
      </c>
      <c r="W400" s="4"/>
      <c r="X400" s="4"/>
      <c r="Y400" s="4"/>
      <c r="Z400" s="4"/>
      <c r="AA400" s="4"/>
      <c r="AB400" s="4"/>
      <c r="AC400" s="4"/>
      <c r="AD400" s="4">
        <f t="shared" si="6"/>
        <v>18</v>
      </c>
    </row>
    <row r="401" spans="1:30" ht="167.25" thickBot="1" x14ac:dyDescent="0.3">
      <c r="A401" s="3">
        <v>45048.076643518521</v>
      </c>
      <c r="B401" s="4" t="s">
        <v>234</v>
      </c>
      <c r="C401" s="4" t="s">
        <v>234</v>
      </c>
      <c r="D401" s="31" t="s">
        <v>42</v>
      </c>
      <c r="E401" s="4" t="s">
        <v>857</v>
      </c>
      <c r="F401" s="5">
        <v>628872062</v>
      </c>
      <c r="G401" s="4"/>
      <c r="H401" s="4" t="s">
        <v>244</v>
      </c>
      <c r="I401" s="5">
        <v>60</v>
      </c>
      <c r="J401" s="4" t="s">
        <v>101</v>
      </c>
      <c r="K401" s="5">
        <v>4</v>
      </c>
      <c r="L401" s="4" t="s">
        <v>395</v>
      </c>
      <c r="M401" s="4" t="s">
        <v>395</v>
      </c>
      <c r="N401" s="4" t="s">
        <v>33</v>
      </c>
      <c r="O401" s="6">
        <v>45071</v>
      </c>
      <c r="P401" s="4" t="s">
        <v>858</v>
      </c>
      <c r="Q401" s="4" t="s">
        <v>240</v>
      </c>
      <c r="R401" s="4" t="s">
        <v>36</v>
      </c>
      <c r="S401" s="4"/>
      <c r="T401" s="4"/>
      <c r="U401" s="4"/>
      <c r="V401" s="4" t="s">
        <v>1372</v>
      </c>
      <c r="W401" s="4"/>
      <c r="X401" s="4"/>
      <c r="Y401" s="4"/>
      <c r="Z401" s="4"/>
      <c r="AA401" s="4"/>
      <c r="AB401" s="4"/>
      <c r="AC401" s="4"/>
      <c r="AD401" s="4">
        <f t="shared" si="6"/>
        <v>18</v>
      </c>
    </row>
    <row r="402" spans="1:30" ht="27" thickBot="1" x14ac:dyDescent="0.3">
      <c r="A402" s="3">
        <v>45048.078113425923</v>
      </c>
      <c r="B402" s="4" t="s">
        <v>234</v>
      </c>
      <c r="C402" s="4" t="s">
        <v>235</v>
      </c>
      <c r="D402" s="31" t="s">
        <v>42</v>
      </c>
      <c r="E402" s="4" t="s">
        <v>859</v>
      </c>
      <c r="F402" s="5">
        <v>628980059</v>
      </c>
      <c r="G402" s="4"/>
      <c r="H402" s="4" t="s">
        <v>244</v>
      </c>
      <c r="I402" s="5">
        <v>66</v>
      </c>
      <c r="J402" s="4" t="s">
        <v>101</v>
      </c>
      <c r="K402" s="5">
        <v>4</v>
      </c>
      <c r="L402" s="4" t="s">
        <v>314</v>
      </c>
      <c r="M402" s="4" t="s">
        <v>314</v>
      </c>
      <c r="N402" s="4" t="s">
        <v>47</v>
      </c>
      <c r="O402" s="6">
        <v>45076</v>
      </c>
      <c r="P402" s="4"/>
      <c r="Q402" s="4" t="s">
        <v>240</v>
      </c>
      <c r="R402" s="4" t="s">
        <v>36</v>
      </c>
      <c r="S402" s="4"/>
      <c r="T402" s="4"/>
      <c r="U402" s="4"/>
      <c r="V402" s="4" t="s">
        <v>1372</v>
      </c>
      <c r="W402" s="4"/>
      <c r="X402" s="4"/>
      <c r="Y402" s="4"/>
      <c r="Z402" s="4"/>
      <c r="AA402" s="4"/>
      <c r="AB402" s="4"/>
      <c r="AC402" s="4"/>
      <c r="AD402" s="4">
        <f t="shared" si="6"/>
        <v>18</v>
      </c>
    </row>
    <row r="403" spans="1:30" ht="27" thickBot="1" x14ac:dyDescent="0.3">
      <c r="A403" s="3">
        <v>45048.080092592594</v>
      </c>
      <c r="B403" s="4" t="s">
        <v>234</v>
      </c>
      <c r="C403" s="4" t="s">
        <v>235</v>
      </c>
      <c r="D403" s="31" t="s">
        <v>42</v>
      </c>
      <c r="E403" s="4" t="s">
        <v>860</v>
      </c>
      <c r="F403" s="5">
        <v>611326470</v>
      </c>
      <c r="G403" s="4"/>
      <c r="H403" s="4" t="s">
        <v>244</v>
      </c>
      <c r="I403" s="5">
        <v>67</v>
      </c>
      <c r="J403" s="4" t="s">
        <v>101</v>
      </c>
      <c r="K403" s="5">
        <v>3</v>
      </c>
      <c r="L403" s="4" t="s">
        <v>861</v>
      </c>
      <c r="M403" s="4" t="s">
        <v>862</v>
      </c>
      <c r="N403" s="4" t="s">
        <v>47</v>
      </c>
      <c r="O403" s="6">
        <v>45071</v>
      </c>
      <c r="P403" s="4"/>
      <c r="Q403" s="4" t="s">
        <v>240</v>
      </c>
      <c r="R403" s="4" t="s">
        <v>36</v>
      </c>
      <c r="S403" s="4"/>
      <c r="T403" s="4"/>
      <c r="U403" s="4"/>
      <c r="V403" s="4" t="s">
        <v>1372</v>
      </c>
      <c r="W403" s="4"/>
      <c r="X403" s="4"/>
      <c r="Y403" s="4"/>
      <c r="Z403" s="4"/>
      <c r="AA403" s="4"/>
      <c r="AB403" s="4"/>
      <c r="AC403" s="4"/>
      <c r="AD403" s="4">
        <f t="shared" si="6"/>
        <v>18</v>
      </c>
    </row>
    <row r="404" spans="1:30" ht="27" thickBot="1" x14ac:dyDescent="0.3">
      <c r="A404" s="3">
        <v>45048.081412037034</v>
      </c>
      <c r="B404" s="4" t="s">
        <v>234</v>
      </c>
      <c r="C404" s="4" t="s">
        <v>235</v>
      </c>
      <c r="D404" s="31" t="s">
        <v>42</v>
      </c>
      <c r="E404" s="4" t="s">
        <v>863</v>
      </c>
      <c r="F404" s="5">
        <v>620976124</v>
      </c>
      <c r="G404" s="4"/>
      <c r="H404" s="4" t="s">
        <v>244</v>
      </c>
      <c r="I404" s="5">
        <v>58</v>
      </c>
      <c r="J404" s="4" t="s">
        <v>101</v>
      </c>
      <c r="K404" s="5">
        <v>4</v>
      </c>
      <c r="L404" s="4" t="s">
        <v>314</v>
      </c>
      <c r="M404" s="4" t="s">
        <v>314</v>
      </c>
      <c r="N404" s="4" t="s">
        <v>47</v>
      </c>
      <c r="O404" s="6">
        <v>45074</v>
      </c>
      <c r="P404" s="4"/>
      <c r="Q404" s="4" t="s">
        <v>240</v>
      </c>
      <c r="R404" s="4" t="s">
        <v>36</v>
      </c>
      <c r="S404" s="4"/>
      <c r="T404" s="4"/>
      <c r="U404" s="4"/>
      <c r="V404" s="4" t="s">
        <v>1372</v>
      </c>
      <c r="W404" s="4"/>
      <c r="X404" s="4"/>
      <c r="Y404" s="4"/>
      <c r="Z404" s="4"/>
      <c r="AA404" s="4"/>
      <c r="AB404" s="4"/>
      <c r="AC404" s="4"/>
      <c r="AD404" s="4">
        <f t="shared" si="6"/>
        <v>18</v>
      </c>
    </row>
    <row r="405" spans="1:30" ht="27" thickBot="1" x14ac:dyDescent="0.3">
      <c r="A405" s="3">
        <v>45048.082708333335</v>
      </c>
      <c r="B405" s="4" t="s">
        <v>234</v>
      </c>
      <c r="C405" s="4" t="s">
        <v>235</v>
      </c>
      <c r="D405" s="31" t="s">
        <v>42</v>
      </c>
      <c r="E405" s="4" t="s">
        <v>864</v>
      </c>
      <c r="F405" s="5">
        <v>622434222</v>
      </c>
      <c r="G405" s="4"/>
      <c r="H405" s="4" t="s">
        <v>244</v>
      </c>
      <c r="I405" s="5">
        <v>8</v>
      </c>
      <c r="J405" s="4" t="s">
        <v>101</v>
      </c>
      <c r="K405" s="5">
        <v>65</v>
      </c>
      <c r="L405" s="4" t="s">
        <v>314</v>
      </c>
      <c r="M405" s="4" t="s">
        <v>314</v>
      </c>
      <c r="N405" s="4" t="s">
        <v>47</v>
      </c>
      <c r="O405" s="6">
        <v>45066</v>
      </c>
      <c r="P405" s="4"/>
      <c r="Q405" s="4" t="s">
        <v>240</v>
      </c>
      <c r="R405" s="4" t="s">
        <v>36</v>
      </c>
      <c r="S405" s="4"/>
      <c r="T405" s="4"/>
      <c r="U405" s="4"/>
      <c r="V405" s="4" t="s">
        <v>1372</v>
      </c>
      <c r="W405" s="4"/>
      <c r="X405" s="4"/>
      <c r="Y405" s="4"/>
      <c r="Z405" s="4"/>
      <c r="AA405" s="4"/>
      <c r="AB405" s="4"/>
      <c r="AC405" s="4"/>
      <c r="AD405" s="4">
        <f t="shared" si="6"/>
        <v>18</v>
      </c>
    </row>
    <row r="406" spans="1:30" ht="27" thickBot="1" x14ac:dyDescent="0.3">
      <c r="A406" s="3">
        <v>45048.084131944444</v>
      </c>
      <c r="B406" s="4" t="s">
        <v>234</v>
      </c>
      <c r="C406" s="4" t="s">
        <v>235</v>
      </c>
      <c r="D406" s="31" t="s">
        <v>42</v>
      </c>
      <c r="E406" s="4" t="s">
        <v>865</v>
      </c>
      <c r="F406" s="5">
        <v>622229013</v>
      </c>
      <c r="G406" s="4"/>
      <c r="H406" s="4" t="s">
        <v>244</v>
      </c>
      <c r="I406" s="5">
        <v>60</v>
      </c>
      <c r="J406" s="4" t="s">
        <v>101</v>
      </c>
      <c r="K406" s="5">
        <v>5</v>
      </c>
      <c r="L406" s="4" t="s">
        <v>314</v>
      </c>
      <c r="M406" s="4" t="s">
        <v>314</v>
      </c>
      <c r="N406" s="4" t="s">
        <v>47</v>
      </c>
      <c r="O406" s="6">
        <v>45076</v>
      </c>
      <c r="P406" s="4"/>
      <c r="Q406" s="4" t="s">
        <v>240</v>
      </c>
      <c r="R406" s="4" t="s">
        <v>36</v>
      </c>
      <c r="S406" s="4"/>
      <c r="T406" s="4"/>
      <c r="U406" s="4"/>
      <c r="V406" s="4" t="s">
        <v>1372</v>
      </c>
      <c r="W406" s="4"/>
      <c r="X406" s="4"/>
      <c r="Y406" s="4"/>
      <c r="Z406" s="4"/>
      <c r="AA406" s="4"/>
      <c r="AB406" s="4"/>
      <c r="AC406" s="4"/>
      <c r="AD406" s="4">
        <f t="shared" si="6"/>
        <v>18</v>
      </c>
    </row>
    <row r="407" spans="1:30" ht="27" thickBot="1" x14ac:dyDescent="0.3">
      <c r="A407" s="3">
        <v>45048.085740740738</v>
      </c>
      <c r="B407" s="4" t="s">
        <v>234</v>
      </c>
      <c r="C407" s="4" t="s">
        <v>235</v>
      </c>
      <c r="D407" s="31" t="s">
        <v>42</v>
      </c>
      <c r="E407" s="4" t="s">
        <v>866</v>
      </c>
      <c r="F407" s="5">
        <v>622080544</v>
      </c>
      <c r="G407" s="4"/>
      <c r="H407" s="4" t="s">
        <v>237</v>
      </c>
      <c r="I407" s="5">
        <v>85</v>
      </c>
      <c r="J407" s="4" t="s">
        <v>101</v>
      </c>
      <c r="K407" s="5">
        <v>10</v>
      </c>
      <c r="L407" s="4" t="s">
        <v>52</v>
      </c>
      <c r="M407" s="4" t="s">
        <v>52</v>
      </c>
      <c r="N407" s="4" t="s">
        <v>47</v>
      </c>
      <c r="O407" s="6">
        <v>45071</v>
      </c>
      <c r="P407" s="4"/>
      <c r="Q407" s="4" t="s">
        <v>240</v>
      </c>
      <c r="R407" s="4" t="s">
        <v>36</v>
      </c>
      <c r="S407" s="4"/>
      <c r="T407" s="4"/>
      <c r="U407" s="4"/>
      <c r="V407" s="4" t="s">
        <v>1372</v>
      </c>
      <c r="W407" s="4"/>
      <c r="X407" s="4"/>
      <c r="Y407" s="4"/>
      <c r="Z407" s="4"/>
      <c r="AA407" s="4"/>
      <c r="AB407" s="4"/>
      <c r="AC407" s="4"/>
      <c r="AD407" s="4">
        <f t="shared" si="6"/>
        <v>18</v>
      </c>
    </row>
    <row r="408" spans="1:30" ht="27" thickBot="1" x14ac:dyDescent="0.3">
      <c r="A408" s="3">
        <v>45048.087268518517</v>
      </c>
      <c r="B408" s="4" t="s">
        <v>234</v>
      </c>
      <c r="C408" s="4" t="s">
        <v>235</v>
      </c>
      <c r="D408" s="31" t="s">
        <v>42</v>
      </c>
      <c r="E408" s="4" t="s">
        <v>867</v>
      </c>
      <c r="F408" s="5">
        <v>622224023</v>
      </c>
      <c r="G408" s="4"/>
      <c r="H408" s="4" t="s">
        <v>237</v>
      </c>
      <c r="I408" s="5">
        <v>83</v>
      </c>
      <c r="J408" s="4" t="s">
        <v>101</v>
      </c>
      <c r="K408" s="5">
        <v>5</v>
      </c>
      <c r="L408" s="4" t="s">
        <v>52</v>
      </c>
      <c r="M408" s="4" t="s">
        <v>52</v>
      </c>
      <c r="N408" s="4" t="s">
        <v>47</v>
      </c>
      <c r="O408" s="6">
        <v>45074</v>
      </c>
      <c r="P408" s="4"/>
      <c r="Q408" s="4" t="s">
        <v>240</v>
      </c>
      <c r="R408" s="4" t="s">
        <v>36</v>
      </c>
      <c r="S408" s="4"/>
      <c r="T408" s="4"/>
      <c r="U408" s="4"/>
      <c r="V408" s="4" t="s">
        <v>1372</v>
      </c>
      <c r="W408" s="4"/>
      <c r="X408" s="4"/>
      <c r="Y408" s="4"/>
      <c r="Z408" s="4"/>
      <c r="AA408" s="4"/>
      <c r="AB408" s="4"/>
      <c r="AC408" s="4"/>
      <c r="AD408" s="4">
        <f t="shared" si="6"/>
        <v>18</v>
      </c>
    </row>
    <row r="409" spans="1:30" ht="27" thickBot="1" x14ac:dyDescent="0.3">
      <c r="A409" s="3">
        <v>45048.089120370372</v>
      </c>
      <c r="B409" s="4" t="s">
        <v>234</v>
      </c>
      <c r="C409" s="4" t="s">
        <v>235</v>
      </c>
      <c r="D409" s="31" t="s">
        <v>42</v>
      </c>
      <c r="E409" s="4" t="s">
        <v>868</v>
      </c>
      <c r="F409" s="5">
        <v>623245121</v>
      </c>
      <c r="G409" s="4"/>
      <c r="H409" s="4" t="s">
        <v>451</v>
      </c>
      <c r="I409" s="5">
        <v>76</v>
      </c>
      <c r="J409" s="4" t="s">
        <v>101</v>
      </c>
      <c r="K409" s="5">
        <v>8</v>
      </c>
      <c r="L409" s="4" t="s">
        <v>778</v>
      </c>
      <c r="M409" s="4" t="s">
        <v>778</v>
      </c>
      <c r="N409" s="4" t="s">
        <v>47</v>
      </c>
      <c r="O409" s="6">
        <v>45071</v>
      </c>
      <c r="P409" s="4"/>
      <c r="Q409" s="4" t="s">
        <v>240</v>
      </c>
      <c r="R409" s="4" t="s">
        <v>36</v>
      </c>
      <c r="S409" s="4"/>
      <c r="T409" s="4"/>
      <c r="U409" s="4"/>
      <c r="V409" s="4" t="s">
        <v>1372</v>
      </c>
      <c r="W409" s="4"/>
      <c r="X409" s="4"/>
      <c r="Y409" s="4"/>
      <c r="Z409" s="4"/>
      <c r="AA409" s="4"/>
      <c r="AB409" s="4"/>
      <c r="AC409" s="4"/>
      <c r="AD409" s="4">
        <f t="shared" si="6"/>
        <v>18</v>
      </c>
    </row>
    <row r="410" spans="1:30" ht="65.25" thickBot="1" x14ac:dyDescent="0.3">
      <c r="A410" s="3">
        <v>45048.404305555552</v>
      </c>
      <c r="B410" s="4" t="s">
        <v>25</v>
      </c>
      <c r="C410" s="4" t="s">
        <v>504</v>
      </c>
      <c r="D410" s="31" t="s">
        <v>42</v>
      </c>
      <c r="E410" s="4" t="s">
        <v>869</v>
      </c>
      <c r="F410" s="5">
        <v>622780290</v>
      </c>
      <c r="G410" s="4"/>
      <c r="H410" s="4" t="s">
        <v>29</v>
      </c>
      <c r="I410" s="5">
        <v>12</v>
      </c>
      <c r="J410" s="4" t="s">
        <v>38</v>
      </c>
      <c r="K410" s="5">
        <v>2</v>
      </c>
      <c r="L410" s="4" t="s">
        <v>50</v>
      </c>
      <c r="M410" s="4" t="s">
        <v>32</v>
      </c>
      <c r="N410" s="4" t="s">
        <v>33</v>
      </c>
      <c r="O410" s="6">
        <v>45051</v>
      </c>
      <c r="P410" s="4" t="s">
        <v>34</v>
      </c>
      <c r="Q410" s="4" t="s">
        <v>35</v>
      </c>
      <c r="R410" s="4" t="s">
        <v>36</v>
      </c>
      <c r="S410" s="4" t="s">
        <v>59</v>
      </c>
      <c r="T410" s="5">
        <v>2</v>
      </c>
      <c r="U410" s="6">
        <v>45048</v>
      </c>
      <c r="V410" s="4" t="s">
        <v>1352</v>
      </c>
      <c r="W410" s="4" t="s">
        <v>733</v>
      </c>
      <c r="X410" s="4"/>
      <c r="Y410" s="4"/>
      <c r="Z410" s="4"/>
      <c r="AA410" s="4"/>
      <c r="AB410" s="4"/>
      <c r="AC410" s="4"/>
      <c r="AD410" s="4">
        <f t="shared" si="6"/>
        <v>18</v>
      </c>
    </row>
    <row r="411" spans="1:30" ht="65.25" thickBot="1" x14ac:dyDescent="0.3">
      <c r="A411" s="3">
        <v>45048.431018518517</v>
      </c>
      <c r="B411" s="4" t="s">
        <v>623</v>
      </c>
      <c r="C411" s="4" t="s">
        <v>870</v>
      </c>
      <c r="D411" s="31" t="s">
        <v>42</v>
      </c>
      <c r="E411" s="4" t="s">
        <v>874</v>
      </c>
      <c r="F411" s="5">
        <v>626557374</v>
      </c>
      <c r="G411" s="4"/>
      <c r="H411" s="4" t="s">
        <v>626</v>
      </c>
      <c r="I411" s="5">
        <v>20</v>
      </c>
      <c r="J411" s="4" t="s">
        <v>38</v>
      </c>
      <c r="K411" s="5">
        <v>4</v>
      </c>
      <c r="L411" s="4" t="s">
        <v>871</v>
      </c>
      <c r="M411" s="4" t="s">
        <v>416</v>
      </c>
      <c r="N411" s="4" t="s">
        <v>57</v>
      </c>
      <c r="O411" s="6">
        <v>45052</v>
      </c>
      <c r="P411" s="4"/>
      <c r="Q411" s="4" t="s">
        <v>628</v>
      </c>
      <c r="R411" s="4" t="s">
        <v>252</v>
      </c>
      <c r="S411" s="4"/>
      <c r="T411" s="4"/>
      <c r="U411" s="4"/>
      <c r="V411" s="4" t="s">
        <v>1372</v>
      </c>
      <c r="W411" s="4"/>
      <c r="X411" s="4"/>
      <c r="Y411" s="4"/>
      <c r="Z411" s="4"/>
      <c r="AA411" s="4"/>
      <c r="AB411" s="4"/>
      <c r="AC411" s="4"/>
      <c r="AD411" s="4">
        <f t="shared" si="6"/>
        <v>18</v>
      </c>
    </row>
    <row r="412" spans="1:30" ht="27" thickBot="1" x14ac:dyDescent="0.3">
      <c r="A412" s="3">
        <v>45048.443124999998</v>
      </c>
      <c r="B412" s="4" t="s">
        <v>234</v>
      </c>
      <c r="C412" s="4" t="s">
        <v>235</v>
      </c>
      <c r="D412" s="31" t="s">
        <v>42</v>
      </c>
      <c r="E412" s="4" t="s">
        <v>875</v>
      </c>
      <c r="F412" s="5">
        <v>622120084</v>
      </c>
      <c r="G412" s="4"/>
      <c r="H412" s="4" t="s">
        <v>237</v>
      </c>
      <c r="I412" s="5">
        <v>85</v>
      </c>
      <c r="J412" s="4" t="s">
        <v>101</v>
      </c>
      <c r="K412" s="5">
        <v>5</v>
      </c>
      <c r="L412" s="4" t="s">
        <v>314</v>
      </c>
      <c r="M412" s="4" t="s">
        <v>314</v>
      </c>
      <c r="N412" s="4" t="s">
        <v>47</v>
      </c>
      <c r="O412" s="6">
        <v>45052</v>
      </c>
      <c r="P412" s="4"/>
      <c r="Q412" s="4" t="s">
        <v>240</v>
      </c>
      <c r="R412" s="4" t="s">
        <v>36</v>
      </c>
      <c r="S412" s="4"/>
      <c r="T412" s="4"/>
      <c r="U412" s="4"/>
      <c r="V412" s="4" t="s">
        <v>1372</v>
      </c>
      <c r="W412" s="4"/>
      <c r="X412" s="4"/>
      <c r="Y412" s="4"/>
      <c r="Z412" s="4"/>
      <c r="AA412" s="4"/>
      <c r="AB412" s="4"/>
      <c r="AC412" s="4"/>
      <c r="AD412" s="4">
        <f t="shared" si="6"/>
        <v>18</v>
      </c>
    </row>
    <row r="413" spans="1:30" ht="39.75" thickBot="1" x14ac:dyDescent="0.3">
      <c r="A413" s="3">
        <v>45048.455775462964</v>
      </c>
      <c r="B413" s="4" t="s">
        <v>876</v>
      </c>
      <c r="C413" s="4" t="s">
        <v>877</v>
      </c>
      <c r="D413" s="31" t="s">
        <v>42</v>
      </c>
      <c r="E413" s="4" t="s">
        <v>878</v>
      </c>
      <c r="F413" s="5">
        <v>623425434</v>
      </c>
      <c r="G413" s="4"/>
      <c r="H413" s="4" t="s">
        <v>879</v>
      </c>
      <c r="I413" s="5">
        <v>32</v>
      </c>
      <c r="J413" s="4" t="s">
        <v>38</v>
      </c>
      <c r="K413" s="5">
        <v>2</v>
      </c>
      <c r="L413" s="4" t="s">
        <v>880</v>
      </c>
      <c r="M413" s="4" t="s">
        <v>881</v>
      </c>
      <c r="N413" s="4" t="s">
        <v>47</v>
      </c>
      <c r="O413" s="6">
        <v>45082</v>
      </c>
      <c r="P413" s="4"/>
      <c r="Q413" s="4" t="s">
        <v>882</v>
      </c>
      <c r="R413" s="4" t="s">
        <v>36</v>
      </c>
      <c r="S413" s="4"/>
      <c r="T413" s="4"/>
      <c r="U413" s="4"/>
      <c r="V413" s="4" t="s">
        <v>1372</v>
      </c>
      <c r="W413" s="4"/>
      <c r="X413" s="4"/>
      <c r="Y413" s="4"/>
      <c r="Z413" s="4"/>
      <c r="AA413" s="4"/>
      <c r="AB413" s="4"/>
      <c r="AC413" s="4"/>
      <c r="AD413" s="4">
        <f t="shared" si="6"/>
        <v>18</v>
      </c>
    </row>
    <row r="414" spans="1:30" ht="39.75" thickBot="1" x14ac:dyDescent="0.3">
      <c r="A414" s="3">
        <v>45048.4765625</v>
      </c>
      <c r="B414" s="4" t="s">
        <v>876</v>
      </c>
      <c r="C414" s="4" t="s">
        <v>883</v>
      </c>
      <c r="D414" s="31" t="s">
        <v>42</v>
      </c>
      <c r="E414" s="4" t="s">
        <v>884</v>
      </c>
      <c r="F414" s="5">
        <v>628169348</v>
      </c>
      <c r="G414" s="4"/>
      <c r="H414" s="4" t="s">
        <v>879</v>
      </c>
      <c r="I414" s="5">
        <v>32</v>
      </c>
      <c r="J414" s="4" t="s">
        <v>101</v>
      </c>
      <c r="K414" s="5">
        <v>2</v>
      </c>
      <c r="L414" s="4" t="s">
        <v>881</v>
      </c>
      <c r="M414" s="4" t="s">
        <v>881</v>
      </c>
      <c r="N414" s="4" t="s">
        <v>57</v>
      </c>
      <c r="O414" s="6">
        <v>45083</v>
      </c>
      <c r="P414" s="4"/>
      <c r="Q414" s="4" t="s">
        <v>882</v>
      </c>
      <c r="R414" s="4" t="s">
        <v>36</v>
      </c>
      <c r="S414" s="4"/>
      <c r="T414" s="4"/>
      <c r="U414" s="4"/>
      <c r="V414" s="4" t="s">
        <v>1372</v>
      </c>
      <c r="W414" s="4"/>
      <c r="X414" s="4"/>
      <c r="Y414" s="4"/>
      <c r="Z414" s="4"/>
      <c r="AA414" s="4"/>
      <c r="AB414" s="4"/>
      <c r="AC414" s="4"/>
      <c r="AD414" s="4">
        <f t="shared" si="6"/>
        <v>18</v>
      </c>
    </row>
    <row r="415" spans="1:30" ht="39.75" thickBot="1" x14ac:dyDescent="0.3">
      <c r="A415" s="3">
        <v>45048.479351851849</v>
      </c>
      <c r="B415" s="4" t="s">
        <v>876</v>
      </c>
      <c r="C415" s="4" t="s">
        <v>883</v>
      </c>
      <c r="D415" s="31" t="s">
        <v>42</v>
      </c>
      <c r="E415" s="4" t="s">
        <v>885</v>
      </c>
      <c r="F415" s="5">
        <v>622466088</v>
      </c>
      <c r="G415" s="4"/>
      <c r="H415" s="4" t="s">
        <v>879</v>
      </c>
      <c r="I415" s="5">
        <v>32</v>
      </c>
      <c r="J415" s="4" t="s">
        <v>101</v>
      </c>
      <c r="K415" s="5">
        <v>2</v>
      </c>
      <c r="L415" s="4" t="s">
        <v>881</v>
      </c>
      <c r="M415" s="4" t="s">
        <v>881</v>
      </c>
      <c r="N415" s="4" t="s">
        <v>47</v>
      </c>
      <c r="O415" s="6">
        <v>45062</v>
      </c>
      <c r="P415" s="4"/>
      <c r="Q415" s="4" t="s">
        <v>882</v>
      </c>
      <c r="R415" s="4" t="s">
        <v>36</v>
      </c>
      <c r="S415" s="4"/>
      <c r="T415" s="4"/>
      <c r="U415" s="4"/>
      <c r="V415" s="4" t="s">
        <v>1372</v>
      </c>
      <c r="W415" s="4"/>
      <c r="X415" s="4"/>
      <c r="Y415" s="4"/>
      <c r="Z415" s="4"/>
      <c r="AA415" s="4"/>
      <c r="AB415" s="4"/>
      <c r="AC415" s="4"/>
      <c r="AD415" s="4">
        <f t="shared" si="6"/>
        <v>18</v>
      </c>
    </row>
    <row r="416" spans="1:30" ht="78" thickBot="1" x14ac:dyDescent="0.3">
      <c r="A416" s="3">
        <v>45048.48300925926</v>
      </c>
      <c r="B416" s="4" t="s">
        <v>876</v>
      </c>
      <c r="C416" s="4" t="s">
        <v>883</v>
      </c>
      <c r="D416" s="31" t="s">
        <v>42</v>
      </c>
      <c r="E416" s="4" t="s">
        <v>886</v>
      </c>
      <c r="F416" s="5">
        <v>628169348</v>
      </c>
      <c r="G416" s="4"/>
      <c r="H416" s="4" t="s">
        <v>879</v>
      </c>
      <c r="I416" s="5">
        <v>32</v>
      </c>
      <c r="J416" s="4" t="s">
        <v>101</v>
      </c>
      <c r="K416" s="5">
        <v>2</v>
      </c>
      <c r="L416" s="4" t="s">
        <v>881</v>
      </c>
      <c r="M416" s="4" t="s">
        <v>881</v>
      </c>
      <c r="N416" s="4" t="s">
        <v>57</v>
      </c>
      <c r="O416" s="6">
        <v>45063</v>
      </c>
      <c r="P416" s="4" t="s">
        <v>887</v>
      </c>
      <c r="Q416" s="4" t="s">
        <v>882</v>
      </c>
      <c r="R416" s="4" t="s">
        <v>36</v>
      </c>
      <c r="S416" s="4"/>
      <c r="T416" s="4"/>
      <c r="U416" s="4"/>
      <c r="V416" s="4" t="s">
        <v>1372</v>
      </c>
      <c r="W416" s="4"/>
      <c r="X416" s="4"/>
      <c r="Y416" s="4"/>
      <c r="Z416" s="4"/>
      <c r="AA416" s="4"/>
      <c r="AB416" s="4"/>
      <c r="AC416" s="4"/>
      <c r="AD416" s="4">
        <f t="shared" si="6"/>
        <v>18</v>
      </c>
    </row>
    <row r="417" spans="1:30" ht="39.75" thickBot="1" x14ac:dyDescent="0.3">
      <c r="A417" s="3">
        <v>45048.485486111109</v>
      </c>
      <c r="B417" s="4" t="s">
        <v>876</v>
      </c>
      <c r="C417" s="4" t="s">
        <v>883</v>
      </c>
      <c r="D417" s="31" t="s">
        <v>42</v>
      </c>
      <c r="E417" s="4" t="s">
        <v>888</v>
      </c>
      <c r="F417" s="5">
        <v>628169348</v>
      </c>
      <c r="G417" s="4"/>
      <c r="H417" s="4" t="s">
        <v>879</v>
      </c>
      <c r="I417" s="5">
        <v>32</v>
      </c>
      <c r="J417" s="4" t="s">
        <v>101</v>
      </c>
      <c r="K417" s="5">
        <v>2</v>
      </c>
      <c r="L417" s="4" t="s">
        <v>881</v>
      </c>
      <c r="M417" s="4" t="s">
        <v>881</v>
      </c>
      <c r="N417" s="4" t="s">
        <v>57</v>
      </c>
      <c r="O417" s="6">
        <v>45064</v>
      </c>
      <c r="P417" s="4" t="s">
        <v>889</v>
      </c>
      <c r="Q417" s="4" t="s">
        <v>882</v>
      </c>
      <c r="R417" s="4" t="s">
        <v>36</v>
      </c>
      <c r="S417" s="4"/>
      <c r="T417" s="4"/>
      <c r="U417" s="4"/>
      <c r="V417" s="4" t="s">
        <v>1372</v>
      </c>
      <c r="W417" s="4"/>
      <c r="X417" s="4"/>
      <c r="Y417" s="4"/>
      <c r="Z417" s="4"/>
      <c r="AA417" s="4"/>
      <c r="AB417" s="4"/>
      <c r="AC417" s="4"/>
      <c r="AD417" s="4">
        <f t="shared" si="6"/>
        <v>18</v>
      </c>
    </row>
    <row r="418" spans="1:30" ht="39.75" thickBot="1" x14ac:dyDescent="0.3">
      <c r="A418" s="3">
        <v>45048.490706018521</v>
      </c>
      <c r="B418" s="4" t="s">
        <v>876</v>
      </c>
      <c r="C418" s="4" t="s">
        <v>890</v>
      </c>
      <c r="D418" s="31" t="s">
        <v>27</v>
      </c>
      <c r="E418" s="4" t="s">
        <v>891</v>
      </c>
      <c r="F418" s="5">
        <v>622986853</v>
      </c>
      <c r="G418" s="4"/>
      <c r="H418" s="4" t="s">
        <v>879</v>
      </c>
      <c r="I418" s="5">
        <v>45</v>
      </c>
      <c r="J418" s="4" t="s">
        <v>101</v>
      </c>
      <c r="K418" s="5">
        <v>10</v>
      </c>
      <c r="L418" s="4" t="s">
        <v>881</v>
      </c>
      <c r="M418" s="4" t="s">
        <v>881</v>
      </c>
      <c r="N418" s="4" t="s">
        <v>57</v>
      </c>
      <c r="O418" s="6">
        <v>45071</v>
      </c>
      <c r="P418" s="4"/>
      <c r="Q418" s="4" t="s">
        <v>882</v>
      </c>
      <c r="R418" s="4" t="s">
        <v>36</v>
      </c>
      <c r="S418" s="4"/>
      <c r="T418" s="4"/>
      <c r="U418" s="4"/>
      <c r="V418" s="4" t="s">
        <v>1372</v>
      </c>
      <c r="W418" s="4"/>
      <c r="X418" s="4"/>
      <c r="Y418" s="4"/>
      <c r="Z418" s="4"/>
      <c r="AA418" s="4"/>
      <c r="AB418" s="4"/>
      <c r="AC418" s="4"/>
      <c r="AD418" s="4">
        <f t="shared" si="6"/>
        <v>18</v>
      </c>
    </row>
    <row r="419" spans="1:30" ht="39.75" thickBot="1" x14ac:dyDescent="0.3">
      <c r="A419" s="3">
        <v>45048.493344907409</v>
      </c>
      <c r="B419" s="4" t="s">
        <v>876</v>
      </c>
      <c r="C419" s="4" t="s">
        <v>890</v>
      </c>
      <c r="D419" s="31" t="s">
        <v>42</v>
      </c>
      <c r="E419" s="4" t="s">
        <v>892</v>
      </c>
      <c r="F419" s="5">
        <v>628169348</v>
      </c>
      <c r="G419" s="4"/>
      <c r="H419" s="4" t="s">
        <v>879</v>
      </c>
      <c r="I419" s="5">
        <v>40</v>
      </c>
      <c r="J419" s="4" t="s">
        <v>101</v>
      </c>
      <c r="K419" s="5">
        <v>2</v>
      </c>
      <c r="L419" s="4" t="s">
        <v>881</v>
      </c>
      <c r="M419" s="4" t="s">
        <v>881</v>
      </c>
      <c r="N419" s="4" t="s">
        <v>57</v>
      </c>
      <c r="O419" s="6">
        <v>45066</v>
      </c>
      <c r="P419" s="4"/>
      <c r="Q419" s="4" t="s">
        <v>882</v>
      </c>
      <c r="R419" s="4" t="s">
        <v>36</v>
      </c>
      <c r="S419" s="4"/>
      <c r="T419" s="4"/>
      <c r="U419" s="4"/>
      <c r="V419" s="4" t="s">
        <v>1372</v>
      </c>
      <c r="W419" s="4"/>
      <c r="X419" s="4"/>
      <c r="Y419" s="4"/>
      <c r="Z419" s="4"/>
      <c r="AA419" s="4"/>
      <c r="AB419" s="4"/>
      <c r="AC419" s="4"/>
      <c r="AD419" s="4">
        <f t="shared" si="6"/>
        <v>18</v>
      </c>
    </row>
    <row r="420" spans="1:30" ht="65.25" thickBot="1" x14ac:dyDescent="0.3">
      <c r="A420" s="3">
        <v>45048.494166666664</v>
      </c>
      <c r="B420" s="4" t="s">
        <v>79</v>
      </c>
      <c r="C420" s="4" t="s">
        <v>80</v>
      </c>
      <c r="D420" s="31" t="s">
        <v>27</v>
      </c>
      <c r="E420" s="4" t="s">
        <v>893</v>
      </c>
      <c r="F420" s="5">
        <v>628451165</v>
      </c>
      <c r="G420" s="5">
        <v>0</v>
      </c>
      <c r="H420" s="4" t="s">
        <v>332</v>
      </c>
      <c r="I420" s="5">
        <v>185</v>
      </c>
      <c r="J420" s="4" t="s">
        <v>38</v>
      </c>
      <c r="K420" s="5">
        <v>15</v>
      </c>
      <c r="L420" s="4" t="s">
        <v>674</v>
      </c>
      <c r="M420" s="4" t="s">
        <v>89</v>
      </c>
      <c r="N420" s="4" t="s">
        <v>47</v>
      </c>
      <c r="O420" s="6">
        <v>45051</v>
      </c>
      <c r="P420" s="4" t="s">
        <v>894</v>
      </c>
      <c r="Q420" s="4" t="s">
        <v>86</v>
      </c>
      <c r="R420" s="4" t="s">
        <v>36</v>
      </c>
      <c r="S420" s="4" t="s">
        <v>59</v>
      </c>
      <c r="T420" s="5">
        <v>15</v>
      </c>
      <c r="U420" s="6">
        <v>45048</v>
      </c>
      <c r="V420" s="4" t="s">
        <v>1352</v>
      </c>
      <c r="W420" s="4" t="s">
        <v>895</v>
      </c>
      <c r="X420" s="4"/>
      <c r="Y420" s="4"/>
      <c r="Z420" s="4"/>
      <c r="AA420" s="4"/>
      <c r="AB420" s="4"/>
      <c r="AC420" s="4"/>
      <c r="AD420" s="4">
        <f t="shared" si="6"/>
        <v>18</v>
      </c>
    </row>
    <row r="421" spans="1:30" ht="39.75" thickBot="1" x14ac:dyDescent="0.3">
      <c r="A421" s="3">
        <v>45048.502789351849</v>
      </c>
      <c r="B421" s="4" t="s">
        <v>79</v>
      </c>
      <c r="C421" s="4" t="s">
        <v>80</v>
      </c>
      <c r="D421" s="31" t="s">
        <v>42</v>
      </c>
      <c r="E421" s="4" t="s">
        <v>896</v>
      </c>
      <c r="F421" s="5">
        <v>620210933</v>
      </c>
      <c r="G421" s="5">
        <v>0</v>
      </c>
      <c r="H421" s="4" t="s">
        <v>365</v>
      </c>
      <c r="I421" s="5">
        <v>90</v>
      </c>
      <c r="J421" s="4" t="s">
        <v>38</v>
      </c>
      <c r="K421" s="5">
        <v>10</v>
      </c>
      <c r="L421" s="4" t="s">
        <v>437</v>
      </c>
      <c r="M421" s="4" t="s">
        <v>89</v>
      </c>
      <c r="N421" s="4" t="s">
        <v>33</v>
      </c>
      <c r="O421" s="6">
        <v>45052</v>
      </c>
      <c r="P421" s="4" t="s">
        <v>321</v>
      </c>
      <c r="Q421" s="4" t="s">
        <v>86</v>
      </c>
      <c r="R421" s="4" t="s">
        <v>36</v>
      </c>
      <c r="S421" s="4" t="s">
        <v>59</v>
      </c>
      <c r="T421" s="5">
        <v>10</v>
      </c>
      <c r="U421" s="6">
        <v>45048</v>
      </c>
      <c r="V421" s="4" t="s">
        <v>1352</v>
      </c>
      <c r="W421" s="4" t="s">
        <v>897</v>
      </c>
      <c r="X421" s="4"/>
      <c r="Y421" s="4"/>
      <c r="Z421" s="4"/>
      <c r="AA421" s="4"/>
      <c r="AB421" s="4"/>
      <c r="AC421" s="4"/>
      <c r="AD421" s="4">
        <f t="shared" si="6"/>
        <v>18</v>
      </c>
    </row>
    <row r="422" spans="1:30" ht="27" thickBot="1" x14ac:dyDescent="0.3">
      <c r="A422" s="3">
        <v>45048.528310185182</v>
      </c>
      <c r="B422" s="4" t="s">
        <v>253</v>
      </c>
      <c r="C422" s="4" t="s">
        <v>633</v>
      </c>
      <c r="D422" s="31" t="s">
        <v>42</v>
      </c>
      <c r="E422" s="4" t="s">
        <v>198</v>
      </c>
      <c r="F422" s="5">
        <v>621636457</v>
      </c>
      <c r="G422" s="4"/>
      <c r="H422" s="4" t="s">
        <v>670</v>
      </c>
      <c r="I422" s="5">
        <v>20</v>
      </c>
      <c r="J422" s="4" t="s">
        <v>38</v>
      </c>
      <c r="K422" s="5">
        <v>10</v>
      </c>
      <c r="L422" s="4" t="s">
        <v>410</v>
      </c>
      <c r="M422" s="4" t="s">
        <v>36</v>
      </c>
      <c r="N422" s="4" t="s">
        <v>90</v>
      </c>
      <c r="O422" s="6">
        <v>45049</v>
      </c>
      <c r="P422" s="4"/>
      <c r="Q422" s="4" t="s">
        <v>636</v>
      </c>
      <c r="R422" s="4" t="s">
        <v>36</v>
      </c>
      <c r="S422" s="4" t="s">
        <v>59</v>
      </c>
      <c r="T422" s="5">
        <v>20</v>
      </c>
      <c r="U422" s="6">
        <v>45048</v>
      </c>
      <c r="V422" s="4" t="s">
        <v>1352</v>
      </c>
      <c r="W422" s="4" t="s">
        <v>898</v>
      </c>
      <c r="X422" s="4"/>
      <c r="Y422" s="4"/>
      <c r="Z422" s="4"/>
      <c r="AA422" s="4"/>
      <c r="AB422" s="4"/>
      <c r="AC422" s="4"/>
      <c r="AD422" s="4">
        <f t="shared" si="6"/>
        <v>18</v>
      </c>
    </row>
    <row r="423" spans="1:30" ht="39.75" thickBot="1" x14ac:dyDescent="0.3">
      <c r="A423" s="3">
        <v>45048.714097222219</v>
      </c>
      <c r="B423" s="4" t="s">
        <v>53</v>
      </c>
      <c r="C423" s="4" t="s">
        <v>53</v>
      </c>
      <c r="D423" s="31" t="s">
        <v>27</v>
      </c>
      <c r="E423" s="4" t="s">
        <v>899</v>
      </c>
      <c r="F423" s="5">
        <v>621196192</v>
      </c>
      <c r="G423" s="4"/>
      <c r="H423" s="4" t="s">
        <v>286</v>
      </c>
      <c r="I423" s="5">
        <v>75</v>
      </c>
      <c r="J423" s="4" t="s">
        <v>30</v>
      </c>
      <c r="K423" s="5">
        <v>40</v>
      </c>
      <c r="L423" s="4" t="s">
        <v>900</v>
      </c>
      <c r="M423" s="4" t="s">
        <v>900</v>
      </c>
      <c r="N423" s="4" t="s">
        <v>33</v>
      </c>
      <c r="O423" s="6">
        <v>45053</v>
      </c>
      <c r="P423" s="4"/>
      <c r="Q423" s="4" t="s">
        <v>58</v>
      </c>
      <c r="R423" s="4" t="s">
        <v>36</v>
      </c>
      <c r="S423" s="4" t="s">
        <v>59</v>
      </c>
      <c r="T423" s="5">
        <v>40</v>
      </c>
      <c r="U423" s="6">
        <v>45049</v>
      </c>
      <c r="V423" s="4" t="s">
        <v>1352</v>
      </c>
      <c r="W423" s="4" t="s">
        <v>740</v>
      </c>
      <c r="X423" s="4"/>
      <c r="Y423" s="4"/>
      <c r="Z423" s="4"/>
      <c r="AA423" s="4"/>
      <c r="AB423" s="4"/>
      <c r="AC423" s="4"/>
      <c r="AD423" s="4">
        <f t="shared" si="6"/>
        <v>18</v>
      </c>
    </row>
    <row r="424" spans="1:30" ht="65.25" thickBot="1" x14ac:dyDescent="0.3">
      <c r="A424" s="3">
        <v>45048.951793981483</v>
      </c>
      <c r="B424" s="4" t="s">
        <v>623</v>
      </c>
      <c r="C424" s="4" t="s">
        <v>870</v>
      </c>
      <c r="D424" s="31" t="s">
        <v>27</v>
      </c>
      <c r="E424" s="4" t="s">
        <v>901</v>
      </c>
      <c r="F424" s="5">
        <v>620778612</v>
      </c>
      <c r="G424" s="4"/>
      <c r="H424" s="4" t="s">
        <v>902</v>
      </c>
      <c r="I424" s="5">
        <v>15</v>
      </c>
      <c r="J424" s="4" t="s">
        <v>38</v>
      </c>
      <c r="K424" s="5">
        <v>20</v>
      </c>
      <c r="L424" s="4" t="s">
        <v>872</v>
      </c>
      <c r="M424" s="4" t="s">
        <v>873</v>
      </c>
      <c r="N424" s="4" t="s">
        <v>33</v>
      </c>
      <c r="O424" s="6">
        <v>45054</v>
      </c>
      <c r="P424" s="4"/>
      <c r="Q424" s="4" t="s">
        <v>628</v>
      </c>
      <c r="R424" s="4" t="s">
        <v>36</v>
      </c>
      <c r="S424" s="4"/>
      <c r="T424" s="4"/>
      <c r="U424" s="4"/>
      <c r="V424" s="4" t="s">
        <v>1372</v>
      </c>
      <c r="W424" s="4"/>
      <c r="X424" s="4"/>
      <c r="Y424" s="4"/>
      <c r="Z424" s="4"/>
      <c r="AA424" s="4"/>
      <c r="AB424" s="4"/>
      <c r="AC424" s="4"/>
      <c r="AD424" s="4">
        <f t="shared" si="6"/>
        <v>18</v>
      </c>
    </row>
    <row r="425" spans="1:30" ht="65.25" thickBot="1" x14ac:dyDescent="0.3">
      <c r="A425" s="3">
        <v>45048.955567129633</v>
      </c>
      <c r="B425" s="4" t="s">
        <v>623</v>
      </c>
      <c r="C425" s="4" t="s">
        <v>870</v>
      </c>
      <c r="D425" s="31" t="s">
        <v>27</v>
      </c>
      <c r="E425" s="4" t="s">
        <v>901</v>
      </c>
      <c r="F425" s="5">
        <v>620778612</v>
      </c>
      <c r="G425" s="4"/>
      <c r="H425" s="4" t="s">
        <v>902</v>
      </c>
      <c r="I425" s="5">
        <v>20</v>
      </c>
      <c r="J425" s="4" t="s">
        <v>38</v>
      </c>
      <c r="K425" s="5">
        <v>20</v>
      </c>
      <c r="L425" s="4" t="s">
        <v>871</v>
      </c>
      <c r="M425" s="4" t="s">
        <v>416</v>
      </c>
      <c r="N425" s="4" t="s">
        <v>57</v>
      </c>
      <c r="O425" s="6">
        <v>45060</v>
      </c>
      <c r="P425" s="4"/>
      <c r="Q425" s="4" t="s">
        <v>628</v>
      </c>
      <c r="R425" s="4" t="s">
        <v>252</v>
      </c>
      <c r="S425" s="4"/>
      <c r="T425" s="4"/>
      <c r="U425" s="4"/>
      <c r="V425" s="4" t="s">
        <v>1372</v>
      </c>
      <c r="W425" s="4"/>
      <c r="X425" s="4"/>
      <c r="Y425" s="4"/>
      <c r="Z425" s="4"/>
      <c r="AA425" s="4"/>
      <c r="AB425" s="4"/>
      <c r="AC425" s="4"/>
      <c r="AD425" s="4">
        <f t="shared" si="6"/>
        <v>18</v>
      </c>
    </row>
    <row r="426" spans="1:30" ht="27" thickBot="1" x14ac:dyDescent="0.3">
      <c r="A426" s="3">
        <v>45049.045798611114</v>
      </c>
      <c r="B426" s="4" t="s">
        <v>234</v>
      </c>
      <c r="C426" s="4" t="s">
        <v>235</v>
      </c>
      <c r="D426" s="31" t="s">
        <v>42</v>
      </c>
      <c r="E426" s="4" t="s">
        <v>903</v>
      </c>
      <c r="F426" s="5">
        <v>628138875</v>
      </c>
      <c r="G426" s="4"/>
      <c r="H426" s="4" t="s">
        <v>777</v>
      </c>
      <c r="I426" s="5">
        <v>40</v>
      </c>
      <c r="J426" s="4" t="s">
        <v>101</v>
      </c>
      <c r="K426" s="5">
        <v>8</v>
      </c>
      <c r="L426" s="4" t="s">
        <v>904</v>
      </c>
      <c r="M426" s="4" t="s">
        <v>904</v>
      </c>
      <c r="N426" s="4" t="s">
        <v>47</v>
      </c>
      <c r="O426" s="6">
        <v>45076</v>
      </c>
      <c r="P426" s="4"/>
      <c r="Q426" s="4" t="s">
        <v>240</v>
      </c>
      <c r="R426" s="4" t="s">
        <v>36</v>
      </c>
      <c r="S426" s="4"/>
      <c r="T426" s="4"/>
      <c r="U426" s="4"/>
      <c r="V426" s="4" t="s">
        <v>1372</v>
      </c>
      <c r="W426" s="4"/>
      <c r="X426" s="4"/>
      <c r="Y426" s="4"/>
      <c r="Z426" s="4"/>
      <c r="AA426" s="4"/>
      <c r="AB426" s="4"/>
      <c r="AC426" s="4"/>
      <c r="AD426" s="4">
        <f t="shared" si="6"/>
        <v>18</v>
      </c>
    </row>
    <row r="427" spans="1:30" ht="27" thickBot="1" x14ac:dyDescent="0.3">
      <c r="A427" s="3">
        <v>45049.048761574071</v>
      </c>
      <c r="B427" s="4" t="s">
        <v>234</v>
      </c>
      <c r="C427" s="4" t="s">
        <v>235</v>
      </c>
      <c r="D427" s="31" t="s">
        <v>42</v>
      </c>
      <c r="E427" s="4" t="s">
        <v>905</v>
      </c>
      <c r="F427" s="5">
        <v>622298683</v>
      </c>
      <c r="G427" s="4"/>
      <c r="H427" s="4" t="s">
        <v>451</v>
      </c>
      <c r="I427" s="5">
        <v>75</v>
      </c>
      <c r="J427" s="4" t="s">
        <v>101</v>
      </c>
      <c r="K427" s="5">
        <v>10</v>
      </c>
      <c r="L427" s="4" t="s">
        <v>314</v>
      </c>
      <c r="M427" s="4" t="s">
        <v>314</v>
      </c>
      <c r="N427" s="4" t="s">
        <v>47</v>
      </c>
      <c r="O427" s="6">
        <v>45082</v>
      </c>
      <c r="P427" s="4"/>
      <c r="Q427" s="4" t="s">
        <v>240</v>
      </c>
      <c r="R427" s="4" t="s">
        <v>36</v>
      </c>
      <c r="S427" s="4"/>
      <c r="T427" s="4"/>
      <c r="U427" s="4"/>
      <c r="V427" s="4" t="s">
        <v>1372</v>
      </c>
      <c r="W427" s="4"/>
      <c r="X427" s="4"/>
      <c r="Y427" s="4"/>
      <c r="Z427" s="4"/>
      <c r="AA427" s="4"/>
      <c r="AB427" s="4"/>
      <c r="AC427" s="4"/>
      <c r="AD427" s="4">
        <f t="shared" si="6"/>
        <v>18</v>
      </c>
    </row>
    <row r="428" spans="1:30" ht="27" thickBot="1" x14ac:dyDescent="0.3">
      <c r="A428" s="3">
        <v>45049.051539351851</v>
      </c>
      <c r="B428" s="4" t="s">
        <v>234</v>
      </c>
      <c r="C428" s="4" t="s">
        <v>235</v>
      </c>
      <c r="D428" s="31" t="s">
        <v>42</v>
      </c>
      <c r="E428" s="4" t="s">
        <v>906</v>
      </c>
      <c r="F428" s="5">
        <v>622838855</v>
      </c>
      <c r="G428" s="4"/>
      <c r="H428" s="4" t="s">
        <v>777</v>
      </c>
      <c r="I428" s="5">
        <v>40</v>
      </c>
      <c r="J428" s="4" t="s">
        <v>101</v>
      </c>
      <c r="K428" s="5">
        <v>5</v>
      </c>
      <c r="L428" s="4" t="s">
        <v>430</v>
      </c>
      <c r="M428" s="4" t="s">
        <v>430</v>
      </c>
      <c r="N428" s="4" t="s">
        <v>47</v>
      </c>
      <c r="O428" s="6">
        <v>45076</v>
      </c>
      <c r="P428" s="4"/>
      <c r="Q428" s="4" t="s">
        <v>240</v>
      </c>
      <c r="R428" s="4" t="s">
        <v>36</v>
      </c>
      <c r="S428" s="4"/>
      <c r="T428" s="4"/>
      <c r="U428" s="4"/>
      <c r="V428" s="4" t="s">
        <v>1372</v>
      </c>
      <c r="W428" s="4"/>
      <c r="X428" s="4"/>
      <c r="Y428" s="4"/>
      <c r="Z428" s="4"/>
      <c r="AA428" s="4"/>
      <c r="AB428" s="4"/>
      <c r="AC428" s="4"/>
      <c r="AD428" s="4">
        <f t="shared" si="6"/>
        <v>18</v>
      </c>
    </row>
    <row r="429" spans="1:30" ht="27" thickBot="1" x14ac:dyDescent="0.3">
      <c r="A429" s="3">
        <v>45049.285474537035</v>
      </c>
      <c r="B429" s="4" t="s">
        <v>241</v>
      </c>
      <c r="C429" s="4" t="s">
        <v>606</v>
      </c>
      <c r="D429" s="31" t="s">
        <v>42</v>
      </c>
      <c r="E429" s="4" t="s">
        <v>907</v>
      </c>
      <c r="F429" s="5">
        <v>622879668</v>
      </c>
      <c r="G429" s="4"/>
      <c r="H429" s="4" t="s">
        <v>825</v>
      </c>
      <c r="I429" s="5">
        <v>78</v>
      </c>
      <c r="J429" s="4" t="s">
        <v>101</v>
      </c>
      <c r="K429" s="5">
        <v>25</v>
      </c>
      <c r="L429" s="4" t="s">
        <v>723</v>
      </c>
      <c r="M429" s="4" t="s">
        <v>147</v>
      </c>
      <c r="N429" s="4" t="s">
        <v>47</v>
      </c>
      <c r="O429" s="6">
        <v>45082</v>
      </c>
      <c r="P429" s="4" t="s">
        <v>706</v>
      </c>
      <c r="Q429" s="4" t="s">
        <v>247</v>
      </c>
      <c r="R429" s="4" t="s">
        <v>36</v>
      </c>
      <c r="S429" s="4"/>
      <c r="T429" s="4"/>
      <c r="U429" s="4"/>
      <c r="V429" s="4" t="s">
        <v>1372</v>
      </c>
      <c r="W429" s="4"/>
      <c r="X429" s="4"/>
      <c r="Y429" s="4"/>
      <c r="Z429" s="4"/>
      <c r="AA429" s="4"/>
      <c r="AB429" s="4"/>
      <c r="AC429" s="4"/>
      <c r="AD429" s="4">
        <f t="shared" si="6"/>
        <v>18</v>
      </c>
    </row>
    <row r="430" spans="1:30" ht="27" thickBot="1" x14ac:dyDescent="0.3">
      <c r="A430" s="3">
        <v>45049.287361111114</v>
      </c>
      <c r="B430" s="4" t="s">
        <v>241</v>
      </c>
      <c r="C430" s="4" t="s">
        <v>606</v>
      </c>
      <c r="D430" s="31" t="s">
        <v>42</v>
      </c>
      <c r="E430" s="4" t="s">
        <v>908</v>
      </c>
      <c r="F430" s="5">
        <v>621318735</v>
      </c>
      <c r="G430" s="4"/>
      <c r="H430" s="4" t="s">
        <v>825</v>
      </c>
      <c r="I430" s="5">
        <v>82</v>
      </c>
      <c r="J430" s="4" t="s">
        <v>101</v>
      </c>
      <c r="K430" s="5">
        <v>14</v>
      </c>
      <c r="L430" s="4" t="s">
        <v>909</v>
      </c>
      <c r="M430" s="4" t="s">
        <v>246</v>
      </c>
      <c r="N430" s="4" t="s">
        <v>33</v>
      </c>
      <c r="O430" s="6">
        <v>45077</v>
      </c>
      <c r="P430" s="4" t="s">
        <v>706</v>
      </c>
      <c r="Q430" s="4" t="s">
        <v>247</v>
      </c>
      <c r="R430" s="4" t="s">
        <v>36</v>
      </c>
      <c r="S430" s="4"/>
      <c r="T430" s="4"/>
      <c r="U430" s="4"/>
      <c r="V430" s="4" t="s">
        <v>1372</v>
      </c>
      <c r="W430" s="4"/>
      <c r="X430" s="4"/>
      <c r="Y430" s="4"/>
      <c r="Z430" s="4"/>
      <c r="AA430" s="4"/>
      <c r="AB430" s="4"/>
      <c r="AC430" s="4"/>
      <c r="AD430" s="4">
        <f t="shared" si="6"/>
        <v>18</v>
      </c>
    </row>
    <row r="431" spans="1:30" ht="27" thickBot="1" x14ac:dyDescent="0.3">
      <c r="A431" s="3">
        <v>45049.289259259262</v>
      </c>
      <c r="B431" s="4" t="s">
        <v>241</v>
      </c>
      <c r="C431" s="4" t="s">
        <v>606</v>
      </c>
      <c r="D431" s="31" t="s">
        <v>42</v>
      </c>
      <c r="E431" s="4" t="s">
        <v>910</v>
      </c>
      <c r="F431" s="5">
        <v>622489062</v>
      </c>
      <c r="G431" s="4"/>
      <c r="H431" s="4" t="s">
        <v>825</v>
      </c>
      <c r="I431" s="5">
        <v>82</v>
      </c>
      <c r="J431" s="4" t="s">
        <v>101</v>
      </c>
      <c r="K431" s="5">
        <v>15</v>
      </c>
      <c r="L431" s="4" t="s">
        <v>911</v>
      </c>
      <c r="M431" s="4" t="s">
        <v>147</v>
      </c>
      <c r="N431" s="4" t="s">
        <v>33</v>
      </c>
      <c r="O431" s="6">
        <v>45080</v>
      </c>
      <c r="P431" s="4" t="s">
        <v>706</v>
      </c>
      <c r="Q431" s="4" t="s">
        <v>247</v>
      </c>
      <c r="R431" s="4" t="s">
        <v>36</v>
      </c>
      <c r="S431" s="4"/>
      <c r="T431" s="4"/>
      <c r="U431" s="4"/>
      <c r="V431" s="4" t="s">
        <v>1372</v>
      </c>
      <c r="W431" s="4"/>
      <c r="X431" s="4"/>
      <c r="Y431" s="4"/>
      <c r="Z431" s="4"/>
      <c r="AA431" s="4"/>
      <c r="AB431" s="4"/>
      <c r="AC431" s="4"/>
      <c r="AD431" s="4">
        <f t="shared" si="6"/>
        <v>18</v>
      </c>
    </row>
    <row r="432" spans="1:30" ht="27" thickBot="1" x14ac:dyDescent="0.3">
      <c r="A432" s="3">
        <v>45049.291342592594</v>
      </c>
      <c r="B432" s="4" t="s">
        <v>241</v>
      </c>
      <c r="C432" s="4" t="s">
        <v>606</v>
      </c>
      <c r="D432" s="31" t="s">
        <v>27</v>
      </c>
      <c r="E432" s="4" t="s">
        <v>912</v>
      </c>
      <c r="F432" s="5">
        <v>622086633</v>
      </c>
      <c r="G432" s="4"/>
      <c r="H432" s="4" t="s">
        <v>825</v>
      </c>
      <c r="I432" s="5">
        <v>83</v>
      </c>
      <c r="J432" s="4" t="s">
        <v>101</v>
      </c>
      <c r="K432" s="5">
        <v>22</v>
      </c>
      <c r="L432" s="4" t="s">
        <v>723</v>
      </c>
      <c r="M432" s="4" t="s">
        <v>147</v>
      </c>
      <c r="N432" s="4" t="s">
        <v>47</v>
      </c>
      <c r="O432" s="6">
        <v>45087</v>
      </c>
      <c r="P432" s="4" t="s">
        <v>706</v>
      </c>
      <c r="Q432" s="4" t="s">
        <v>247</v>
      </c>
      <c r="R432" s="4" t="s">
        <v>36</v>
      </c>
      <c r="S432" s="4"/>
      <c r="T432" s="4"/>
      <c r="U432" s="4"/>
      <c r="V432" s="4" t="s">
        <v>1372</v>
      </c>
      <c r="W432" s="4"/>
      <c r="X432" s="4"/>
      <c r="Y432" s="4"/>
      <c r="Z432" s="4"/>
      <c r="AA432" s="4"/>
      <c r="AB432" s="4"/>
      <c r="AC432" s="4"/>
      <c r="AD432" s="4">
        <f t="shared" si="6"/>
        <v>18</v>
      </c>
    </row>
    <row r="433" spans="1:30" ht="27" thickBot="1" x14ac:dyDescent="0.3">
      <c r="A433" s="3">
        <v>45049.293414351851</v>
      </c>
      <c r="B433" s="4" t="s">
        <v>241</v>
      </c>
      <c r="C433" s="4" t="s">
        <v>606</v>
      </c>
      <c r="D433" s="31" t="s">
        <v>42</v>
      </c>
      <c r="E433" s="4" t="s">
        <v>913</v>
      </c>
      <c r="F433" s="5">
        <v>628954803</v>
      </c>
      <c r="G433" s="4"/>
      <c r="H433" s="4" t="s">
        <v>825</v>
      </c>
      <c r="I433" s="5">
        <v>82</v>
      </c>
      <c r="J433" s="4" t="s">
        <v>101</v>
      </c>
      <c r="K433" s="5">
        <v>18</v>
      </c>
      <c r="L433" s="4" t="s">
        <v>835</v>
      </c>
      <c r="M433" s="4" t="s">
        <v>835</v>
      </c>
      <c r="N433" s="4" t="s">
        <v>33</v>
      </c>
      <c r="O433" s="6">
        <v>45071</v>
      </c>
      <c r="P433" s="4" t="s">
        <v>706</v>
      </c>
      <c r="Q433" s="4" t="s">
        <v>247</v>
      </c>
      <c r="R433" s="4" t="s">
        <v>36</v>
      </c>
      <c r="S433" s="4"/>
      <c r="T433" s="4"/>
      <c r="U433" s="4"/>
      <c r="V433" s="4" t="s">
        <v>1372</v>
      </c>
      <c r="W433" s="4"/>
      <c r="X433" s="4"/>
      <c r="Y433" s="4"/>
      <c r="Z433" s="4"/>
      <c r="AA433" s="4"/>
      <c r="AB433" s="4"/>
      <c r="AC433" s="4"/>
      <c r="AD433" s="4">
        <f t="shared" si="6"/>
        <v>18</v>
      </c>
    </row>
    <row r="434" spans="1:30" ht="27" thickBot="1" x14ac:dyDescent="0.3">
      <c r="A434" s="3">
        <v>45049.295567129629</v>
      </c>
      <c r="B434" s="4" t="s">
        <v>241</v>
      </c>
      <c r="C434" s="4" t="s">
        <v>606</v>
      </c>
      <c r="D434" s="31" t="s">
        <v>42</v>
      </c>
      <c r="E434" s="4" t="s">
        <v>914</v>
      </c>
      <c r="F434" s="5">
        <v>621054136</v>
      </c>
      <c r="G434" s="4"/>
      <c r="H434" s="4" t="s">
        <v>825</v>
      </c>
      <c r="I434" s="5">
        <v>83</v>
      </c>
      <c r="J434" s="4" t="s">
        <v>38</v>
      </c>
      <c r="K434" s="5">
        <v>12</v>
      </c>
      <c r="L434" s="4" t="s">
        <v>837</v>
      </c>
      <c r="M434" s="4" t="s">
        <v>246</v>
      </c>
      <c r="N434" s="4" t="s">
        <v>33</v>
      </c>
      <c r="O434" s="6">
        <v>45078</v>
      </c>
      <c r="P434" s="4" t="s">
        <v>706</v>
      </c>
      <c r="Q434" s="4" t="s">
        <v>247</v>
      </c>
      <c r="R434" s="4" t="s">
        <v>36</v>
      </c>
      <c r="S434" s="4"/>
      <c r="T434" s="4"/>
      <c r="U434" s="4"/>
      <c r="V434" s="4" t="s">
        <v>1372</v>
      </c>
      <c r="W434" s="4"/>
      <c r="X434" s="4"/>
      <c r="Y434" s="4"/>
      <c r="Z434" s="4"/>
      <c r="AA434" s="4"/>
      <c r="AB434" s="4"/>
      <c r="AC434" s="4"/>
      <c r="AD434" s="4">
        <f t="shared" si="6"/>
        <v>18</v>
      </c>
    </row>
    <row r="435" spans="1:30" ht="39.75" thickBot="1" x14ac:dyDescent="0.3">
      <c r="A435" s="3">
        <v>45049.297430555554</v>
      </c>
      <c r="B435" s="4" t="s">
        <v>241</v>
      </c>
      <c r="C435" s="4" t="s">
        <v>606</v>
      </c>
      <c r="D435" s="31" t="s">
        <v>27</v>
      </c>
      <c r="E435" s="4" t="s">
        <v>915</v>
      </c>
      <c r="F435" s="5">
        <v>622659462</v>
      </c>
      <c r="G435" s="4"/>
      <c r="H435" s="4" t="s">
        <v>825</v>
      </c>
      <c r="I435" s="5">
        <v>82</v>
      </c>
      <c r="J435" s="4" t="s">
        <v>101</v>
      </c>
      <c r="K435" s="5">
        <v>65</v>
      </c>
      <c r="L435" s="4" t="s">
        <v>916</v>
      </c>
      <c r="M435" s="4" t="s">
        <v>147</v>
      </c>
      <c r="N435" s="4" t="s">
        <v>47</v>
      </c>
      <c r="O435" s="6">
        <v>45079</v>
      </c>
      <c r="P435" s="4" t="s">
        <v>706</v>
      </c>
      <c r="Q435" s="4" t="s">
        <v>247</v>
      </c>
      <c r="R435" s="4" t="s">
        <v>36</v>
      </c>
      <c r="S435" s="4"/>
      <c r="T435" s="4"/>
      <c r="U435" s="4"/>
      <c r="V435" s="4" t="s">
        <v>1372</v>
      </c>
      <c r="W435" s="4"/>
      <c r="X435" s="4"/>
      <c r="Y435" s="4"/>
      <c r="Z435" s="4"/>
      <c r="AA435" s="4"/>
      <c r="AB435" s="4"/>
      <c r="AC435" s="4"/>
      <c r="AD435" s="4">
        <f t="shared" si="6"/>
        <v>18</v>
      </c>
    </row>
    <row r="436" spans="1:30" ht="27" thickBot="1" x14ac:dyDescent="0.3">
      <c r="A436" s="3">
        <v>45049.404768518521</v>
      </c>
      <c r="B436" s="4" t="s">
        <v>1771</v>
      </c>
      <c r="C436" s="4" t="s">
        <v>496</v>
      </c>
      <c r="D436" s="31" t="s">
        <v>42</v>
      </c>
      <c r="E436" s="4" t="s">
        <v>917</v>
      </c>
      <c r="F436" s="5">
        <v>621575211</v>
      </c>
      <c r="G436" s="5">
        <v>621575211</v>
      </c>
      <c r="H436" s="4" t="s">
        <v>525</v>
      </c>
      <c r="I436" s="5">
        <v>7</v>
      </c>
      <c r="J436" s="4" t="s">
        <v>38</v>
      </c>
      <c r="K436" s="5">
        <v>1</v>
      </c>
      <c r="L436" s="4" t="s">
        <v>526</v>
      </c>
      <c r="M436" s="4" t="s">
        <v>527</v>
      </c>
      <c r="N436" s="4" t="s">
        <v>41</v>
      </c>
      <c r="O436" s="6">
        <v>45049</v>
      </c>
      <c r="P436" s="4" t="s">
        <v>523</v>
      </c>
      <c r="Q436" s="4" t="s">
        <v>500</v>
      </c>
      <c r="R436" s="4" t="s">
        <v>36</v>
      </c>
      <c r="S436" s="4" t="s">
        <v>59</v>
      </c>
      <c r="T436" s="5">
        <v>1</v>
      </c>
      <c r="U436" s="6">
        <v>45049</v>
      </c>
      <c r="V436" s="4" t="s">
        <v>1352</v>
      </c>
      <c r="W436" s="10" t="s">
        <v>918</v>
      </c>
      <c r="X436" s="4"/>
      <c r="Y436" s="4"/>
      <c r="Z436" s="4"/>
      <c r="AA436" s="4"/>
      <c r="AB436" s="4"/>
      <c r="AC436" s="4"/>
      <c r="AD436" s="4">
        <f t="shared" si="6"/>
        <v>18</v>
      </c>
    </row>
    <row r="437" spans="1:30" ht="27" thickBot="1" x14ac:dyDescent="0.3">
      <c r="A437" s="3">
        <v>45049.414664351854</v>
      </c>
      <c r="B437" s="4" t="s">
        <v>1771</v>
      </c>
      <c r="C437" s="4" t="s">
        <v>496</v>
      </c>
      <c r="D437" s="31" t="s">
        <v>42</v>
      </c>
      <c r="E437" s="4" t="s">
        <v>919</v>
      </c>
      <c r="F437" s="5">
        <v>628650600</v>
      </c>
      <c r="G437" s="5">
        <v>628650600</v>
      </c>
      <c r="H437" s="4" t="s">
        <v>525</v>
      </c>
      <c r="I437" s="5">
        <v>9</v>
      </c>
      <c r="J437" s="4" t="s">
        <v>38</v>
      </c>
      <c r="K437" s="5">
        <v>3</v>
      </c>
      <c r="L437" s="4" t="s">
        <v>526</v>
      </c>
      <c r="M437" s="4" t="s">
        <v>527</v>
      </c>
      <c r="N437" s="4" t="s">
        <v>41</v>
      </c>
      <c r="O437" s="6">
        <v>45051</v>
      </c>
      <c r="P437" s="4" t="s">
        <v>523</v>
      </c>
      <c r="Q437" s="4" t="s">
        <v>500</v>
      </c>
      <c r="R437" s="4" t="s">
        <v>36</v>
      </c>
      <c r="S437" s="4" t="s">
        <v>59</v>
      </c>
      <c r="T437" s="5">
        <v>3</v>
      </c>
      <c r="U437" s="6">
        <v>45049</v>
      </c>
      <c r="V437" s="4" t="s">
        <v>1352</v>
      </c>
      <c r="W437" s="10" t="s">
        <v>918</v>
      </c>
      <c r="X437" s="4"/>
      <c r="Y437" s="4"/>
      <c r="Z437" s="4"/>
      <c r="AA437" s="4"/>
      <c r="AB437" s="4"/>
      <c r="AC437" s="4"/>
      <c r="AD437" s="4">
        <f t="shared" si="6"/>
        <v>18</v>
      </c>
    </row>
    <row r="438" spans="1:30" ht="27" thickBot="1" x14ac:dyDescent="0.3">
      <c r="A438" s="3">
        <v>45049.41983796296</v>
      </c>
      <c r="B438" s="4" t="s">
        <v>614</v>
      </c>
      <c r="C438" s="4" t="s">
        <v>614</v>
      </c>
      <c r="D438" s="31" t="s">
        <v>42</v>
      </c>
      <c r="E438" s="4" t="s">
        <v>920</v>
      </c>
      <c r="F438" s="5">
        <v>623597802</v>
      </c>
      <c r="G438" s="4"/>
      <c r="H438" s="4" t="s">
        <v>921</v>
      </c>
      <c r="I438" s="5">
        <v>60</v>
      </c>
      <c r="J438" s="4" t="s">
        <v>38</v>
      </c>
      <c r="K438" s="5">
        <v>3</v>
      </c>
      <c r="L438" s="4" t="s">
        <v>922</v>
      </c>
      <c r="M438" s="4" t="s">
        <v>922</v>
      </c>
      <c r="N438" s="4" t="s">
        <v>33</v>
      </c>
      <c r="O438" s="6">
        <v>45050</v>
      </c>
      <c r="P438" s="4"/>
      <c r="Q438" s="4" t="s">
        <v>348</v>
      </c>
      <c r="R438" s="4" t="s">
        <v>36</v>
      </c>
      <c r="S438" s="4" t="s">
        <v>59</v>
      </c>
      <c r="T438" s="5">
        <v>3</v>
      </c>
      <c r="U438" s="6">
        <v>45049</v>
      </c>
      <c r="V438" s="4" t="s">
        <v>1352</v>
      </c>
      <c r="W438" s="10" t="s">
        <v>666</v>
      </c>
      <c r="X438" s="4"/>
      <c r="Y438" s="4"/>
      <c r="Z438" s="4"/>
      <c r="AA438" s="4"/>
      <c r="AB438" s="4"/>
      <c r="AC438" s="4"/>
      <c r="AD438" s="4">
        <f t="shared" si="6"/>
        <v>18</v>
      </c>
    </row>
    <row r="439" spans="1:30" ht="39.75" thickBot="1" x14ac:dyDescent="0.3">
      <c r="A439" s="3">
        <v>45049.431828703702</v>
      </c>
      <c r="B439" s="4" t="s">
        <v>115</v>
      </c>
      <c r="C439" s="4" t="s">
        <v>923</v>
      </c>
      <c r="D439" s="31" t="s">
        <v>42</v>
      </c>
      <c r="E439" s="4" t="s">
        <v>924</v>
      </c>
      <c r="F439" s="5">
        <v>623503269</v>
      </c>
      <c r="G439" s="4"/>
      <c r="H439" s="4" t="s">
        <v>925</v>
      </c>
      <c r="I439" s="5">
        <v>80</v>
      </c>
      <c r="J439" s="4" t="s">
        <v>38</v>
      </c>
      <c r="K439" s="5">
        <v>2</v>
      </c>
      <c r="L439" s="4" t="s">
        <v>119</v>
      </c>
      <c r="M439" s="4" t="s">
        <v>926</v>
      </c>
      <c r="N439" s="4" t="s">
        <v>47</v>
      </c>
      <c r="O439" s="6">
        <v>45235</v>
      </c>
      <c r="P439" s="4" t="s">
        <v>927</v>
      </c>
      <c r="Q439" s="4" t="s">
        <v>122</v>
      </c>
      <c r="R439" s="4" t="s">
        <v>36</v>
      </c>
      <c r="S439" s="4" t="s">
        <v>59</v>
      </c>
      <c r="T439" s="5">
        <v>2</v>
      </c>
      <c r="U439" s="6">
        <v>45055</v>
      </c>
      <c r="V439" s="4" t="s">
        <v>1353</v>
      </c>
      <c r="W439" s="4" t="s">
        <v>928</v>
      </c>
      <c r="X439" s="4"/>
      <c r="Y439" s="4"/>
      <c r="Z439" s="4"/>
      <c r="AA439" s="4"/>
      <c r="AB439" s="4"/>
      <c r="AC439" s="4"/>
      <c r="AD439" s="4">
        <f t="shared" si="6"/>
        <v>18</v>
      </c>
    </row>
    <row r="440" spans="1:30" ht="39.75" thickBot="1" x14ac:dyDescent="0.3">
      <c r="A440" s="3">
        <v>45049.469421296293</v>
      </c>
      <c r="B440" s="4" t="s">
        <v>115</v>
      </c>
      <c r="C440" s="4" t="s">
        <v>116</v>
      </c>
      <c r="D440" s="31" t="s">
        <v>42</v>
      </c>
      <c r="E440" s="4" t="s">
        <v>929</v>
      </c>
      <c r="F440" s="5">
        <v>621190553</v>
      </c>
      <c r="G440" s="4"/>
      <c r="H440" s="4" t="s">
        <v>925</v>
      </c>
      <c r="I440" s="5">
        <v>70</v>
      </c>
      <c r="J440" s="4" t="s">
        <v>38</v>
      </c>
      <c r="K440" s="5">
        <v>6</v>
      </c>
      <c r="L440" s="4" t="s">
        <v>119</v>
      </c>
      <c r="M440" s="4" t="s">
        <v>926</v>
      </c>
      <c r="N440" s="4" t="s">
        <v>47</v>
      </c>
      <c r="O440" s="6">
        <v>45238</v>
      </c>
      <c r="P440" s="4" t="s">
        <v>927</v>
      </c>
      <c r="Q440" s="4" t="s">
        <v>122</v>
      </c>
      <c r="R440" s="4" t="s">
        <v>36</v>
      </c>
      <c r="S440" s="4" t="s">
        <v>59</v>
      </c>
      <c r="T440" s="5">
        <v>6</v>
      </c>
      <c r="U440" s="6">
        <v>45055</v>
      </c>
      <c r="V440" s="4" t="s">
        <v>1353</v>
      </c>
      <c r="W440" s="4" t="s">
        <v>928</v>
      </c>
      <c r="X440" s="4"/>
      <c r="Y440" s="4"/>
      <c r="Z440" s="4"/>
      <c r="AA440" s="4"/>
      <c r="AB440" s="4"/>
      <c r="AC440" s="4"/>
      <c r="AD440" s="4">
        <f t="shared" si="6"/>
        <v>18</v>
      </c>
    </row>
    <row r="441" spans="1:30" ht="39.75" thickBot="1" x14ac:dyDescent="0.3">
      <c r="A441" s="3">
        <v>45049.471967592595</v>
      </c>
      <c r="B441" s="4" t="s">
        <v>876</v>
      </c>
      <c r="C441" s="4" t="s">
        <v>890</v>
      </c>
      <c r="D441" s="31" t="s">
        <v>42</v>
      </c>
      <c r="E441" s="4" t="s">
        <v>930</v>
      </c>
      <c r="F441" s="5">
        <v>622486297</v>
      </c>
      <c r="G441" s="4"/>
      <c r="H441" s="4" t="s">
        <v>879</v>
      </c>
      <c r="I441" s="5">
        <v>44</v>
      </c>
      <c r="J441" s="4" t="s">
        <v>101</v>
      </c>
      <c r="K441" s="5">
        <v>5</v>
      </c>
      <c r="L441" s="4" t="s">
        <v>881</v>
      </c>
      <c r="M441" s="4" t="s">
        <v>881</v>
      </c>
      <c r="N441" s="4" t="s">
        <v>57</v>
      </c>
      <c r="O441" s="6">
        <v>45071</v>
      </c>
      <c r="P441" s="4"/>
      <c r="Q441" s="4" t="s">
        <v>882</v>
      </c>
      <c r="R441" s="4" t="s">
        <v>36</v>
      </c>
      <c r="S441" s="4"/>
      <c r="T441" s="4"/>
      <c r="U441" s="4"/>
      <c r="V441" s="4" t="s">
        <v>1372</v>
      </c>
      <c r="W441" s="4"/>
      <c r="X441" s="4"/>
      <c r="Y441" s="4"/>
      <c r="Z441" s="4"/>
      <c r="AA441" s="4"/>
      <c r="AB441" s="4"/>
      <c r="AC441" s="4"/>
      <c r="AD441" s="4">
        <f t="shared" si="6"/>
        <v>18</v>
      </c>
    </row>
    <row r="442" spans="1:30" ht="27" thickBot="1" x14ac:dyDescent="0.3">
      <c r="A442" s="3">
        <v>45049.472928240742</v>
      </c>
      <c r="B442" s="4" t="s">
        <v>115</v>
      </c>
      <c r="C442" s="4" t="s">
        <v>116</v>
      </c>
      <c r="D442" s="31" t="s">
        <v>42</v>
      </c>
      <c r="E442" s="4" t="s">
        <v>931</v>
      </c>
      <c r="F442" s="5">
        <v>621311638</v>
      </c>
      <c r="G442" s="4"/>
      <c r="H442" s="4" t="s">
        <v>925</v>
      </c>
      <c r="I442" s="5">
        <v>80</v>
      </c>
      <c r="J442" s="4" t="s">
        <v>38</v>
      </c>
      <c r="K442" s="5">
        <v>1</v>
      </c>
      <c r="L442" s="4" t="s">
        <v>119</v>
      </c>
      <c r="M442" s="4" t="s">
        <v>926</v>
      </c>
      <c r="N442" s="4" t="s">
        <v>47</v>
      </c>
      <c r="O442" s="6">
        <v>45240</v>
      </c>
      <c r="P442" s="4" t="s">
        <v>932</v>
      </c>
      <c r="Q442" s="4" t="s">
        <v>122</v>
      </c>
      <c r="R442" s="4" t="s">
        <v>36</v>
      </c>
      <c r="S442" s="4" t="s">
        <v>59</v>
      </c>
      <c r="T442" s="5">
        <v>1</v>
      </c>
      <c r="U442" s="6">
        <v>45055</v>
      </c>
      <c r="V442" s="4" t="s">
        <v>1353</v>
      </c>
      <c r="W442" s="4" t="s">
        <v>928</v>
      </c>
      <c r="X442" s="4"/>
      <c r="Y442" s="4"/>
      <c r="Z442" s="4"/>
      <c r="AA442" s="4"/>
      <c r="AB442" s="4"/>
      <c r="AC442" s="4"/>
      <c r="AD442" s="4">
        <f t="shared" si="6"/>
        <v>18</v>
      </c>
    </row>
    <row r="443" spans="1:30" ht="27" thickBot="1" x14ac:dyDescent="0.3">
      <c r="A443" s="3">
        <v>45049.489027777781</v>
      </c>
      <c r="B443" s="4" t="s">
        <v>614</v>
      </c>
      <c r="C443" s="4" t="s">
        <v>614</v>
      </c>
      <c r="D443" s="31" t="s">
        <v>42</v>
      </c>
      <c r="E443" s="4" t="s">
        <v>615</v>
      </c>
      <c r="F443" s="5">
        <v>628284857</v>
      </c>
      <c r="G443" s="4"/>
      <c r="H443" s="4" t="s">
        <v>352</v>
      </c>
      <c r="I443" s="5">
        <v>10</v>
      </c>
      <c r="J443" s="4" t="s">
        <v>38</v>
      </c>
      <c r="K443" s="5">
        <v>5</v>
      </c>
      <c r="L443" s="4" t="s">
        <v>922</v>
      </c>
      <c r="M443" s="4" t="s">
        <v>922</v>
      </c>
      <c r="N443" s="4" t="s">
        <v>33</v>
      </c>
      <c r="O443" s="6">
        <v>45049</v>
      </c>
      <c r="P443" s="4"/>
      <c r="Q443" s="4" t="s">
        <v>348</v>
      </c>
      <c r="R443" s="4" t="s">
        <v>36</v>
      </c>
      <c r="S443" s="4" t="s">
        <v>59</v>
      </c>
      <c r="T443" s="5">
        <v>5</v>
      </c>
      <c r="U443" s="6">
        <v>45049</v>
      </c>
      <c r="V443" s="4" t="s">
        <v>1352</v>
      </c>
      <c r="W443" s="10" t="s">
        <v>933</v>
      </c>
      <c r="X443" s="4"/>
      <c r="Y443" s="4"/>
      <c r="Z443" s="4"/>
      <c r="AA443" s="4"/>
      <c r="AB443" s="4"/>
      <c r="AC443" s="4"/>
      <c r="AD443" s="4">
        <f t="shared" si="6"/>
        <v>18</v>
      </c>
    </row>
    <row r="444" spans="1:30" ht="27" thickBot="1" x14ac:dyDescent="0.3">
      <c r="A444" s="3">
        <v>45049.499664351853</v>
      </c>
      <c r="B444" s="4" t="s">
        <v>1771</v>
      </c>
      <c r="C444" s="4" t="s">
        <v>496</v>
      </c>
      <c r="D444" s="31" t="s">
        <v>27</v>
      </c>
      <c r="E444" s="4" t="s">
        <v>934</v>
      </c>
      <c r="F444" s="5">
        <v>620584839</v>
      </c>
      <c r="G444" s="5">
        <v>620584839</v>
      </c>
      <c r="H444" s="4" t="s">
        <v>160</v>
      </c>
      <c r="I444" s="5">
        <v>70</v>
      </c>
      <c r="J444" s="4" t="s">
        <v>38</v>
      </c>
      <c r="K444" s="5">
        <v>20</v>
      </c>
      <c r="L444" s="4" t="s">
        <v>526</v>
      </c>
      <c r="M444" s="4" t="s">
        <v>527</v>
      </c>
      <c r="N444" s="4" t="s">
        <v>41</v>
      </c>
      <c r="O444" s="6">
        <v>45055</v>
      </c>
      <c r="P444" s="4" t="s">
        <v>523</v>
      </c>
      <c r="Q444" s="4" t="s">
        <v>500</v>
      </c>
      <c r="R444" s="4" t="s">
        <v>36</v>
      </c>
      <c r="S444" s="4"/>
      <c r="T444" s="4"/>
      <c r="U444" s="4"/>
      <c r="V444" s="4" t="s">
        <v>1372</v>
      </c>
      <c r="W444" s="4"/>
      <c r="X444" s="4"/>
      <c r="Y444" s="4"/>
      <c r="Z444" s="4"/>
      <c r="AA444" s="4"/>
      <c r="AB444" s="4"/>
      <c r="AC444" s="4"/>
      <c r="AD444" s="4">
        <f t="shared" si="6"/>
        <v>18</v>
      </c>
    </row>
    <row r="445" spans="1:30" ht="27" thickBot="1" x14ac:dyDescent="0.3">
      <c r="A445" s="3">
        <v>45049.501238425924</v>
      </c>
      <c r="B445" s="4" t="s">
        <v>614</v>
      </c>
      <c r="C445" s="4" t="s">
        <v>614</v>
      </c>
      <c r="D445" s="31" t="s">
        <v>42</v>
      </c>
      <c r="E445" s="4" t="s">
        <v>935</v>
      </c>
      <c r="F445" s="5">
        <v>628212086</v>
      </c>
      <c r="G445" s="4"/>
      <c r="H445" s="4" t="s">
        <v>936</v>
      </c>
      <c r="I445" s="5">
        <v>55</v>
      </c>
      <c r="J445" s="4" t="s">
        <v>38</v>
      </c>
      <c r="K445" s="5">
        <v>10</v>
      </c>
      <c r="L445" s="4" t="s">
        <v>937</v>
      </c>
      <c r="M445" s="4" t="s">
        <v>922</v>
      </c>
      <c r="N445" s="4" t="s">
        <v>90</v>
      </c>
      <c r="O445" s="6">
        <v>45052</v>
      </c>
      <c r="P445" s="4"/>
      <c r="Q445" s="4" t="s">
        <v>348</v>
      </c>
      <c r="R445" s="4" t="s">
        <v>36</v>
      </c>
      <c r="S445" s="4" t="s">
        <v>59</v>
      </c>
      <c r="T445" s="5">
        <v>10</v>
      </c>
      <c r="U445" s="6">
        <v>45049</v>
      </c>
      <c r="V445" s="4" t="s">
        <v>1352</v>
      </c>
      <c r="W445" s="10" t="s">
        <v>933</v>
      </c>
      <c r="X445" s="4"/>
      <c r="Y445" s="4"/>
      <c r="Z445" s="4"/>
      <c r="AA445" s="4"/>
      <c r="AB445" s="4"/>
      <c r="AC445" s="4"/>
      <c r="AD445" s="4">
        <f t="shared" si="6"/>
        <v>18</v>
      </c>
    </row>
    <row r="446" spans="1:30" ht="39.75" thickBot="1" x14ac:dyDescent="0.3">
      <c r="A446" s="3">
        <v>45049.51185185185</v>
      </c>
      <c r="B446" s="4" t="s">
        <v>115</v>
      </c>
      <c r="C446" s="4" t="s">
        <v>116</v>
      </c>
      <c r="D446" s="31" t="s">
        <v>42</v>
      </c>
      <c r="E446" s="4" t="s">
        <v>938</v>
      </c>
      <c r="F446" s="5">
        <v>627026066</v>
      </c>
      <c r="G446" s="4"/>
      <c r="H446" s="4" t="s">
        <v>925</v>
      </c>
      <c r="I446" s="5">
        <v>80</v>
      </c>
      <c r="J446" s="4" t="s">
        <v>38</v>
      </c>
      <c r="K446" s="5">
        <v>1</v>
      </c>
      <c r="L446" s="4" t="s">
        <v>119</v>
      </c>
      <c r="M446" s="4" t="s">
        <v>926</v>
      </c>
      <c r="N446" s="4" t="s">
        <v>47</v>
      </c>
      <c r="O446" s="6">
        <v>45179</v>
      </c>
      <c r="P446" s="4" t="s">
        <v>927</v>
      </c>
      <c r="Q446" s="4" t="s">
        <v>122</v>
      </c>
      <c r="R446" s="4" t="s">
        <v>36</v>
      </c>
      <c r="S446" s="4"/>
      <c r="T446" s="4"/>
      <c r="U446" s="4"/>
      <c r="V446" s="4" t="s">
        <v>1372</v>
      </c>
      <c r="W446" s="4"/>
      <c r="X446" s="4"/>
      <c r="Y446" s="4"/>
      <c r="Z446" s="4"/>
      <c r="AA446" s="4"/>
      <c r="AB446" s="4"/>
      <c r="AC446" s="4"/>
      <c r="AD446" s="4">
        <f t="shared" si="6"/>
        <v>18</v>
      </c>
    </row>
    <row r="447" spans="1:30" ht="39.75" thickBot="1" x14ac:dyDescent="0.3">
      <c r="A447" s="3">
        <v>45049.517592592594</v>
      </c>
      <c r="B447" s="4" t="s">
        <v>115</v>
      </c>
      <c r="C447" s="4" t="s">
        <v>116</v>
      </c>
      <c r="D447" s="31" t="s">
        <v>42</v>
      </c>
      <c r="E447" s="4" t="s">
        <v>939</v>
      </c>
      <c r="F447" s="5">
        <v>621307012</v>
      </c>
      <c r="G447" s="4"/>
      <c r="H447" s="4" t="s">
        <v>925</v>
      </c>
      <c r="I447" s="5">
        <v>80</v>
      </c>
      <c r="J447" s="4" t="s">
        <v>38</v>
      </c>
      <c r="K447" s="5">
        <v>1</v>
      </c>
      <c r="L447" s="4" t="s">
        <v>119</v>
      </c>
      <c r="M447" s="4" t="s">
        <v>926</v>
      </c>
      <c r="N447" s="4" t="s">
        <v>47</v>
      </c>
      <c r="O447" s="6">
        <v>45239</v>
      </c>
      <c r="P447" s="4" t="s">
        <v>927</v>
      </c>
      <c r="Q447" s="4" t="s">
        <v>122</v>
      </c>
      <c r="R447" s="4" t="s">
        <v>36</v>
      </c>
      <c r="S447" s="4"/>
      <c r="T447" s="4"/>
      <c r="U447" s="4"/>
      <c r="V447" s="4" t="s">
        <v>1372</v>
      </c>
      <c r="W447" s="4"/>
      <c r="X447" s="4"/>
      <c r="Y447" s="4"/>
      <c r="Z447" s="4"/>
      <c r="AA447" s="4"/>
      <c r="AB447" s="4"/>
      <c r="AC447" s="4"/>
      <c r="AD447" s="4">
        <f t="shared" si="6"/>
        <v>18</v>
      </c>
    </row>
    <row r="448" spans="1:30" ht="39.75" thickBot="1" x14ac:dyDescent="0.3">
      <c r="A448" s="3">
        <v>45049.526099537034</v>
      </c>
      <c r="B448" s="4" t="s">
        <v>115</v>
      </c>
      <c r="C448" s="4" t="s">
        <v>116</v>
      </c>
      <c r="D448" s="31" t="s">
        <v>42</v>
      </c>
      <c r="E448" s="4" t="s">
        <v>940</v>
      </c>
      <c r="F448" s="5">
        <v>628359884</v>
      </c>
      <c r="G448" s="4"/>
      <c r="H448" s="4" t="s">
        <v>941</v>
      </c>
      <c r="I448" s="5">
        <v>5</v>
      </c>
      <c r="J448" s="4" t="s">
        <v>38</v>
      </c>
      <c r="K448" s="5">
        <v>1</v>
      </c>
      <c r="L448" s="4" t="s">
        <v>119</v>
      </c>
      <c r="M448" s="4" t="s">
        <v>926</v>
      </c>
      <c r="N448" s="4" t="s">
        <v>47</v>
      </c>
      <c r="O448" s="6">
        <v>45058</v>
      </c>
      <c r="P448" s="4" t="s">
        <v>927</v>
      </c>
      <c r="Q448" s="4" t="s">
        <v>122</v>
      </c>
      <c r="R448" s="4" t="s">
        <v>36</v>
      </c>
      <c r="S448" s="4" t="s">
        <v>59</v>
      </c>
      <c r="T448" s="5">
        <v>1</v>
      </c>
      <c r="U448" s="6">
        <v>45057</v>
      </c>
      <c r="V448" s="4" t="s">
        <v>1353</v>
      </c>
      <c r="W448" s="4" t="s">
        <v>928</v>
      </c>
      <c r="X448" s="4"/>
      <c r="Y448" s="4"/>
      <c r="Z448" s="4"/>
      <c r="AA448" s="4"/>
      <c r="AB448" s="4"/>
      <c r="AC448" s="4"/>
      <c r="AD448" s="4">
        <f t="shared" si="6"/>
        <v>18</v>
      </c>
    </row>
    <row r="449" spans="1:30" ht="39.75" thickBot="1" x14ac:dyDescent="0.3">
      <c r="A449" s="3">
        <v>45049.530648148146</v>
      </c>
      <c r="B449" s="4" t="s">
        <v>115</v>
      </c>
      <c r="C449" s="4" t="s">
        <v>116</v>
      </c>
      <c r="D449" s="31" t="s">
        <v>42</v>
      </c>
      <c r="E449" s="4" t="s">
        <v>942</v>
      </c>
      <c r="F449" s="5">
        <v>621339461</v>
      </c>
      <c r="G449" s="4"/>
      <c r="H449" s="4" t="s">
        <v>925</v>
      </c>
      <c r="I449" s="5">
        <v>55</v>
      </c>
      <c r="J449" s="4" t="s">
        <v>38</v>
      </c>
      <c r="K449" s="5">
        <v>3</v>
      </c>
      <c r="L449" s="4" t="s">
        <v>146</v>
      </c>
      <c r="M449" s="4" t="s">
        <v>395</v>
      </c>
      <c r="N449" s="4" t="s">
        <v>47</v>
      </c>
      <c r="O449" s="6">
        <v>45245</v>
      </c>
      <c r="P449" s="4" t="s">
        <v>927</v>
      </c>
      <c r="Q449" s="4" t="s">
        <v>122</v>
      </c>
      <c r="R449" s="4" t="s">
        <v>36</v>
      </c>
      <c r="S449" s="4" t="s">
        <v>59</v>
      </c>
      <c r="T449" s="5">
        <v>4</v>
      </c>
      <c r="U449" s="6">
        <v>45069</v>
      </c>
      <c r="V449" s="4" t="s">
        <v>1624</v>
      </c>
      <c r="W449" s="4" t="s">
        <v>928</v>
      </c>
      <c r="X449" s="4"/>
      <c r="Y449" s="4"/>
      <c r="Z449" s="4"/>
      <c r="AA449" s="4"/>
      <c r="AB449" s="4"/>
      <c r="AC449" s="4"/>
      <c r="AD449" s="4">
        <f t="shared" si="6"/>
        <v>18</v>
      </c>
    </row>
    <row r="450" spans="1:30" ht="39.75" thickBot="1" x14ac:dyDescent="0.3">
      <c r="A450" s="3">
        <v>45049.534236111111</v>
      </c>
      <c r="B450" s="4" t="s">
        <v>115</v>
      </c>
      <c r="C450" s="4" t="s">
        <v>116</v>
      </c>
      <c r="D450" s="31" t="s">
        <v>42</v>
      </c>
      <c r="E450" s="4" t="s">
        <v>822</v>
      </c>
      <c r="F450" s="5">
        <v>621034713</v>
      </c>
      <c r="G450" s="4"/>
      <c r="H450" s="4" t="s">
        <v>925</v>
      </c>
      <c r="I450" s="5">
        <v>55</v>
      </c>
      <c r="J450" s="4" t="s">
        <v>38</v>
      </c>
      <c r="K450" s="5">
        <v>2</v>
      </c>
      <c r="L450" s="4" t="s">
        <v>146</v>
      </c>
      <c r="M450" s="4" t="s">
        <v>395</v>
      </c>
      <c r="N450" s="4" t="s">
        <v>47</v>
      </c>
      <c r="O450" s="6">
        <v>45244</v>
      </c>
      <c r="P450" s="4" t="s">
        <v>927</v>
      </c>
      <c r="Q450" s="4" t="s">
        <v>122</v>
      </c>
      <c r="R450" s="4" t="s">
        <v>36</v>
      </c>
      <c r="S450" s="4"/>
      <c r="T450" s="4"/>
      <c r="U450" s="4"/>
      <c r="V450" s="4" t="s">
        <v>1372</v>
      </c>
      <c r="W450" s="4"/>
      <c r="X450" s="4"/>
      <c r="Y450" s="4"/>
      <c r="Z450" s="4"/>
      <c r="AA450" s="4"/>
      <c r="AB450" s="4"/>
      <c r="AC450" s="4"/>
      <c r="AD450" s="4">
        <f t="shared" si="6"/>
        <v>18</v>
      </c>
    </row>
    <row r="451" spans="1:30" ht="39.75" thickBot="1" x14ac:dyDescent="0.3">
      <c r="A451" s="3">
        <v>45049.575868055559</v>
      </c>
      <c r="B451" s="4" t="s">
        <v>79</v>
      </c>
      <c r="C451" s="4" t="s">
        <v>80</v>
      </c>
      <c r="D451" s="31" t="s">
        <v>27</v>
      </c>
      <c r="E451" s="4" t="s">
        <v>943</v>
      </c>
      <c r="F451" s="5">
        <v>628348894</v>
      </c>
      <c r="G451" s="5">
        <v>0</v>
      </c>
      <c r="H451" s="4" t="s">
        <v>329</v>
      </c>
      <c r="I451" s="5">
        <v>45</v>
      </c>
      <c r="J451" s="4" t="s">
        <v>38</v>
      </c>
      <c r="K451" s="5">
        <v>40</v>
      </c>
      <c r="L451" s="4" t="s">
        <v>333</v>
      </c>
      <c r="M451" s="4" t="s">
        <v>89</v>
      </c>
      <c r="N451" s="4" t="s">
        <v>33</v>
      </c>
      <c r="O451" s="6">
        <v>45052</v>
      </c>
      <c r="P451" s="4" t="s">
        <v>944</v>
      </c>
      <c r="Q451" s="4" t="s">
        <v>86</v>
      </c>
      <c r="R451" s="4" t="s">
        <v>36</v>
      </c>
      <c r="S451" s="4"/>
      <c r="T451" s="4"/>
      <c r="U451" s="4"/>
      <c r="V451" s="4" t="s">
        <v>1372</v>
      </c>
      <c r="W451" s="4"/>
      <c r="X451" s="4"/>
      <c r="Y451" s="4"/>
      <c r="Z451" s="4"/>
      <c r="AA451" s="4"/>
      <c r="AB451" s="4"/>
      <c r="AC451" s="4"/>
      <c r="AD451" s="4">
        <f t="shared" ref="AD451:AD514" si="7">WEEKNUM(LEFT(A451,10))</f>
        <v>18</v>
      </c>
    </row>
    <row r="452" spans="1:30" ht="39.75" thickBot="1" x14ac:dyDescent="0.3">
      <c r="A452" s="3">
        <v>45049.583449074074</v>
      </c>
      <c r="B452" s="4" t="s">
        <v>79</v>
      </c>
      <c r="C452" s="4" t="s">
        <v>80</v>
      </c>
      <c r="D452" s="31" t="s">
        <v>27</v>
      </c>
      <c r="E452" s="4" t="s">
        <v>945</v>
      </c>
      <c r="F452" s="5">
        <v>610592067</v>
      </c>
      <c r="G452" s="5">
        <v>0</v>
      </c>
      <c r="H452" s="4" t="s">
        <v>92</v>
      </c>
      <c r="I452" s="5">
        <v>100</v>
      </c>
      <c r="J452" s="4" t="s">
        <v>38</v>
      </c>
      <c r="K452" s="5">
        <v>40</v>
      </c>
      <c r="L452" s="4" t="s">
        <v>339</v>
      </c>
      <c r="M452" s="4" t="s">
        <v>89</v>
      </c>
      <c r="N452" s="4" t="s">
        <v>33</v>
      </c>
      <c r="O452" s="6">
        <v>45053</v>
      </c>
      <c r="P452" s="4" t="s">
        <v>946</v>
      </c>
      <c r="Q452" s="4" t="s">
        <v>86</v>
      </c>
      <c r="R452" s="4" t="s">
        <v>36</v>
      </c>
      <c r="S452" s="4"/>
      <c r="T452" s="4"/>
      <c r="U452" s="4"/>
      <c r="V452" s="4" t="s">
        <v>1372</v>
      </c>
      <c r="W452" s="4"/>
      <c r="X452" s="4"/>
      <c r="Y452" s="4"/>
      <c r="Z452" s="4"/>
      <c r="AA452" s="4"/>
      <c r="AB452" s="4"/>
      <c r="AC452" s="4"/>
      <c r="AD452" s="4">
        <f t="shared" si="7"/>
        <v>18</v>
      </c>
    </row>
    <row r="453" spans="1:30" ht="39.75" thickBot="1" x14ac:dyDescent="0.3">
      <c r="A453" s="3">
        <v>45049.617928240739</v>
      </c>
      <c r="B453" s="4" t="s">
        <v>1768</v>
      </c>
      <c r="C453" s="4" t="s">
        <v>158</v>
      </c>
      <c r="D453" s="31" t="s">
        <v>27</v>
      </c>
      <c r="E453" s="4" t="s">
        <v>947</v>
      </c>
      <c r="F453" s="5">
        <v>629007465</v>
      </c>
      <c r="G453" s="5">
        <v>0</v>
      </c>
      <c r="H453" s="4" t="s">
        <v>126</v>
      </c>
      <c r="I453" s="5">
        <v>35</v>
      </c>
      <c r="J453" s="4" t="s">
        <v>101</v>
      </c>
      <c r="K453" s="5">
        <v>50</v>
      </c>
      <c r="L453" s="4" t="s">
        <v>161</v>
      </c>
      <c r="M453" s="4" t="s">
        <v>161</v>
      </c>
      <c r="N453" s="4" t="s">
        <v>47</v>
      </c>
      <c r="O453" s="6">
        <v>45066</v>
      </c>
      <c r="P453" s="4" t="s">
        <v>948</v>
      </c>
      <c r="Q453" s="4" t="s">
        <v>130</v>
      </c>
      <c r="R453" s="4" t="s">
        <v>36</v>
      </c>
      <c r="S453" s="4" t="s">
        <v>59</v>
      </c>
      <c r="T453" s="5">
        <v>12.5</v>
      </c>
      <c r="U453" s="6">
        <v>45063</v>
      </c>
      <c r="V453" s="4" t="s">
        <v>1373</v>
      </c>
      <c r="W453" s="4" t="s">
        <v>1375</v>
      </c>
      <c r="X453" s="4"/>
      <c r="Y453" s="4"/>
      <c r="Z453" s="4"/>
      <c r="AA453" s="4"/>
      <c r="AB453" s="4"/>
      <c r="AC453" s="4"/>
      <c r="AD453" s="4">
        <f t="shared" si="7"/>
        <v>18</v>
      </c>
    </row>
    <row r="454" spans="1:30" ht="27" thickBot="1" x14ac:dyDescent="0.3">
      <c r="A454" s="3">
        <v>45049.625150462962</v>
      </c>
      <c r="B454" s="4" t="s">
        <v>677</v>
      </c>
      <c r="C454" s="4" t="s">
        <v>678</v>
      </c>
      <c r="D454" s="31" t="s">
        <v>42</v>
      </c>
      <c r="E454" s="4" t="s">
        <v>949</v>
      </c>
      <c r="F454" s="5">
        <v>622413072</v>
      </c>
      <c r="G454" s="5">
        <v>664827862</v>
      </c>
      <c r="H454" s="4" t="s">
        <v>950</v>
      </c>
      <c r="I454" s="5">
        <v>55</v>
      </c>
      <c r="J454" s="4" t="s">
        <v>101</v>
      </c>
      <c r="K454" s="5">
        <v>20</v>
      </c>
      <c r="L454" s="4" t="s">
        <v>93</v>
      </c>
      <c r="M454" s="4" t="s">
        <v>93</v>
      </c>
      <c r="N454" s="4" t="s">
        <v>47</v>
      </c>
      <c r="O454" s="6">
        <v>45061</v>
      </c>
      <c r="P454" s="4"/>
      <c r="Q454" s="4" t="s">
        <v>682</v>
      </c>
      <c r="R454" s="4" t="s">
        <v>36</v>
      </c>
      <c r="S454" s="4" t="s">
        <v>59</v>
      </c>
      <c r="T454" s="5">
        <v>10</v>
      </c>
      <c r="U454" s="6">
        <v>45057</v>
      </c>
      <c r="V454" s="4" t="s">
        <v>1353</v>
      </c>
      <c r="W454" s="4" t="s">
        <v>1376</v>
      </c>
      <c r="X454" s="4"/>
      <c r="Y454" s="4"/>
      <c r="Z454" s="4"/>
      <c r="AA454" s="4"/>
      <c r="AB454" s="4"/>
      <c r="AC454" s="4"/>
      <c r="AD454" s="4">
        <f t="shared" si="7"/>
        <v>18</v>
      </c>
    </row>
    <row r="455" spans="1:30" ht="27" thickBot="1" x14ac:dyDescent="0.3">
      <c r="A455" s="3">
        <v>45049.627187500002</v>
      </c>
      <c r="B455" s="4" t="s">
        <v>677</v>
      </c>
      <c r="C455" s="4" t="s">
        <v>678</v>
      </c>
      <c r="D455" s="31" t="s">
        <v>42</v>
      </c>
      <c r="E455" s="4" t="s">
        <v>951</v>
      </c>
      <c r="F455" s="5">
        <v>625974981</v>
      </c>
      <c r="G455" s="4"/>
      <c r="H455" s="4" t="s">
        <v>680</v>
      </c>
      <c r="I455" s="5">
        <v>39</v>
      </c>
      <c r="J455" s="4" t="s">
        <v>38</v>
      </c>
      <c r="K455" s="5">
        <v>10</v>
      </c>
      <c r="L455" s="4" t="s">
        <v>93</v>
      </c>
      <c r="M455" s="4" t="s">
        <v>93</v>
      </c>
      <c r="N455" s="4" t="s">
        <v>47</v>
      </c>
      <c r="O455" s="6">
        <v>45051</v>
      </c>
      <c r="P455" s="4"/>
      <c r="Q455" s="4" t="s">
        <v>682</v>
      </c>
      <c r="R455" s="4" t="s">
        <v>36</v>
      </c>
      <c r="S455" s="4"/>
      <c r="T455" s="4"/>
      <c r="U455" s="4"/>
      <c r="V455" s="4" t="s">
        <v>1372</v>
      </c>
      <c r="W455" s="4"/>
      <c r="X455" s="4"/>
      <c r="Y455" s="4"/>
      <c r="Z455" s="4"/>
      <c r="AA455" s="4"/>
      <c r="AB455" s="4"/>
      <c r="AC455" s="4"/>
      <c r="AD455" s="4">
        <f t="shared" si="7"/>
        <v>18</v>
      </c>
    </row>
    <row r="456" spans="1:30" ht="27" thickBot="1" x14ac:dyDescent="0.3">
      <c r="A456" s="3">
        <v>45049.632002314815</v>
      </c>
      <c r="B456" s="4" t="s">
        <v>677</v>
      </c>
      <c r="C456" s="4" t="s">
        <v>678</v>
      </c>
      <c r="D456" s="31" t="s">
        <v>42</v>
      </c>
      <c r="E456" s="4" t="s">
        <v>952</v>
      </c>
      <c r="F456" s="5">
        <v>622205851</v>
      </c>
      <c r="G456" s="4"/>
      <c r="H456" s="4" t="s">
        <v>953</v>
      </c>
      <c r="I456" s="5">
        <v>10</v>
      </c>
      <c r="J456" s="4" t="s">
        <v>38</v>
      </c>
      <c r="K456" s="5">
        <v>4</v>
      </c>
      <c r="L456" s="4" t="s">
        <v>93</v>
      </c>
      <c r="M456" s="4" t="s">
        <v>93</v>
      </c>
      <c r="N456" s="4" t="s">
        <v>47</v>
      </c>
      <c r="O456" s="6">
        <v>45056</v>
      </c>
      <c r="P456" s="4"/>
      <c r="Q456" s="4" t="s">
        <v>682</v>
      </c>
      <c r="R456" s="4" t="s">
        <v>36</v>
      </c>
      <c r="S456" s="4"/>
      <c r="T456" s="4"/>
      <c r="U456" s="4"/>
      <c r="V456" s="4" t="s">
        <v>1372</v>
      </c>
      <c r="W456" s="4"/>
      <c r="X456" s="4"/>
      <c r="Y456" s="4"/>
      <c r="Z456" s="4"/>
      <c r="AA456" s="4"/>
      <c r="AB456" s="4"/>
      <c r="AC456" s="4"/>
      <c r="AD456" s="4">
        <f t="shared" si="7"/>
        <v>18</v>
      </c>
    </row>
    <row r="457" spans="1:30" ht="27" thickBot="1" x14ac:dyDescent="0.3">
      <c r="A457" s="3">
        <v>45049.633946759262</v>
      </c>
      <c r="B457" s="4" t="s">
        <v>677</v>
      </c>
      <c r="C457" s="4" t="s">
        <v>678</v>
      </c>
      <c r="D457" s="31" t="s">
        <v>42</v>
      </c>
      <c r="E457" s="4" t="s">
        <v>954</v>
      </c>
      <c r="F457" s="5">
        <v>622628655</v>
      </c>
      <c r="G457" s="4"/>
      <c r="H457" s="4" t="s">
        <v>953</v>
      </c>
      <c r="I457" s="5">
        <v>5</v>
      </c>
      <c r="J457" s="4" t="s">
        <v>38</v>
      </c>
      <c r="K457" s="5">
        <v>1</v>
      </c>
      <c r="L457" s="4" t="s">
        <v>93</v>
      </c>
      <c r="M457" s="4" t="s">
        <v>93</v>
      </c>
      <c r="N457" s="4" t="s">
        <v>47</v>
      </c>
      <c r="O457" s="6">
        <v>45057</v>
      </c>
      <c r="P457" s="4"/>
      <c r="Q457" s="4" t="s">
        <v>682</v>
      </c>
      <c r="R457" s="4" t="s">
        <v>36</v>
      </c>
      <c r="S457" s="4"/>
      <c r="T457" s="4"/>
      <c r="U457" s="4"/>
      <c r="V457" s="4" t="s">
        <v>1372</v>
      </c>
      <c r="W457" s="4"/>
      <c r="X457" s="4"/>
      <c r="Y457" s="4"/>
      <c r="Z457" s="4"/>
      <c r="AA457" s="4"/>
      <c r="AB457" s="4"/>
      <c r="AC457" s="4"/>
      <c r="AD457" s="4">
        <f t="shared" si="7"/>
        <v>18</v>
      </c>
    </row>
    <row r="458" spans="1:30" ht="39.75" thickBot="1" x14ac:dyDescent="0.3">
      <c r="A458" s="3">
        <v>45049.660497685189</v>
      </c>
      <c r="B458" s="4" t="s">
        <v>115</v>
      </c>
      <c r="C458" s="4" t="s">
        <v>116</v>
      </c>
      <c r="D458" s="31" t="s">
        <v>42</v>
      </c>
      <c r="E458" s="4" t="s">
        <v>955</v>
      </c>
      <c r="F458" s="5">
        <v>628692480</v>
      </c>
      <c r="G458" s="4"/>
      <c r="H458" s="4" t="s">
        <v>925</v>
      </c>
      <c r="I458" s="5">
        <v>56</v>
      </c>
      <c r="J458" s="4" t="s">
        <v>38</v>
      </c>
      <c r="K458" s="5">
        <v>1</v>
      </c>
      <c r="L458" s="4" t="s">
        <v>146</v>
      </c>
      <c r="M458" s="4" t="s">
        <v>395</v>
      </c>
      <c r="N458" s="4" t="s">
        <v>47</v>
      </c>
      <c r="O458" s="6">
        <v>45241</v>
      </c>
      <c r="P458" s="4" t="s">
        <v>927</v>
      </c>
      <c r="Q458" s="4" t="s">
        <v>122</v>
      </c>
      <c r="R458" s="4" t="s">
        <v>36</v>
      </c>
      <c r="S458" s="4" t="s">
        <v>59</v>
      </c>
      <c r="T458" s="5">
        <v>1</v>
      </c>
      <c r="U458" s="6">
        <v>45069</v>
      </c>
      <c r="V458" s="4" t="s">
        <v>1624</v>
      </c>
      <c r="W458" s="4" t="s">
        <v>928</v>
      </c>
      <c r="X458" s="4"/>
      <c r="Y458" s="4"/>
      <c r="Z458" s="4"/>
      <c r="AA458" s="4"/>
      <c r="AB458" s="4"/>
      <c r="AC458" s="4"/>
      <c r="AD458" s="4">
        <f t="shared" si="7"/>
        <v>18</v>
      </c>
    </row>
    <row r="459" spans="1:30" ht="39.75" thickBot="1" x14ac:dyDescent="0.3">
      <c r="A459" s="3">
        <v>45049.663611111115</v>
      </c>
      <c r="B459" s="4" t="s">
        <v>115</v>
      </c>
      <c r="C459" s="4" t="s">
        <v>116</v>
      </c>
      <c r="D459" s="31" t="s">
        <v>42</v>
      </c>
      <c r="E459" s="4" t="s">
        <v>956</v>
      </c>
      <c r="F459" s="5">
        <v>629074889</v>
      </c>
      <c r="G459" s="4"/>
      <c r="H459" s="4" t="s">
        <v>925</v>
      </c>
      <c r="I459" s="5">
        <v>1</v>
      </c>
      <c r="J459" s="4" t="s">
        <v>38</v>
      </c>
      <c r="K459" s="5">
        <v>1</v>
      </c>
      <c r="L459" s="4" t="s">
        <v>146</v>
      </c>
      <c r="M459" s="4" t="s">
        <v>395</v>
      </c>
      <c r="N459" s="4" t="s">
        <v>47</v>
      </c>
      <c r="O459" s="6">
        <v>45242</v>
      </c>
      <c r="P459" s="4" t="s">
        <v>927</v>
      </c>
      <c r="Q459" s="4" t="s">
        <v>122</v>
      </c>
      <c r="R459" s="4" t="s">
        <v>36</v>
      </c>
      <c r="S459" s="4" t="s">
        <v>59</v>
      </c>
      <c r="T459" s="5">
        <v>1</v>
      </c>
      <c r="U459" s="6">
        <v>45069</v>
      </c>
      <c r="V459" s="4" t="s">
        <v>1624</v>
      </c>
      <c r="W459" s="4" t="s">
        <v>928</v>
      </c>
      <c r="X459" s="4"/>
      <c r="Y459" s="4"/>
      <c r="Z459" s="4"/>
      <c r="AA459" s="4"/>
      <c r="AB459" s="4"/>
      <c r="AC459" s="4"/>
      <c r="AD459" s="4">
        <f t="shared" si="7"/>
        <v>18</v>
      </c>
    </row>
    <row r="460" spans="1:30" ht="65.25" thickBot="1" x14ac:dyDescent="0.3">
      <c r="A460" s="3">
        <v>45049.666296296295</v>
      </c>
      <c r="B460" s="4" t="s">
        <v>25</v>
      </c>
      <c r="C460" s="4" t="s">
        <v>957</v>
      </c>
      <c r="D460" s="31" t="s">
        <v>27</v>
      </c>
      <c r="E460" s="4" t="s">
        <v>958</v>
      </c>
      <c r="F460" s="5">
        <v>624256010</v>
      </c>
      <c r="G460" s="4"/>
      <c r="H460" s="4" t="s">
        <v>49</v>
      </c>
      <c r="I460" s="5">
        <v>22</v>
      </c>
      <c r="J460" s="4" t="s">
        <v>38</v>
      </c>
      <c r="K460" s="5">
        <v>10</v>
      </c>
      <c r="L460" s="4" t="s">
        <v>959</v>
      </c>
      <c r="M460" s="4" t="s">
        <v>32</v>
      </c>
      <c r="N460" s="4" t="s">
        <v>33</v>
      </c>
      <c r="O460" s="6">
        <v>45059</v>
      </c>
      <c r="P460" s="4" t="s">
        <v>34</v>
      </c>
      <c r="Q460" s="4" t="s">
        <v>35</v>
      </c>
      <c r="R460" s="4" t="s">
        <v>36</v>
      </c>
      <c r="S460" s="4"/>
      <c r="T460" s="4"/>
      <c r="U460" s="4"/>
      <c r="V460" s="4" t="s">
        <v>1372</v>
      </c>
      <c r="W460" s="4"/>
      <c r="X460" s="4"/>
      <c r="Y460" s="4"/>
      <c r="Z460" s="4"/>
      <c r="AA460" s="4"/>
      <c r="AB460" s="4"/>
      <c r="AC460" s="4"/>
      <c r="AD460" s="4">
        <f t="shared" si="7"/>
        <v>18</v>
      </c>
    </row>
    <row r="461" spans="1:30" ht="39.75" thickBot="1" x14ac:dyDescent="0.3">
      <c r="A461" s="3">
        <v>45049.666666666664</v>
      </c>
      <c r="B461" s="4" t="s">
        <v>115</v>
      </c>
      <c r="C461" s="4" t="s">
        <v>116</v>
      </c>
      <c r="D461" s="31" t="s">
        <v>42</v>
      </c>
      <c r="E461" s="4" t="s">
        <v>960</v>
      </c>
      <c r="F461" s="5">
        <v>625456336</v>
      </c>
      <c r="G461" s="4"/>
      <c r="H461" s="4" t="s">
        <v>925</v>
      </c>
      <c r="I461" s="5">
        <v>56</v>
      </c>
      <c r="J461" s="4" t="s">
        <v>38</v>
      </c>
      <c r="K461" s="5">
        <v>1</v>
      </c>
      <c r="L461" s="4" t="s">
        <v>146</v>
      </c>
      <c r="M461" s="4" t="s">
        <v>395</v>
      </c>
      <c r="N461" s="4" t="s">
        <v>47</v>
      </c>
      <c r="O461" s="6">
        <v>45244</v>
      </c>
      <c r="P461" s="4" t="s">
        <v>927</v>
      </c>
      <c r="Q461" s="4" t="s">
        <v>122</v>
      </c>
      <c r="R461" s="4" t="s">
        <v>36</v>
      </c>
      <c r="S461" s="4"/>
      <c r="T461" s="4"/>
      <c r="U461" s="4"/>
      <c r="V461" s="4" t="s">
        <v>1372</v>
      </c>
      <c r="W461" s="4"/>
      <c r="X461" s="4"/>
      <c r="Y461" s="4"/>
      <c r="Z461" s="4"/>
      <c r="AA461" s="4"/>
      <c r="AB461" s="4"/>
      <c r="AC461" s="4"/>
      <c r="AD461" s="4">
        <f t="shared" si="7"/>
        <v>18</v>
      </c>
    </row>
    <row r="462" spans="1:30" ht="39.75" thickBot="1" x14ac:dyDescent="0.3">
      <c r="A462" s="3">
        <v>45049.669270833336</v>
      </c>
      <c r="B462" s="4" t="s">
        <v>115</v>
      </c>
      <c r="C462" s="4" t="s">
        <v>116</v>
      </c>
      <c r="D462" s="31" t="s">
        <v>42</v>
      </c>
      <c r="E462" s="4" t="s">
        <v>961</v>
      </c>
      <c r="F462" s="5">
        <v>620395958</v>
      </c>
      <c r="G462" s="4"/>
      <c r="H462" s="4" t="s">
        <v>925</v>
      </c>
      <c r="I462" s="5">
        <v>59</v>
      </c>
      <c r="J462" s="4" t="s">
        <v>38</v>
      </c>
      <c r="K462" s="5">
        <v>1</v>
      </c>
      <c r="L462" s="4" t="s">
        <v>146</v>
      </c>
      <c r="M462" s="4" t="s">
        <v>395</v>
      </c>
      <c r="N462" s="4" t="s">
        <v>47</v>
      </c>
      <c r="O462" s="6">
        <v>45060</v>
      </c>
      <c r="P462" s="4" t="s">
        <v>927</v>
      </c>
      <c r="Q462" s="4" t="s">
        <v>122</v>
      </c>
      <c r="R462" s="4" t="s">
        <v>36</v>
      </c>
      <c r="S462" s="4"/>
      <c r="T462" s="4"/>
      <c r="U462" s="4"/>
      <c r="V462" s="4" t="s">
        <v>1372</v>
      </c>
      <c r="W462" s="4"/>
      <c r="X462" s="4"/>
      <c r="Y462" s="4"/>
      <c r="Z462" s="4"/>
      <c r="AA462" s="4"/>
      <c r="AB462" s="4"/>
      <c r="AC462" s="4"/>
      <c r="AD462" s="4">
        <f t="shared" si="7"/>
        <v>18</v>
      </c>
    </row>
    <row r="463" spans="1:30" ht="39.75" thickBot="1" x14ac:dyDescent="0.3">
      <c r="A463" s="3">
        <v>45049.671840277777</v>
      </c>
      <c r="B463" s="4" t="s">
        <v>115</v>
      </c>
      <c r="C463" s="4" t="s">
        <v>116</v>
      </c>
      <c r="D463" s="31" t="s">
        <v>42</v>
      </c>
      <c r="E463" s="4" t="s">
        <v>962</v>
      </c>
      <c r="F463" s="5">
        <v>625692465</v>
      </c>
      <c r="G463" s="4"/>
      <c r="H463" s="4" t="s">
        <v>925</v>
      </c>
      <c r="I463" s="5">
        <v>56</v>
      </c>
      <c r="J463" s="4" t="s">
        <v>38</v>
      </c>
      <c r="K463" s="5">
        <v>1</v>
      </c>
      <c r="L463" s="4" t="s">
        <v>146</v>
      </c>
      <c r="M463" s="4" t="s">
        <v>395</v>
      </c>
      <c r="N463" s="4" t="s">
        <v>47</v>
      </c>
      <c r="O463" s="6">
        <v>45060</v>
      </c>
      <c r="P463" s="4" t="s">
        <v>927</v>
      </c>
      <c r="Q463" s="4" t="s">
        <v>122</v>
      </c>
      <c r="R463" s="4" t="s">
        <v>36</v>
      </c>
      <c r="S463" s="4" t="s">
        <v>59</v>
      </c>
      <c r="T463" s="5">
        <v>1</v>
      </c>
      <c r="U463" s="6">
        <v>45069</v>
      </c>
      <c r="V463" s="4" t="s">
        <v>1624</v>
      </c>
      <c r="W463" s="4" t="s">
        <v>928</v>
      </c>
      <c r="X463" s="4"/>
      <c r="Y463" s="4"/>
      <c r="Z463" s="4"/>
      <c r="AA463" s="4"/>
      <c r="AB463" s="4"/>
      <c r="AC463" s="4"/>
      <c r="AD463" s="4">
        <f t="shared" si="7"/>
        <v>18</v>
      </c>
    </row>
    <row r="464" spans="1:30" ht="39.75" thickBot="1" x14ac:dyDescent="0.3">
      <c r="A464" s="3">
        <v>45049.672662037039</v>
      </c>
      <c r="B464" s="4" t="s">
        <v>79</v>
      </c>
      <c r="C464" s="4" t="s">
        <v>80</v>
      </c>
      <c r="D464" s="31" t="s">
        <v>27</v>
      </c>
      <c r="E464" s="4" t="s">
        <v>943</v>
      </c>
      <c r="F464" s="5">
        <v>628348894</v>
      </c>
      <c r="G464" s="5">
        <v>0</v>
      </c>
      <c r="H464" s="4" t="s">
        <v>329</v>
      </c>
      <c r="I464" s="5">
        <v>45</v>
      </c>
      <c r="J464" s="4" t="s">
        <v>38</v>
      </c>
      <c r="K464" s="5">
        <v>40</v>
      </c>
      <c r="L464" s="4" t="s">
        <v>333</v>
      </c>
      <c r="M464" s="4" t="s">
        <v>89</v>
      </c>
      <c r="N464" s="4" t="s">
        <v>33</v>
      </c>
      <c r="O464" s="6">
        <v>45052</v>
      </c>
      <c r="P464" s="4" t="s">
        <v>963</v>
      </c>
      <c r="Q464" s="4" t="s">
        <v>86</v>
      </c>
      <c r="R464" s="4" t="s">
        <v>36</v>
      </c>
      <c r="S464" s="4" t="s">
        <v>59</v>
      </c>
      <c r="T464" s="5">
        <v>40</v>
      </c>
      <c r="U464" s="6">
        <v>45049</v>
      </c>
      <c r="V464" s="4" t="s">
        <v>1352</v>
      </c>
      <c r="W464" s="4" t="s">
        <v>964</v>
      </c>
      <c r="X464" s="4"/>
      <c r="Y464" s="4"/>
      <c r="Z464" s="4"/>
      <c r="AA464" s="4"/>
      <c r="AB464" s="4"/>
      <c r="AC464" s="4"/>
      <c r="AD464" s="4">
        <f t="shared" si="7"/>
        <v>18</v>
      </c>
    </row>
    <row r="465" spans="1:30" ht="39.75" thickBot="1" x14ac:dyDescent="0.3">
      <c r="A465" s="3">
        <v>45049.676516203705</v>
      </c>
      <c r="B465" s="4" t="s">
        <v>79</v>
      </c>
      <c r="C465" s="4" t="s">
        <v>80</v>
      </c>
      <c r="D465" s="31" t="s">
        <v>27</v>
      </c>
      <c r="E465" s="4" t="s">
        <v>945</v>
      </c>
      <c r="F465" s="5">
        <v>610592067</v>
      </c>
      <c r="G465" s="5">
        <v>0</v>
      </c>
      <c r="H465" s="4" t="s">
        <v>92</v>
      </c>
      <c r="I465" s="5">
        <v>100</v>
      </c>
      <c r="J465" s="4" t="s">
        <v>38</v>
      </c>
      <c r="K465" s="5">
        <v>40</v>
      </c>
      <c r="L465" s="4" t="s">
        <v>339</v>
      </c>
      <c r="M465" s="5">
        <v>5</v>
      </c>
      <c r="N465" s="4" t="s">
        <v>33</v>
      </c>
      <c r="O465" s="6">
        <v>45053</v>
      </c>
      <c r="P465" s="4" t="s">
        <v>965</v>
      </c>
      <c r="Q465" s="4" t="s">
        <v>86</v>
      </c>
      <c r="R465" s="4" t="s">
        <v>36</v>
      </c>
      <c r="S465" s="4" t="s">
        <v>59</v>
      </c>
      <c r="T465" s="5">
        <v>40</v>
      </c>
      <c r="U465" s="6">
        <v>45049</v>
      </c>
      <c r="V465" s="4" t="s">
        <v>1352</v>
      </c>
      <c r="W465" s="4" t="s">
        <v>966</v>
      </c>
      <c r="X465" s="4"/>
      <c r="Y465" s="4"/>
      <c r="Z465" s="4"/>
      <c r="AA465" s="4"/>
      <c r="AB465" s="4"/>
      <c r="AC465" s="4"/>
      <c r="AD465" s="4">
        <f t="shared" si="7"/>
        <v>18</v>
      </c>
    </row>
    <row r="466" spans="1:30" ht="39.75" thickBot="1" x14ac:dyDescent="0.3">
      <c r="A466" s="3">
        <v>45049.683506944442</v>
      </c>
      <c r="B466" s="4" t="s">
        <v>79</v>
      </c>
      <c r="C466" s="4" t="s">
        <v>80</v>
      </c>
      <c r="D466" s="31" t="s">
        <v>27</v>
      </c>
      <c r="E466" s="4" t="s">
        <v>673</v>
      </c>
      <c r="F466" s="5">
        <v>628451165</v>
      </c>
      <c r="G466" s="5">
        <v>0</v>
      </c>
      <c r="H466" s="4" t="s">
        <v>332</v>
      </c>
      <c r="I466" s="5">
        <v>185</v>
      </c>
      <c r="J466" s="4" t="s">
        <v>38</v>
      </c>
      <c r="K466" s="5">
        <v>22</v>
      </c>
      <c r="L466" s="4" t="s">
        <v>674</v>
      </c>
      <c r="M466" s="4" t="s">
        <v>89</v>
      </c>
      <c r="N466" s="4" t="s">
        <v>47</v>
      </c>
      <c r="O466" s="6">
        <v>45051</v>
      </c>
      <c r="P466" s="4" t="s">
        <v>967</v>
      </c>
      <c r="Q466" s="4" t="s">
        <v>86</v>
      </c>
      <c r="R466" s="4" t="s">
        <v>36</v>
      </c>
      <c r="S466" s="4" t="s">
        <v>59</v>
      </c>
      <c r="T466" s="5">
        <v>22</v>
      </c>
      <c r="U466" s="6">
        <v>45049</v>
      </c>
      <c r="V466" s="4" t="s">
        <v>1352</v>
      </c>
      <c r="W466" s="4" t="s">
        <v>895</v>
      </c>
      <c r="X466" s="4"/>
      <c r="Y466" s="4"/>
      <c r="Z466" s="4"/>
      <c r="AA466" s="4"/>
      <c r="AB466" s="4"/>
      <c r="AC466" s="4"/>
      <c r="AD466" s="4">
        <f t="shared" si="7"/>
        <v>18</v>
      </c>
    </row>
    <row r="467" spans="1:30" ht="27" thickBot="1" x14ac:dyDescent="0.3">
      <c r="A467" s="3">
        <v>45049.708923611113</v>
      </c>
      <c r="B467" s="4" t="s">
        <v>241</v>
      </c>
      <c r="C467" s="4" t="s">
        <v>606</v>
      </c>
      <c r="D467" s="31" t="s">
        <v>42</v>
      </c>
      <c r="E467" s="4" t="s">
        <v>968</v>
      </c>
      <c r="F467" s="5">
        <v>622440516</v>
      </c>
      <c r="G467" s="4"/>
      <c r="H467" s="4" t="s">
        <v>825</v>
      </c>
      <c r="I467" s="5">
        <v>84</v>
      </c>
      <c r="J467" s="4" t="s">
        <v>101</v>
      </c>
      <c r="K467" s="5">
        <v>25</v>
      </c>
      <c r="L467" s="4" t="s">
        <v>911</v>
      </c>
      <c r="M467" s="4" t="s">
        <v>147</v>
      </c>
      <c r="N467" s="4" t="s">
        <v>47</v>
      </c>
      <c r="O467" s="6">
        <v>45092</v>
      </c>
      <c r="P467" s="4" t="s">
        <v>706</v>
      </c>
      <c r="Q467" s="4" t="s">
        <v>247</v>
      </c>
      <c r="R467" s="4" t="s">
        <v>36</v>
      </c>
      <c r="S467" s="4"/>
      <c r="T467" s="4"/>
      <c r="U467" s="4"/>
      <c r="V467" s="4" t="s">
        <v>1372</v>
      </c>
      <c r="W467" s="4"/>
      <c r="X467" s="4"/>
      <c r="Y467" s="4"/>
      <c r="Z467" s="4"/>
      <c r="AA467" s="4"/>
      <c r="AB467" s="4"/>
      <c r="AC467" s="4"/>
      <c r="AD467" s="4">
        <f t="shared" si="7"/>
        <v>18</v>
      </c>
    </row>
    <row r="468" spans="1:30" ht="27" thickBot="1" x14ac:dyDescent="0.3">
      <c r="A468" s="3">
        <v>45049.710694444446</v>
      </c>
      <c r="B468" s="4" t="s">
        <v>241</v>
      </c>
      <c r="C468" s="4" t="s">
        <v>606</v>
      </c>
      <c r="D468" s="31" t="s">
        <v>42</v>
      </c>
      <c r="E468" s="4" t="s">
        <v>969</v>
      </c>
      <c r="F468" s="5">
        <v>628120180</v>
      </c>
      <c r="G468" s="4"/>
      <c r="H468" s="4" t="s">
        <v>825</v>
      </c>
      <c r="I468" s="5">
        <v>84</v>
      </c>
      <c r="J468" s="4" t="s">
        <v>101</v>
      </c>
      <c r="K468" s="5">
        <v>10</v>
      </c>
      <c r="L468" s="4" t="s">
        <v>832</v>
      </c>
      <c r="M468" s="4" t="s">
        <v>246</v>
      </c>
      <c r="N468" s="4" t="s">
        <v>33</v>
      </c>
      <c r="O468" s="6">
        <v>45077</v>
      </c>
      <c r="P468" s="4" t="s">
        <v>706</v>
      </c>
      <c r="Q468" s="4" t="s">
        <v>247</v>
      </c>
      <c r="R468" s="4" t="s">
        <v>36</v>
      </c>
      <c r="S468" s="4"/>
      <c r="T468" s="4"/>
      <c r="U468" s="4"/>
      <c r="V468" s="4" t="s">
        <v>1372</v>
      </c>
      <c r="W468" s="4"/>
      <c r="X468" s="4"/>
      <c r="Y468" s="4"/>
      <c r="Z468" s="4"/>
      <c r="AA468" s="4"/>
      <c r="AB468" s="4"/>
      <c r="AC468" s="4"/>
      <c r="AD468" s="4">
        <f t="shared" si="7"/>
        <v>18</v>
      </c>
    </row>
    <row r="469" spans="1:30" ht="27" thickBot="1" x14ac:dyDescent="0.3">
      <c r="A469" s="3">
        <v>45049.712546296294</v>
      </c>
      <c r="B469" s="4" t="s">
        <v>241</v>
      </c>
      <c r="C469" s="4" t="s">
        <v>606</v>
      </c>
      <c r="D469" s="31" t="s">
        <v>42</v>
      </c>
      <c r="E469" s="4" t="s">
        <v>970</v>
      </c>
      <c r="F469" s="5">
        <v>661828776</v>
      </c>
      <c r="G469" s="4"/>
      <c r="H469" s="4" t="s">
        <v>825</v>
      </c>
      <c r="I469" s="5">
        <v>80</v>
      </c>
      <c r="J469" s="4" t="s">
        <v>101</v>
      </c>
      <c r="K469" s="5">
        <v>10</v>
      </c>
      <c r="L469" s="4" t="s">
        <v>723</v>
      </c>
      <c r="M469" s="4" t="s">
        <v>147</v>
      </c>
      <c r="N469" s="4" t="s">
        <v>47</v>
      </c>
      <c r="O469" s="6">
        <v>45092</v>
      </c>
      <c r="P469" s="4" t="s">
        <v>706</v>
      </c>
      <c r="Q469" s="4" t="s">
        <v>247</v>
      </c>
      <c r="R469" s="4" t="s">
        <v>36</v>
      </c>
      <c r="S469" s="4"/>
      <c r="T469" s="4"/>
      <c r="U469" s="4"/>
      <c r="V469" s="4" t="s">
        <v>1372</v>
      </c>
      <c r="W469" s="4"/>
      <c r="X469" s="4"/>
      <c r="Y469" s="4"/>
      <c r="Z469" s="4"/>
      <c r="AA469" s="4"/>
      <c r="AB469" s="4"/>
      <c r="AC469" s="4"/>
      <c r="AD469" s="4">
        <f t="shared" si="7"/>
        <v>18</v>
      </c>
    </row>
    <row r="470" spans="1:30" ht="27" thickBot="1" x14ac:dyDescent="0.3">
      <c r="A470" s="3">
        <v>45049.716898148145</v>
      </c>
      <c r="B470" s="4" t="s">
        <v>241</v>
      </c>
      <c r="C470" s="4" t="s">
        <v>606</v>
      </c>
      <c r="D470" s="31" t="s">
        <v>27</v>
      </c>
      <c r="E470" s="4" t="s">
        <v>971</v>
      </c>
      <c r="F470" s="5">
        <v>628600514</v>
      </c>
      <c r="G470" s="4"/>
      <c r="H470" s="4" t="s">
        <v>825</v>
      </c>
      <c r="I470" s="5">
        <v>83</v>
      </c>
      <c r="J470" s="4" t="s">
        <v>101</v>
      </c>
      <c r="K470" s="5">
        <v>25</v>
      </c>
      <c r="L470" s="4" t="s">
        <v>725</v>
      </c>
      <c r="M470" s="4" t="s">
        <v>147</v>
      </c>
      <c r="N470" s="4" t="s">
        <v>47</v>
      </c>
      <c r="O470" s="6">
        <v>45102</v>
      </c>
      <c r="P470" s="4" t="s">
        <v>706</v>
      </c>
      <c r="Q470" s="4" t="s">
        <v>247</v>
      </c>
      <c r="R470" s="4" t="s">
        <v>36</v>
      </c>
      <c r="S470" s="4"/>
      <c r="T470" s="4"/>
      <c r="U470" s="4"/>
      <c r="V470" s="4" t="s">
        <v>1372</v>
      </c>
      <c r="W470" s="4"/>
      <c r="X470" s="4"/>
      <c r="Y470" s="4"/>
      <c r="Z470" s="4"/>
      <c r="AA470" s="4"/>
      <c r="AB470" s="4"/>
      <c r="AC470" s="4"/>
      <c r="AD470" s="4">
        <f t="shared" si="7"/>
        <v>18</v>
      </c>
    </row>
    <row r="471" spans="1:30" ht="27" thickBot="1" x14ac:dyDescent="0.3">
      <c r="A471" s="3">
        <v>45049.718854166669</v>
      </c>
      <c r="B471" s="4" t="s">
        <v>241</v>
      </c>
      <c r="C471" s="4" t="s">
        <v>606</v>
      </c>
      <c r="D471" s="31" t="s">
        <v>42</v>
      </c>
      <c r="E471" s="4" t="s">
        <v>972</v>
      </c>
      <c r="F471" s="5">
        <v>661814538</v>
      </c>
      <c r="G471" s="4"/>
      <c r="H471" s="4" t="s">
        <v>825</v>
      </c>
      <c r="I471" s="5">
        <v>80</v>
      </c>
      <c r="J471" s="4" t="s">
        <v>101</v>
      </c>
      <c r="K471" s="5">
        <v>15</v>
      </c>
      <c r="L471" s="4" t="s">
        <v>835</v>
      </c>
      <c r="M471" s="4" t="s">
        <v>835</v>
      </c>
      <c r="N471" s="4" t="s">
        <v>33</v>
      </c>
      <c r="O471" s="6">
        <v>45071</v>
      </c>
      <c r="P471" s="4" t="s">
        <v>706</v>
      </c>
      <c r="Q471" s="4" t="s">
        <v>247</v>
      </c>
      <c r="R471" s="4" t="s">
        <v>36</v>
      </c>
      <c r="S471" s="4"/>
      <c r="T471" s="4"/>
      <c r="U471" s="4"/>
      <c r="V471" s="4" t="s">
        <v>1372</v>
      </c>
      <c r="W471" s="4"/>
      <c r="X471" s="4"/>
      <c r="Y471" s="4"/>
      <c r="Z471" s="4"/>
      <c r="AA471" s="4"/>
      <c r="AB471" s="4"/>
      <c r="AC471" s="4"/>
      <c r="AD471" s="4">
        <f t="shared" si="7"/>
        <v>18</v>
      </c>
    </row>
    <row r="472" spans="1:30" ht="39.75" thickBot="1" x14ac:dyDescent="0.3">
      <c r="A472" s="3">
        <v>45049.720682870371</v>
      </c>
      <c r="B472" s="4" t="s">
        <v>241</v>
      </c>
      <c r="C472" s="4" t="s">
        <v>606</v>
      </c>
      <c r="D472" s="31" t="s">
        <v>42</v>
      </c>
      <c r="E472" s="4" t="s">
        <v>973</v>
      </c>
      <c r="F472" s="5">
        <v>661770323</v>
      </c>
      <c r="G472" s="4"/>
      <c r="H472" s="4" t="s">
        <v>825</v>
      </c>
      <c r="I472" s="5">
        <v>82</v>
      </c>
      <c r="J472" s="4" t="s">
        <v>101</v>
      </c>
      <c r="K472" s="5">
        <v>8</v>
      </c>
      <c r="L472" s="4" t="s">
        <v>723</v>
      </c>
      <c r="M472" s="4" t="s">
        <v>147</v>
      </c>
      <c r="N472" s="4" t="s">
        <v>47</v>
      </c>
      <c r="O472" s="6">
        <v>45107</v>
      </c>
      <c r="P472" s="4" t="s">
        <v>706</v>
      </c>
      <c r="Q472" s="4" t="s">
        <v>247</v>
      </c>
      <c r="R472" s="4" t="s">
        <v>36</v>
      </c>
      <c r="S472" s="4"/>
      <c r="T472" s="4"/>
      <c r="U472" s="4"/>
      <c r="V472" s="4" t="s">
        <v>1372</v>
      </c>
      <c r="W472" s="4"/>
      <c r="X472" s="4"/>
      <c r="Y472" s="4"/>
      <c r="Z472" s="4"/>
      <c r="AA472" s="4"/>
      <c r="AB472" s="4"/>
      <c r="AC472" s="4"/>
      <c r="AD472" s="4">
        <f t="shared" si="7"/>
        <v>18</v>
      </c>
    </row>
    <row r="473" spans="1:30" ht="27" thickBot="1" x14ac:dyDescent="0.3">
      <c r="A473" s="3">
        <v>45049.725763888891</v>
      </c>
      <c r="B473" s="4" t="s">
        <v>241</v>
      </c>
      <c r="C473" s="4" t="s">
        <v>606</v>
      </c>
      <c r="D473" s="31" t="s">
        <v>42</v>
      </c>
      <c r="E473" s="4" t="s">
        <v>974</v>
      </c>
      <c r="F473" s="5">
        <v>628936110</v>
      </c>
      <c r="G473" s="4"/>
      <c r="H473" s="4" t="s">
        <v>825</v>
      </c>
      <c r="I473" s="5">
        <v>93</v>
      </c>
      <c r="J473" s="4" t="s">
        <v>38</v>
      </c>
      <c r="K473" s="5">
        <v>10</v>
      </c>
      <c r="L473" s="4" t="s">
        <v>837</v>
      </c>
      <c r="M473" s="4" t="s">
        <v>246</v>
      </c>
      <c r="N473" s="4" t="s">
        <v>47</v>
      </c>
      <c r="O473" s="6">
        <v>45107</v>
      </c>
      <c r="P473" s="4" t="s">
        <v>706</v>
      </c>
      <c r="Q473" s="4" t="s">
        <v>247</v>
      </c>
      <c r="R473" s="4" t="s">
        <v>36</v>
      </c>
      <c r="S473" s="4"/>
      <c r="T473" s="4"/>
      <c r="U473" s="4"/>
      <c r="V473" s="4" t="s">
        <v>1372</v>
      </c>
      <c r="W473" s="4"/>
      <c r="X473" s="4"/>
      <c r="Y473" s="4"/>
      <c r="Z473" s="4"/>
      <c r="AA473" s="4"/>
      <c r="AB473" s="4"/>
      <c r="AC473" s="4"/>
      <c r="AD473" s="4">
        <f t="shared" si="7"/>
        <v>18</v>
      </c>
    </row>
    <row r="474" spans="1:30" ht="27" thickBot="1" x14ac:dyDescent="0.3">
      <c r="A474" s="3">
        <v>45049.72861111111</v>
      </c>
      <c r="B474" s="4" t="s">
        <v>241</v>
      </c>
      <c r="C474" s="4" t="s">
        <v>606</v>
      </c>
      <c r="D474" s="31" t="s">
        <v>42</v>
      </c>
      <c r="E474" s="4" t="s">
        <v>975</v>
      </c>
      <c r="F474" s="5">
        <v>622597497</v>
      </c>
      <c r="G474" s="4"/>
      <c r="H474" s="4" t="s">
        <v>825</v>
      </c>
      <c r="I474" s="5">
        <v>78</v>
      </c>
      <c r="J474" s="4" t="s">
        <v>101</v>
      </c>
      <c r="K474" s="5">
        <v>15</v>
      </c>
      <c r="L474" s="4" t="s">
        <v>723</v>
      </c>
      <c r="M474" s="4" t="s">
        <v>147</v>
      </c>
      <c r="N474" s="4" t="s">
        <v>47</v>
      </c>
      <c r="O474" s="6">
        <v>45107</v>
      </c>
      <c r="P474" s="4" t="s">
        <v>706</v>
      </c>
      <c r="Q474" s="4" t="s">
        <v>247</v>
      </c>
      <c r="R474" s="4" t="s">
        <v>36</v>
      </c>
      <c r="S474" s="4"/>
      <c r="T474" s="4"/>
      <c r="U474" s="4"/>
      <c r="V474" s="4" t="s">
        <v>1372</v>
      </c>
      <c r="W474" s="4"/>
      <c r="X474" s="4"/>
      <c r="Y474" s="4"/>
      <c r="Z474" s="4"/>
      <c r="AA474" s="4"/>
      <c r="AB474" s="4"/>
      <c r="AC474" s="4"/>
      <c r="AD474" s="4">
        <f t="shared" si="7"/>
        <v>18</v>
      </c>
    </row>
    <row r="475" spans="1:30" ht="27" thickBot="1" x14ac:dyDescent="0.3">
      <c r="A475" s="3">
        <v>45049.734212962961</v>
      </c>
      <c r="B475" s="4" t="s">
        <v>241</v>
      </c>
      <c r="C475" s="4" t="s">
        <v>606</v>
      </c>
      <c r="D475" s="31" t="s">
        <v>42</v>
      </c>
      <c r="E475" s="4" t="s">
        <v>976</v>
      </c>
      <c r="F475" s="5">
        <v>622960280</v>
      </c>
      <c r="G475" s="4"/>
      <c r="H475" s="4" t="s">
        <v>825</v>
      </c>
      <c r="I475" s="5">
        <v>78</v>
      </c>
      <c r="J475" s="4" t="s">
        <v>101</v>
      </c>
      <c r="K475" s="5">
        <v>12</v>
      </c>
      <c r="L475" s="4" t="s">
        <v>837</v>
      </c>
      <c r="M475" s="4" t="s">
        <v>246</v>
      </c>
      <c r="N475" s="4" t="s">
        <v>47</v>
      </c>
      <c r="O475" s="6">
        <v>45080</v>
      </c>
      <c r="P475" s="4" t="s">
        <v>706</v>
      </c>
      <c r="Q475" s="4" t="s">
        <v>247</v>
      </c>
      <c r="R475" s="4" t="s">
        <v>36</v>
      </c>
      <c r="S475" s="4"/>
      <c r="T475" s="4"/>
      <c r="U475" s="4"/>
      <c r="V475" s="4" t="s">
        <v>1372</v>
      </c>
      <c r="W475" s="4"/>
      <c r="X475" s="4"/>
      <c r="Y475" s="4"/>
      <c r="Z475" s="4"/>
      <c r="AA475" s="4"/>
      <c r="AB475" s="4"/>
      <c r="AC475" s="4"/>
      <c r="AD475" s="4">
        <f t="shared" si="7"/>
        <v>18</v>
      </c>
    </row>
    <row r="476" spans="1:30" ht="39.75" thickBot="1" x14ac:dyDescent="0.3">
      <c r="A476" s="3">
        <v>45049.736331018517</v>
      </c>
      <c r="B476" s="4" t="s">
        <v>241</v>
      </c>
      <c r="C476" s="4" t="s">
        <v>606</v>
      </c>
      <c r="D476" s="31" t="s">
        <v>27</v>
      </c>
      <c r="E476" s="4" t="s">
        <v>977</v>
      </c>
      <c r="F476" s="5">
        <v>628195776</v>
      </c>
      <c r="G476" s="4"/>
      <c r="H476" s="4" t="s">
        <v>825</v>
      </c>
      <c r="I476" s="5">
        <v>83</v>
      </c>
      <c r="J476" s="4" t="s">
        <v>101</v>
      </c>
      <c r="K476" s="5">
        <v>165</v>
      </c>
      <c r="L476" s="4" t="s">
        <v>978</v>
      </c>
      <c r="M476" s="4" t="s">
        <v>147</v>
      </c>
      <c r="N476" s="4" t="s">
        <v>33</v>
      </c>
      <c r="O476" s="6">
        <v>45078</v>
      </c>
      <c r="P476" s="4" t="s">
        <v>706</v>
      </c>
      <c r="Q476" s="4" t="s">
        <v>247</v>
      </c>
      <c r="R476" s="4" t="s">
        <v>36</v>
      </c>
      <c r="S476" s="4"/>
      <c r="T476" s="4"/>
      <c r="U476" s="4"/>
      <c r="V476" s="4" t="s">
        <v>1372</v>
      </c>
      <c r="W476" s="4"/>
      <c r="X476" s="4"/>
      <c r="Y476" s="4"/>
      <c r="Z476" s="4"/>
      <c r="AA476" s="4"/>
      <c r="AB476" s="4"/>
      <c r="AC476" s="4"/>
      <c r="AD476" s="4">
        <f t="shared" si="7"/>
        <v>18</v>
      </c>
    </row>
    <row r="477" spans="1:30" ht="27" thickBot="1" x14ac:dyDescent="0.3">
      <c r="A477" s="3">
        <v>45049.741481481484</v>
      </c>
      <c r="B477" s="4" t="s">
        <v>241</v>
      </c>
      <c r="C477" s="4" t="s">
        <v>606</v>
      </c>
      <c r="D477" s="31" t="s">
        <v>42</v>
      </c>
      <c r="E477" s="4" t="s">
        <v>979</v>
      </c>
      <c r="F477" s="5">
        <v>628254438</v>
      </c>
      <c r="G477" s="4"/>
      <c r="H477" s="4" t="s">
        <v>825</v>
      </c>
      <c r="I477" s="5">
        <v>83</v>
      </c>
      <c r="J477" s="4" t="s">
        <v>101</v>
      </c>
      <c r="K477" s="5">
        <v>10</v>
      </c>
      <c r="L477" s="4" t="s">
        <v>723</v>
      </c>
      <c r="M477" s="4" t="s">
        <v>147</v>
      </c>
      <c r="N477" s="4" t="s">
        <v>47</v>
      </c>
      <c r="O477" s="6">
        <v>45093</v>
      </c>
      <c r="P477" s="4" t="s">
        <v>706</v>
      </c>
      <c r="Q477" s="4" t="s">
        <v>247</v>
      </c>
      <c r="R477" s="4" t="s">
        <v>36</v>
      </c>
      <c r="S477" s="4"/>
      <c r="T477" s="4"/>
      <c r="U477" s="4"/>
      <c r="V477" s="4" t="s">
        <v>1372</v>
      </c>
      <c r="W477" s="4"/>
      <c r="X477" s="4"/>
      <c r="Y477" s="4"/>
      <c r="Z477" s="4"/>
      <c r="AA477" s="4"/>
      <c r="AB477" s="4"/>
      <c r="AC477" s="4"/>
      <c r="AD477" s="4">
        <f t="shared" si="7"/>
        <v>18</v>
      </c>
    </row>
    <row r="478" spans="1:30" ht="27" thickBot="1" x14ac:dyDescent="0.3">
      <c r="A478" s="3">
        <v>45049.913657407407</v>
      </c>
      <c r="B478" s="4" t="s">
        <v>1771</v>
      </c>
      <c r="C478" s="4" t="s">
        <v>496</v>
      </c>
      <c r="D478" s="31" t="s">
        <v>42</v>
      </c>
      <c r="E478" s="4" t="s">
        <v>980</v>
      </c>
      <c r="F478" s="5">
        <v>624763587</v>
      </c>
      <c r="G478" s="5">
        <v>624763587</v>
      </c>
      <c r="H478" s="4" t="s">
        <v>525</v>
      </c>
      <c r="I478" s="5">
        <v>6</v>
      </c>
      <c r="J478" s="4" t="s">
        <v>38</v>
      </c>
      <c r="K478" s="5">
        <v>1</v>
      </c>
      <c r="L478" s="4" t="s">
        <v>526</v>
      </c>
      <c r="M478" s="4" t="s">
        <v>527</v>
      </c>
      <c r="N478" s="4" t="s">
        <v>90</v>
      </c>
      <c r="O478" s="6">
        <v>45053</v>
      </c>
      <c r="P478" s="4" t="s">
        <v>523</v>
      </c>
      <c r="Q478" s="4" t="s">
        <v>500</v>
      </c>
      <c r="R478" s="4" t="s">
        <v>36</v>
      </c>
      <c r="S478" s="4"/>
      <c r="T478" s="4"/>
      <c r="U478" s="4"/>
      <c r="V478" s="4" t="s">
        <v>1372</v>
      </c>
      <c r="W478" s="4"/>
      <c r="X478" s="4"/>
      <c r="Y478" s="4"/>
      <c r="Z478" s="4"/>
      <c r="AA478" s="4"/>
      <c r="AB478" s="4"/>
      <c r="AC478" s="4"/>
      <c r="AD478" s="4">
        <f t="shared" si="7"/>
        <v>18</v>
      </c>
    </row>
    <row r="479" spans="1:30" ht="27" thickBot="1" x14ac:dyDescent="0.3">
      <c r="A479" s="3">
        <v>45049.917141203703</v>
      </c>
      <c r="B479" s="4" t="s">
        <v>1771</v>
      </c>
      <c r="C479" s="4" t="s">
        <v>496</v>
      </c>
      <c r="D479" s="31" t="s">
        <v>42</v>
      </c>
      <c r="E479" s="4" t="s">
        <v>981</v>
      </c>
      <c r="F479" s="5">
        <v>622598370</v>
      </c>
      <c r="G479" s="5">
        <v>622598370</v>
      </c>
      <c r="H479" s="4" t="s">
        <v>525</v>
      </c>
      <c r="I479" s="5">
        <v>10</v>
      </c>
      <c r="J479" s="4" t="s">
        <v>38</v>
      </c>
      <c r="K479" s="5">
        <v>1</v>
      </c>
      <c r="L479" s="4" t="s">
        <v>982</v>
      </c>
      <c r="M479" s="4" t="s">
        <v>546</v>
      </c>
      <c r="N479" s="4" t="s">
        <v>90</v>
      </c>
      <c r="O479" s="6">
        <v>45054</v>
      </c>
      <c r="P479" s="4" t="s">
        <v>523</v>
      </c>
      <c r="Q479" s="4" t="s">
        <v>500</v>
      </c>
      <c r="R479" s="4" t="s">
        <v>36</v>
      </c>
      <c r="S479" s="4"/>
      <c r="T479" s="4"/>
      <c r="U479" s="4"/>
      <c r="V479" s="4" t="s">
        <v>1372</v>
      </c>
      <c r="W479" s="4"/>
      <c r="X479" s="4"/>
      <c r="Y479" s="4"/>
      <c r="Z479" s="4"/>
      <c r="AA479" s="4"/>
      <c r="AB479" s="4"/>
      <c r="AC479" s="4"/>
      <c r="AD479" s="4">
        <f t="shared" si="7"/>
        <v>18</v>
      </c>
    </row>
    <row r="480" spans="1:30" ht="27" thickBot="1" x14ac:dyDescent="0.3">
      <c r="A480" s="3">
        <v>45049.920648148145</v>
      </c>
      <c r="B480" s="4" t="s">
        <v>1771</v>
      </c>
      <c r="C480" s="4" t="s">
        <v>496</v>
      </c>
      <c r="D480" s="31" t="s">
        <v>42</v>
      </c>
      <c r="E480" s="4" t="s">
        <v>983</v>
      </c>
      <c r="F480" s="5">
        <v>626016648</v>
      </c>
      <c r="G480" s="5">
        <v>626016648</v>
      </c>
      <c r="H480" s="4" t="s">
        <v>525</v>
      </c>
      <c r="I480" s="5">
        <v>4</v>
      </c>
      <c r="J480" s="4" t="s">
        <v>38</v>
      </c>
      <c r="K480" s="5">
        <v>1</v>
      </c>
      <c r="L480" s="4" t="s">
        <v>526</v>
      </c>
      <c r="M480" s="4" t="s">
        <v>527</v>
      </c>
      <c r="N480" s="4" t="s">
        <v>90</v>
      </c>
      <c r="O480" s="6">
        <v>45055</v>
      </c>
      <c r="P480" s="4" t="s">
        <v>523</v>
      </c>
      <c r="Q480" s="4" t="s">
        <v>500</v>
      </c>
      <c r="R480" s="4" t="s">
        <v>36</v>
      </c>
      <c r="S480" s="4"/>
      <c r="T480" s="4"/>
      <c r="U480" s="4"/>
      <c r="V480" s="4" t="s">
        <v>1372</v>
      </c>
      <c r="W480" s="4"/>
      <c r="X480" s="4"/>
      <c r="Y480" s="4"/>
      <c r="Z480" s="4"/>
      <c r="AA480" s="4"/>
      <c r="AB480" s="4"/>
      <c r="AC480" s="4"/>
      <c r="AD480" s="4">
        <f t="shared" si="7"/>
        <v>18</v>
      </c>
    </row>
    <row r="481" spans="1:30" ht="27" thickBot="1" x14ac:dyDescent="0.3">
      <c r="A481" s="3">
        <v>45049.923356481479</v>
      </c>
      <c r="B481" s="4" t="s">
        <v>1771</v>
      </c>
      <c r="C481" s="4" t="s">
        <v>496</v>
      </c>
      <c r="D481" s="31" t="s">
        <v>42</v>
      </c>
      <c r="E481" s="4" t="s">
        <v>984</v>
      </c>
      <c r="F481" s="5">
        <v>621732963</v>
      </c>
      <c r="G481" s="5">
        <v>621733963</v>
      </c>
      <c r="H481" s="4" t="s">
        <v>525</v>
      </c>
      <c r="I481" s="5">
        <v>4</v>
      </c>
      <c r="J481" s="4" t="s">
        <v>38</v>
      </c>
      <c r="K481" s="5">
        <v>3</v>
      </c>
      <c r="L481" s="4" t="s">
        <v>985</v>
      </c>
      <c r="M481" s="4" t="s">
        <v>985</v>
      </c>
      <c r="N481" s="4" t="s">
        <v>90</v>
      </c>
      <c r="O481" s="6">
        <v>45056</v>
      </c>
      <c r="P481" s="4" t="s">
        <v>523</v>
      </c>
      <c r="Q481" s="4" t="s">
        <v>500</v>
      </c>
      <c r="R481" s="4" t="s">
        <v>36</v>
      </c>
      <c r="S481" s="4"/>
      <c r="T481" s="4"/>
      <c r="U481" s="4"/>
      <c r="V481" s="4" t="s">
        <v>1372</v>
      </c>
      <c r="W481" s="4"/>
      <c r="X481" s="4"/>
      <c r="Y481" s="4"/>
      <c r="Z481" s="4"/>
      <c r="AA481" s="4"/>
      <c r="AB481" s="4"/>
      <c r="AC481" s="4"/>
      <c r="AD481" s="4">
        <f t="shared" si="7"/>
        <v>18</v>
      </c>
    </row>
    <row r="482" spans="1:30" ht="27" thickBot="1" x14ac:dyDescent="0.3">
      <c r="A482" s="3">
        <v>45049.926238425927</v>
      </c>
      <c r="B482" s="4" t="s">
        <v>1771</v>
      </c>
      <c r="C482" s="4" t="s">
        <v>496</v>
      </c>
      <c r="D482" s="31" t="s">
        <v>42</v>
      </c>
      <c r="E482" s="4" t="s">
        <v>986</v>
      </c>
      <c r="F482" s="5">
        <v>629648696</v>
      </c>
      <c r="G482" s="5">
        <v>629648696</v>
      </c>
      <c r="H482" s="4" t="s">
        <v>525</v>
      </c>
      <c r="I482" s="5">
        <v>3</v>
      </c>
      <c r="J482" s="4" t="s">
        <v>38</v>
      </c>
      <c r="K482" s="5">
        <v>2</v>
      </c>
      <c r="L482" s="4" t="s">
        <v>526</v>
      </c>
      <c r="M482" s="4" t="s">
        <v>527</v>
      </c>
      <c r="N482" s="4" t="s">
        <v>90</v>
      </c>
      <c r="O482" s="6">
        <v>45057</v>
      </c>
      <c r="P482" s="4" t="s">
        <v>523</v>
      </c>
      <c r="Q482" s="4" t="s">
        <v>500</v>
      </c>
      <c r="R482" s="4" t="s">
        <v>36</v>
      </c>
      <c r="S482" s="4"/>
      <c r="T482" s="4"/>
      <c r="U482" s="4"/>
      <c r="V482" s="4" t="s">
        <v>1372</v>
      </c>
      <c r="W482" s="4"/>
      <c r="X482" s="4"/>
      <c r="Y482" s="4"/>
      <c r="Z482" s="4"/>
      <c r="AA482" s="4"/>
      <c r="AB482" s="4"/>
      <c r="AC482" s="4"/>
      <c r="AD482" s="4">
        <f t="shared" si="7"/>
        <v>18</v>
      </c>
    </row>
    <row r="483" spans="1:30" ht="27" thickBot="1" x14ac:dyDescent="0.3">
      <c r="A483" s="3">
        <v>45049.932430555556</v>
      </c>
      <c r="B483" s="4" t="s">
        <v>1771</v>
      </c>
      <c r="C483" s="4" t="s">
        <v>496</v>
      </c>
      <c r="D483" s="31" t="s">
        <v>42</v>
      </c>
      <c r="E483" s="4" t="s">
        <v>988</v>
      </c>
      <c r="F483" s="5">
        <v>626155719</v>
      </c>
      <c r="G483" s="5">
        <v>626155719</v>
      </c>
      <c r="H483" s="4" t="s">
        <v>525</v>
      </c>
      <c r="I483" s="5">
        <v>3</v>
      </c>
      <c r="J483" s="4" t="s">
        <v>38</v>
      </c>
      <c r="K483" s="5">
        <v>2</v>
      </c>
      <c r="L483" s="4" t="s">
        <v>982</v>
      </c>
      <c r="M483" s="4" t="s">
        <v>546</v>
      </c>
      <c r="N483" s="4" t="s">
        <v>90</v>
      </c>
      <c r="O483" s="6">
        <v>45059</v>
      </c>
      <c r="P483" s="4" t="s">
        <v>523</v>
      </c>
      <c r="Q483" s="4" t="s">
        <v>500</v>
      </c>
      <c r="R483" s="4" t="s">
        <v>36</v>
      </c>
      <c r="S483" s="4"/>
      <c r="T483" s="4"/>
      <c r="U483" s="4"/>
      <c r="V483" s="4" t="s">
        <v>1372</v>
      </c>
      <c r="W483" s="4"/>
      <c r="X483" s="4"/>
      <c r="Y483" s="4"/>
      <c r="Z483" s="4"/>
      <c r="AA483" s="4"/>
      <c r="AB483" s="4"/>
      <c r="AC483" s="4"/>
      <c r="AD483" s="4">
        <f t="shared" si="7"/>
        <v>18</v>
      </c>
    </row>
    <row r="484" spans="1:30" ht="27" thickBot="1" x14ac:dyDescent="0.3">
      <c r="A484" s="3">
        <v>45049.935196759259</v>
      </c>
      <c r="B484" s="4" t="s">
        <v>1771</v>
      </c>
      <c r="C484" s="4" t="s">
        <v>496</v>
      </c>
      <c r="D484" s="31" t="s">
        <v>42</v>
      </c>
      <c r="E484" s="4" t="s">
        <v>989</v>
      </c>
      <c r="F484" s="5">
        <v>622364307</v>
      </c>
      <c r="G484" s="5">
        <v>623364307</v>
      </c>
      <c r="H484" s="4" t="s">
        <v>525</v>
      </c>
      <c r="I484" s="5">
        <v>5</v>
      </c>
      <c r="J484" s="4" t="s">
        <v>38</v>
      </c>
      <c r="K484" s="5">
        <v>1</v>
      </c>
      <c r="L484" s="4" t="s">
        <v>526</v>
      </c>
      <c r="M484" s="4" t="s">
        <v>527</v>
      </c>
      <c r="N484" s="4" t="s">
        <v>90</v>
      </c>
      <c r="O484" s="6">
        <v>45060</v>
      </c>
      <c r="P484" s="4" t="s">
        <v>523</v>
      </c>
      <c r="Q484" s="4" t="s">
        <v>500</v>
      </c>
      <c r="R484" s="4" t="s">
        <v>36</v>
      </c>
      <c r="S484" s="4"/>
      <c r="T484" s="4"/>
      <c r="U484" s="4"/>
      <c r="V484" s="4" t="s">
        <v>1372</v>
      </c>
      <c r="W484" s="4"/>
      <c r="X484" s="4"/>
      <c r="Y484" s="4"/>
      <c r="Z484" s="4"/>
      <c r="AA484" s="4"/>
      <c r="AB484" s="4"/>
      <c r="AC484" s="4"/>
      <c r="AD484" s="4">
        <f t="shared" si="7"/>
        <v>18</v>
      </c>
    </row>
    <row r="485" spans="1:30" ht="27" thickBot="1" x14ac:dyDescent="0.3">
      <c r="A485" s="3">
        <v>45049.938020833331</v>
      </c>
      <c r="B485" s="4" t="s">
        <v>1771</v>
      </c>
      <c r="C485" s="4" t="s">
        <v>496</v>
      </c>
      <c r="D485" s="31" t="s">
        <v>42</v>
      </c>
      <c r="E485" s="4" t="s">
        <v>990</v>
      </c>
      <c r="F485" s="5">
        <v>624465679</v>
      </c>
      <c r="G485" s="5">
        <v>624465679</v>
      </c>
      <c r="H485" s="4" t="s">
        <v>525</v>
      </c>
      <c r="I485" s="5">
        <v>3</v>
      </c>
      <c r="J485" s="4" t="s">
        <v>38</v>
      </c>
      <c r="K485" s="5">
        <v>2</v>
      </c>
      <c r="L485" s="4" t="s">
        <v>985</v>
      </c>
      <c r="M485" s="4" t="s">
        <v>985</v>
      </c>
      <c r="N485" s="4" t="s">
        <v>90</v>
      </c>
      <c r="O485" s="6">
        <v>45061</v>
      </c>
      <c r="P485" s="4" t="s">
        <v>523</v>
      </c>
      <c r="Q485" s="4" t="s">
        <v>500</v>
      </c>
      <c r="R485" s="4" t="s">
        <v>36</v>
      </c>
      <c r="S485" s="4"/>
      <c r="T485" s="4"/>
      <c r="U485" s="4"/>
      <c r="V485" s="4" t="s">
        <v>1372</v>
      </c>
      <c r="W485" s="4"/>
      <c r="X485" s="4"/>
      <c r="Y485" s="4"/>
      <c r="Z485" s="4"/>
      <c r="AA485" s="4"/>
      <c r="AB485" s="4"/>
      <c r="AC485" s="4"/>
      <c r="AD485" s="4">
        <f t="shared" si="7"/>
        <v>18</v>
      </c>
    </row>
    <row r="486" spans="1:30" ht="27" thickBot="1" x14ac:dyDescent="0.3">
      <c r="A486" s="3">
        <v>45049.939328703702</v>
      </c>
      <c r="B486" s="4" t="s">
        <v>241</v>
      </c>
      <c r="C486" s="4" t="s">
        <v>606</v>
      </c>
      <c r="D486" s="31" t="s">
        <v>42</v>
      </c>
      <c r="E486" s="4" t="s">
        <v>991</v>
      </c>
      <c r="F486" s="5">
        <v>622656802</v>
      </c>
      <c r="G486" s="4"/>
      <c r="H486" s="4" t="s">
        <v>825</v>
      </c>
      <c r="I486" s="5">
        <v>84</v>
      </c>
      <c r="J486" s="4" t="s">
        <v>101</v>
      </c>
      <c r="K486" s="5">
        <v>12</v>
      </c>
      <c r="L486" s="4" t="s">
        <v>723</v>
      </c>
      <c r="M486" s="4" t="s">
        <v>147</v>
      </c>
      <c r="N486" s="4" t="s">
        <v>47</v>
      </c>
      <c r="O486" s="6">
        <v>45106</v>
      </c>
      <c r="P486" s="4" t="s">
        <v>706</v>
      </c>
      <c r="Q486" s="4" t="s">
        <v>247</v>
      </c>
      <c r="R486" s="4" t="s">
        <v>36</v>
      </c>
      <c r="S486" s="4"/>
      <c r="T486" s="4"/>
      <c r="U486" s="4"/>
      <c r="V486" s="4" t="s">
        <v>1372</v>
      </c>
      <c r="W486" s="4"/>
      <c r="X486" s="4"/>
      <c r="Y486" s="4"/>
      <c r="Z486" s="4"/>
      <c r="AA486" s="4"/>
      <c r="AB486" s="4"/>
      <c r="AC486" s="4"/>
      <c r="AD486" s="4">
        <f t="shared" si="7"/>
        <v>18</v>
      </c>
    </row>
    <row r="487" spans="1:30" ht="27" thickBot="1" x14ac:dyDescent="0.3">
      <c r="A487" s="3">
        <v>45049.939606481479</v>
      </c>
      <c r="B487" s="4" t="s">
        <v>241</v>
      </c>
      <c r="C487" s="4" t="s">
        <v>606</v>
      </c>
      <c r="D487" s="31" t="s">
        <v>42</v>
      </c>
      <c r="E487" s="4" t="s">
        <v>991</v>
      </c>
      <c r="F487" s="5">
        <v>622656802</v>
      </c>
      <c r="G487" s="4"/>
      <c r="H487" s="4" t="s">
        <v>825</v>
      </c>
      <c r="I487" s="5">
        <v>84</v>
      </c>
      <c r="J487" s="4" t="s">
        <v>101</v>
      </c>
      <c r="K487" s="5">
        <v>12</v>
      </c>
      <c r="L487" s="4" t="s">
        <v>723</v>
      </c>
      <c r="M487" s="4" t="s">
        <v>147</v>
      </c>
      <c r="N487" s="4" t="s">
        <v>47</v>
      </c>
      <c r="O487" s="6">
        <v>45106</v>
      </c>
      <c r="P487" s="4" t="s">
        <v>706</v>
      </c>
      <c r="Q487" s="4" t="s">
        <v>247</v>
      </c>
      <c r="R487" s="4" t="s">
        <v>36</v>
      </c>
      <c r="S487" s="4"/>
      <c r="T487" s="4"/>
      <c r="U487" s="4"/>
      <c r="V487" s="4" t="s">
        <v>1372</v>
      </c>
      <c r="W487" s="4"/>
      <c r="X487" s="4"/>
      <c r="Y487" s="4"/>
      <c r="Z487" s="4"/>
      <c r="AA487" s="4"/>
      <c r="AB487" s="4"/>
      <c r="AC487" s="4"/>
      <c r="AD487" s="4">
        <f t="shared" si="7"/>
        <v>18</v>
      </c>
    </row>
    <row r="488" spans="1:30" ht="27" thickBot="1" x14ac:dyDescent="0.3">
      <c r="A488" s="3">
        <v>45049.942280092589</v>
      </c>
      <c r="B488" s="4" t="s">
        <v>1771</v>
      </c>
      <c r="C488" s="4" t="s">
        <v>496</v>
      </c>
      <c r="D488" s="31" t="s">
        <v>42</v>
      </c>
      <c r="E488" s="4" t="s">
        <v>992</v>
      </c>
      <c r="F488" s="5">
        <v>622395137</v>
      </c>
      <c r="G488" s="5">
        <v>622395137</v>
      </c>
      <c r="H488" s="4" t="s">
        <v>525</v>
      </c>
      <c r="I488" s="5">
        <v>6</v>
      </c>
      <c r="J488" s="4" t="s">
        <v>38</v>
      </c>
      <c r="K488" s="5">
        <v>2</v>
      </c>
      <c r="L488" s="4" t="s">
        <v>526</v>
      </c>
      <c r="M488" s="4" t="s">
        <v>527</v>
      </c>
      <c r="N488" s="4" t="s">
        <v>90</v>
      </c>
      <c r="O488" s="6">
        <v>45064</v>
      </c>
      <c r="P488" s="4" t="s">
        <v>523</v>
      </c>
      <c r="Q488" s="4" t="s">
        <v>500</v>
      </c>
      <c r="R488" s="4" t="s">
        <v>36</v>
      </c>
      <c r="S488" s="4"/>
      <c r="T488" s="4"/>
      <c r="U488" s="4"/>
      <c r="V488" s="4" t="s">
        <v>1372</v>
      </c>
      <c r="W488" s="4"/>
      <c r="X488" s="4"/>
      <c r="Y488" s="4"/>
      <c r="Z488" s="4"/>
      <c r="AA488" s="4"/>
      <c r="AB488" s="4"/>
      <c r="AC488" s="4"/>
      <c r="AD488" s="4">
        <f t="shared" si="7"/>
        <v>18</v>
      </c>
    </row>
    <row r="489" spans="1:30" ht="27" thickBot="1" x14ac:dyDescent="0.3">
      <c r="A489" s="3">
        <v>45049.959953703707</v>
      </c>
      <c r="B489" s="4" t="s">
        <v>241</v>
      </c>
      <c r="C489" s="4" t="s">
        <v>606</v>
      </c>
      <c r="D489" s="31" t="s">
        <v>42</v>
      </c>
      <c r="E489" s="4" t="s">
        <v>972</v>
      </c>
      <c r="F489" s="5">
        <v>622342782</v>
      </c>
      <c r="G489" s="4"/>
      <c r="H489" s="4" t="s">
        <v>825</v>
      </c>
      <c r="I489" s="5">
        <v>90</v>
      </c>
      <c r="J489" s="4" t="s">
        <v>101</v>
      </c>
      <c r="K489" s="5">
        <v>15</v>
      </c>
      <c r="L489" s="4" t="s">
        <v>832</v>
      </c>
      <c r="M489" s="4" t="s">
        <v>246</v>
      </c>
      <c r="N489" s="4" t="s">
        <v>33</v>
      </c>
      <c r="O489" s="6">
        <v>45077</v>
      </c>
      <c r="P489" s="4" t="s">
        <v>706</v>
      </c>
      <c r="Q489" s="4" t="s">
        <v>247</v>
      </c>
      <c r="R489" s="4" t="s">
        <v>36</v>
      </c>
      <c r="S489" s="4"/>
      <c r="T489" s="4"/>
      <c r="U489" s="4"/>
      <c r="V489" s="4" t="s">
        <v>1372</v>
      </c>
      <c r="W489" s="4"/>
      <c r="X489" s="4"/>
      <c r="Y489" s="4"/>
      <c r="Z489" s="4"/>
      <c r="AA489" s="4"/>
      <c r="AB489" s="4"/>
      <c r="AC489" s="4"/>
      <c r="AD489" s="4">
        <f t="shared" si="7"/>
        <v>18</v>
      </c>
    </row>
    <row r="490" spans="1:30" ht="27" thickBot="1" x14ac:dyDescent="0.3">
      <c r="A490" s="3">
        <v>45050.039444444446</v>
      </c>
      <c r="B490" s="4" t="s">
        <v>234</v>
      </c>
      <c r="C490" s="4" t="s">
        <v>235</v>
      </c>
      <c r="D490" s="31" t="s">
        <v>42</v>
      </c>
      <c r="E490" s="4" t="s">
        <v>378</v>
      </c>
      <c r="F490" s="5">
        <v>627690045</v>
      </c>
      <c r="G490" s="4"/>
      <c r="H490" s="4" t="s">
        <v>244</v>
      </c>
      <c r="I490" s="5">
        <v>65</v>
      </c>
      <c r="J490" s="4" t="s">
        <v>101</v>
      </c>
      <c r="K490" s="5">
        <v>8</v>
      </c>
      <c r="L490" s="4" t="s">
        <v>314</v>
      </c>
      <c r="M490" s="4" t="s">
        <v>314</v>
      </c>
      <c r="N490" s="4" t="s">
        <v>47</v>
      </c>
      <c r="O490" s="6">
        <v>45071</v>
      </c>
      <c r="P490" s="4"/>
      <c r="Q490" s="4" t="s">
        <v>240</v>
      </c>
      <c r="R490" s="4" t="s">
        <v>36</v>
      </c>
      <c r="S490" s="4"/>
      <c r="T490" s="4"/>
      <c r="U490" s="4"/>
      <c r="V490" s="4" t="s">
        <v>1372</v>
      </c>
      <c r="W490" s="4"/>
      <c r="X490" s="4"/>
      <c r="Y490" s="4"/>
      <c r="Z490" s="4"/>
      <c r="AA490" s="4"/>
      <c r="AB490" s="4"/>
      <c r="AC490" s="4"/>
      <c r="AD490" s="4">
        <f t="shared" si="7"/>
        <v>18</v>
      </c>
    </row>
    <row r="491" spans="1:30" ht="27" thickBot="1" x14ac:dyDescent="0.3">
      <c r="A491" s="3">
        <v>45050.043738425928</v>
      </c>
      <c r="B491" s="4" t="s">
        <v>234</v>
      </c>
      <c r="C491" s="4" t="s">
        <v>235</v>
      </c>
      <c r="D491" s="31" t="s">
        <v>42</v>
      </c>
      <c r="E491" s="4" t="s">
        <v>993</v>
      </c>
      <c r="F491" s="5">
        <v>628255105</v>
      </c>
      <c r="G491" s="4"/>
      <c r="H491" s="4" t="s">
        <v>244</v>
      </c>
      <c r="I491" s="5">
        <v>62</v>
      </c>
      <c r="J491" s="4" t="s">
        <v>101</v>
      </c>
      <c r="K491" s="5">
        <v>5</v>
      </c>
      <c r="L491" s="4" t="s">
        <v>314</v>
      </c>
      <c r="M491" s="4" t="s">
        <v>314</v>
      </c>
      <c r="N491" s="4" t="s">
        <v>47</v>
      </c>
      <c r="O491" s="6">
        <v>45082</v>
      </c>
      <c r="P491" s="4"/>
      <c r="Q491" s="4" t="s">
        <v>240</v>
      </c>
      <c r="R491" s="4" t="s">
        <v>36</v>
      </c>
      <c r="S491" s="4"/>
      <c r="T491" s="4"/>
      <c r="U491" s="4"/>
      <c r="V491" s="4" t="s">
        <v>1372</v>
      </c>
      <c r="W491" s="4"/>
      <c r="X491" s="4"/>
      <c r="Y491" s="4"/>
      <c r="Z491" s="4"/>
      <c r="AA491" s="4"/>
      <c r="AB491" s="4"/>
      <c r="AC491" s="4"/>
      <c r="AD491" s="4">
        <f t="shared" si="7"/>
        <v>18</v>
      </c>
    </row>
    <row r="492" spans="1:30" ht="27" thickBot="1" x14ac:dyDescent="0.3">
      <c r="A492" s="3">
        <v>45050.046273148146</v>
      </c>
      <c r="B492" s="4" t="s">
        <v>234</v>
      </c>
      <c r="C492" s="4" t="s">
        <v>235</v>
      </c>
      <c r="D492" s="31" t="s">
        <v>42</v>
      </c>
      <c r="E492" s="4" t="s">
        <v>994</v>
      </c>
      <c r="F492" s="5">
        <v>622598728</v>
      </c>
      <c r="G492" s="4"/>
      <c r="H492" s="4" t="s">
        <v>244</v>
      </c>
      <c r="I492" s="5">
        <v>60</v>
      </c>
      <c r="J492" s="4" t="s">
        <v>101</v>
      </c>
      <c r="K492" s="5">
        <v>2</v>
      </c>
      <c r="L492" s="4" t="s">
        <v>758</v>
      </c>
      <c r="M492" s="4" t="s">
        <v>759</v>
      </c>
      <c r="N492" s="4" t="s">
        <v>57</v>
      </c>
      <c r="O492" s="6">
        <v>45102</v>
      </c>
      <c r="P492" s="4"/>
      <c r="Q492" s="4" t="s">
        <v>240</v>
      </c>
      <c r="R492" s="4" t="s">
        <v>36</v>
      </c>
      <c r="S492" s="4"/>
      <c r="T492" s="4"/>
      <c r="U492" s="4"/>
      <c r="V492" s="4" t="s">
        <v>1372</v>
      </c>
      <c r="W492" s="4"/>
      <c r="X492" s="4"/>
      <c r="Y492" s="4"/>
      <c r="Z492" s="4"/>
      <c r="AA492" s="4"/>
      <c r="AB492" s="4"/>
      <c r="AC492" s="4"/>
      <c r="AD492" s="4">
        <f t="shared" si="7"/>
        <v>18</v>
      </c>
    </row>
    <row r="493" spans="1:30" ht="27" thickBot="1" x14ac:dyDescent="0.3">
      <c r="A493" s="3">
        <v>45050.048356481479</v>
      </c>
      <c r="B493" s="4" t="s">
        <v>234</v>
      </c>
      <c r="C493" s="4" t="s">
        <v>235</v>
      </c>
      <c r="D493" s="31" t="s">
        <v>42</v>
      </c>
      <c r="E493" s="4" t="s">
        <v>995</v>
      </c>
      <c r="F493" s="5">
        <v>624401464</v>
      </c>
      <c r="G493" s="4"/>
      <c r="H493" s="4" t="s">
        <v>244</v>
      </c>
      <c r="I493" s="5">
        <v>67</v>
      </c>
      <c r="J493" s="4" t="s">
        <v>101</v>
      </c>
      <c r="K493" s="5">
        <v>1</v>
      </c>
      <c r="L493" s="4" t="s">
        <v>758</v>
      </c>
      <c r="M493" s="4" t="s">
        <v>845</v>
      </c>
      <c r="N493" s="4" t="s">
        <v>57</v>
      </c>
      <c r="O493" s="6">
        <v>45097</v>
      </c>
      <c r="P493" s="4"/>
      <c r="Q493" s="4" t="s">
        <v>240</v>
      </c>
      <c r="R493" s="4" t="s">
        <v>36</v>
      </c>
      <c r="S493" s="4"/>
      <c r="T493" s="4"/>
      <c r="U493" s="4"/>
      <c r="V493" s="4" t="s">
        <v>1372</v>
      </c>
      <c r="W493" s="4"/>
      <c r="X493" s="4"/>
      <c r="Y493" s="4"/>
      <c r="Z493" s="4"/>
      <c r="AA493" s="4"/>
      <c r="AB493" s="4"/>
      <c r="AC493" s="4"/>
      <c r="AD493" s="4">
        <f t="shared" si="7"/>
        <v>18</v>
      </c>
    </row>
    <row r="494" spans="1:30" ht="27" thickBot="1" x14ac:dyDescent="0.3">
      <c r="A494" s="3">
        <v>45050.050451388888</v>
      </c>
      <c r="B494" s="4" t="s">
        <v>234</v>
      </c>
      <c r="C494" s="4" t="s">
        <v>235</v>
      </c>
      <c r="D494" s="31" t="s">
        <v>42</v>
      </c>
      <c r="E494" s="4" t="s">
        <v>996</v>
      </c>
      <c r="F494" s="5">
        <v>626812360</v>
      </c>
      <c r="G494" s="4"/>
      <c r="H494" s="4" t="s">
        <v>451</v>
      </c>
      <c r="I494" s="5">
        <v>75</v>
      </c>
      <c r="J494" s="4" t="s">
        <v>101</v>
      </c>
      <c r="K494" s="5">
        <v>8</v>
      </c>
      <c r="L494" s="4" t="s">
        <v>764</v>
      </c>
      <c r="M494" s="4" t="s">
        <v>764</v>
      </c>
      <c r="N494" s="4" t="s">
        <v>47</v>
      </c>
      <c r="O494" s="6">
        <v>45076</v>
      </c>
      <c r="P494" s="4"/>
      <c r="Q494" s="4" t="s">
        <v>240</v>
      </c>
      <c r="R494" s="4" t="s">
        <v>36</v>
      </c>
      <c r="S494" s="4"/>
      <c r="T494" s="4"/>
      <c r="U494" s="4"/>
      <c r="V494" s="4" t="s">
        <v>1372</v>
      </c>
      <c r="W494" s="4"/>
      <c r="X494" s="4"/>
      <c r="Y494" s="4"/>
      <c r="Z494" s="4"/>
      <c r="AA494" s="4"/>
      <c r="AB494" s="4"/>
      <c r="AC494" s="4"/>
      <c r="AD494" s="4">
        <f t="shared" si="7"/>
        <v>18</v>
      </c>
    </row>
    <row r="495" spans="1:30" ht="27" thickBot="1" x14ac:dyDescent="0.3">
      <c r="A495" s="3">
        <v>45050.052361111113</v>
      </c>
      <c r="B495" s="4" t="s">
        <v>234</v>
      </c>
      <c r="C495" s="4" t="s">
        <v>235</v>
      </c>
      <c r="D495" s="31" t="s">
        <v>42</v>
      </c>
      <c r="E495" s="4" t="s">
        <v>997</v>
      </c>
      <c r="F495" s="5">
        <v>628791955</v>
      </c>
      <c r="G495" s="4"/>
      <c r="H495" s="4" t="s">
        <v>244</v>
      </c>
      <c r="I495" s="5">
        <v>60</v>
      </c>
      <c r="J495" s="4" t="s">
        <v>101</v>
      </c>
      <c r="K495" s="5">
        <v>8</v>
      </c>
      <c r="L495" s="4" t="s">
        <v>52</v>
      </c>
      <c r="M495" s="4" t="s">
        <v>52</v>
      </c>
      <c r="N495" s="4" t="s">
        <v>47</v>
      </c>
      <c r="O495" s="6">
        <v>45071</v>
      </c>
      <c r="P495" s="4"/>
      <c r="Q495" s="4" t="s">
        <v>240</v>
      </c>
      <c r="R495" s="4" t="s">
        <v>36</v>
      </c>
      <c r="S495" s="4"/>
      <c r="T495" s="4"/>
      <c r="U495" s="4"/>
      <c r="V495" s="4" t="s">
        <v>1372</v>
      </c>
      <c r="W495" s="4"/>
      <c r="X495" s="4"/>
      <c r="Y495" s="4"/>
      <c r="Z495" s="4"/>
      <c r="AA495" s="4"/>
      <c r="AB495" s="4"/>
      <c r="AC495" s="4"/>
      <c r="AD495" s="4">
        <f t="shared" si="7"/>
        <v>18</v>
      </c>
    </row>
    <row r="496" spans="1:30" ht="27" thickBot="1" x14ac:dyDescent="0.3">
      <c r="A496" s="3">
        <v>45050.054456018515</v>
      </c>
      <c r="B496" s="4" t="s">
        <v>234</v>
      </c>
      <c r="C496" s="4" t="s">
        <v>235</v>
      </c>
      <c r="D496" s="31" t="s">
        <v>42</v>
      </c>
      <c r="E496" s="4" t="s">
        <v>998</v>
      </c>
      <c r="F496" s="5">
        <v>627317031</v>
      </c>
      <c r="G496" s="4"/>
      <c r="H496" s="4" t="s">
        <v>244</v>
      </c>
      <c r="I496" s="5">
        <v>58</v>
      </c>
      <c r="J496" s="4" t="s">
        <v>101</v>
      </c>
      <c r="K496" s="5">
        <v>6</v>
      </c>
      <c r="L496" s="4" t="s">
        <v>284</v>
      </c>
      <c r="M496" s="4" t="s">
        <v>284</v>
      </c>
      <c r="N496" s="4" t="s">
        <v>47</v>
      </c>
      <c r="O496" s="6">
        <v>45071</v>
      </c>
      <c r="P496" s="4"/>
      <c r="Q496" s="4" t="s">
        <v>240</v>
      </c>
      <c r="R496" s="4" t="s">
        <v>36</v>
      </c>
      <c r="S496" s="4"/>
      <c r="T496" s="4"/>
      <c r="U496" s="4"/>
      <c r="V496" s="4" t="s">
        <v>1372</v>
      </c>
      <c r="W496" s="4"/>
      <c r="X496" s="4"/>
      <c r="Y496" s="4"/>
      <c r="Z496" s="4"/>
      <c r="AA496" s="4"/>
      <c r="AB496" s="4"/>
      <c r="AC496" s="4"/>
      <c r="AD496" s="4">
        <f t="shared" si="7"/>
        <v>18</v>
      </c>
    </row>
    <row r="497" spans="1:30" ht="27" thickBot="1" x14ac:dyDescent="0.3">
      <c r="A497" s="3">
        <v>45050.056250000001</v>
      </c>
      <c r="B497" s="4" t="s">
        <v>234</v>
      </c>
      <c r="C497" s="4" t="s">
        <v>235</v>
      </c>
      <c r="D497" s="31" t="s">
        <v>42</v>
      </c>
      <c r="E497" s="4" t="s">
        <v>999</v>
      </c>
      <c r="F497" s="5">
        <v>622507476</v>
      </c>
      <c r="G497" s="4"/>
      <c r="H497" s="4" t="s">
        <v>244</v>
      </c>
      <c r="I497" s="5">
        <v>56</v>
      </c>
      <c r="J497" s="4" t="s">
        <v>101</v>
      </c>
      <c r="K497" s="5">
        <v>1</v>
      </c>
      <c r="L497" s="4" t="s">
        <v>770</v>
      </c>
      <c r="M497" s="4" t="s">
        <v>770</v>
      </c>
      <c r="N497" s="4" t="s">
        <v>57</v>
      </c>
      <c r="O497" s="6">
        <v>45092</v>
      </c>
      <c r="P497" s="4"/>
      <c r="Q497" s="4" t="s">
        <v>240</v>
      </c>
      <c r="R497" s="4" t="s">
        <v>36</v>
      </c>
      <c r="S497" s="4"/>
      <c r="T497" s="4"/>
      <c r="U497" s="4"/>
      <c r="V497" s="4" t="s">
        <v>1372</v>
      </c>
      <c r="W497" s="4"/>
      <c r="X497" s="4"/>
      <c r="Y497" s="4"/>
      <c r="Z497" s="4"/>
      <c r="AA497" s="4"/>
      <c r="AB497" s="4"/>
      <c r="AC497" s="4"/>
      <c r="AD497" s="4">
        <f t="shared" si="7"/>
        <v>18</v>
      </c>
    </row>
    <row r="498" spans="1:30" ht="27" thickBot="1" x14ac:dyDescent="0.3">
      <c r="A498" s="3">
        <v>45050.058206018519</v>
      </c>
      <c r="B498" s="4" t="s">
        <v>234</v>
      </c>
      <c r="C498" s="4" t="s">
        <v>235</v>
      </c>
      <c r="D498" s="31" t="s">
        <v>42</v>
      </c>
      <c r="E498" s="4" t="s">
        <v>1000</v>
      </c>
      <c r="F498" s="5">
        <v>622485475</v>
      </c>
      <c r="G498" s="4"/>
      <c r="H498" s="4" t="s">
        <v>244</v>
      </c>
      <c r="I498" s="5">
        <v>60</v>
      </c>
      <c r="J498" s="4" t="s">
        <v>101</v>
      </c>
      <c r="K498" s="5">
        <v>1</v>
      </c>
      <c r="L498" s="4" t="s">
        <v>314</v>
      </c>
      <c r="M498" s="4" t="s">
        <v>314</v>
      </c>
      <c r="N498" s="4" t="s">
        <v>47</v>
      </c>
      <c r="O498" s="6">
        <v>45082</v>
      </c>
      <c r="P498" s="4"/>
      <c r="Q498" s="4" t="s">
        <v>240</v>
      </c>
      <c r="R498" s="4" t="s">
        <v>36</v>
      </c>
      <c r="S498" s="4"/>
      <c r="T498" s="4"/>
      <c r="U498" s="4"/>
      <c r="V498" s="4" t="s">
        <v>1372</v>
      </c>
      <c r="W498" s="4"/>
      <c r="X498" s="4"/>
      <c r="Y498" s="4"/>
      <c r="Z498" s="4"/>
      <c r="AA498" s="4"/>
      <c r="AB498" s="4"/>
      <c r="AC498" s="4"/>
      <c r="AD498" s="4">
        <f t="shared" si="7"/>
        <v>18</v>
      </c>
    </row>
    <row r="499" spans="1:30" ht="27" thickBot="1" x14ac:dyDescent="0.3">
      <c r="A499" s="3">
        <v>45050.061898148146</v>
      </c>
      <c r="B499" s="4" t="s">
        <v>234</v>
      </c>
      <c r="C499" s="4" t="s">
        <v>235</v>
      </c>
      <c r="D499" s="31" t="s">
        <v>42</v>
      </c>
      <c r="E499" s="4" t="s">
        <v>1001</v>
      </c>
      <c r="F499" s="5">
        <v>626525947</v>
      </c>
      <c r="G499" s="4"/>
      <c r="H499" s="4" t="s">
        <v>777</v>
      </c>
      <c r="I499" s="5">
        <v>37</v>
      </c>
      <c r="J499" s="4" t="s">
        <v>101</v>
      </c>
      <c r="K499" s="5">
        <v>4</v>
      </c>
      <c r="L499" s="4" t="s">
        <v>430</v>
      </c>
      <c r="M499" s="4" t="s">
        <v>430</v>
      </c>
      <c r="N499" s="4" t="s">
        <v>47</v>
      </c>
      <c r="O499" s="6">
        <v>45076</v>
      </c>
      <c r="P499" s="4"/>
      <c r="Q499" s="4" t="s">
        <v>240</v>
      </c>
      <c r="R499" s="4" t="s">
        <v>36</v>
      </c>
      <c r="S499" s="4"/>
      <c r="T499" s="4"/>
      <c r="U499" s="4"/>
      <c r="V499" s="4" t="s">
        <v>1372</v>
      </c>
      <c r="W499" s="4"/>
      <c r="X499" s="4"/>
      <c r="Y499" s="4"/>
      <c r="Z499" s="4"/>
      <c r="AA499" s="4"/>
      <c r="AB499" s="4"/>
      <c r="AC499" s="4"/>
      <c r="AD499" s="4">
        <f t="shared" si="7"/>
        <v>18</v>
      </c>
    </row>
    <row r="500" spans="1:30" ht="27" thickBot="1" x14ac:dyDescent="0.3">
      <c r="A500" s="3">
        <v>45050.063773148147</v>
      </c>
      <c r="B500" s="4" t="s">
        <v>234</v>
      </c>
      <c r="C500" s="4" t="s">
        <v>235</v>
      </c>
      <c r="D500" s="31" t="s">
        <v>42</v>
      </c>
      <c r="E500" s="4" t="s">
        <v>1002</v>
      </c>
      <c r="F500" s="5">
        <v>627350079</v>
      </c>
      <c r="G500" s="4"/>
      <c r="H500" s="4" t="s">
        <v>777</v>
      </c>
      <c r="I500" s="5">
        <v>37</v>
      </c>
      <c r="J500" s="4" t="s">
        <v>101</v>
      </c>
      <c r="K500" s="5">
        <v>4</v>
      </c>
      <c r="L500" s="4" t="s">
        <v>430</v>
      </c>
      <c r="M500" s="4" t="s">
        <v>430</v>
      </c>
      <c r="N500" s="4" t="s">
        <v>47</v>
      </c>
      <c r="O500" s="6">
        <v>45071</v>
      </c>
      <c r="P500" s="4"/>
      <c r="Q500" s="4" t="s">
        <v>240</v>
      </c>
      <c r="R500" s="4" t="s">
        <v>36</v>
      </c>
      <c r="S500" s="4"/>
      <c r="T500" s="4"/>
      <c r="U500" s="4"/>
      <c r="V500" s="4" t="s">
        <v>1372</v>
      </c>
      <c r="W500" s="4"/>
      <c r="X500" s="4"/>
      <c r="Y500" s="4"/>
      <c r="Z500" s="4"/>
      <c r="AA500" s="4"/>
      <c r="AB500" s="4"/>
      <c r="AC500" s="4"/>
      <c r="AD500" s="4">
        <f t="shared" si="7"/>
        <v>18</v>
      </c>
    </row>
    <row r="501" spans="1:30" ht="27" thickBot="1" x14ac:dyDescent="0.3">
      <c r="A501" s="3">
        <v>45050.065625000003</v>
      </c>
      <c r="B501" s="4" t="s">
        <v>234</v>
      </c>
      <c r="C501" s="4" t="s">
        <v>235</v>
      </c>
      <c r="D501" s="31" t="s">
        <v>42</v>
      </c>
      <c r="E501" s="4" t="s">
        <v>1003</v>
      </c>
      <c r="F501" s="5">
        <v>621318517</v>
      </c>
      <c r="G501" s="4"/>
      <c r="H501" s="4" t="s">
        <v>777</v>
      </c>
      <c r="I501" s="5">
        <v>40</v>
      </c>
      <c r="J501" s="4" t="s">
        <v>101</v>
      </c>
      <c r="K501" s="5">
        <v>3</v>
      </c>
      <c r="L501" s="4" t="s">
        <v>430</v>
      </c>
      <c r="M501" s="4" t="s">
        <v>430</v>
      </c>
      <c r="N501" s="4" t="s">
        <v>47</v>
      </c>
      <c r="O501" s="6">
        <v>45082</v>
      </c>
      <c r="P501" s="4"/>
      <c r="Q501" s="4" t="s">
        <v>240</v>
      </c>
      <c r="R501" s="4" t="s">
        <v>36</v>
      </c>
      <c r="S501" s="4"/>
      <c r="T501" s="4"/>
      <c r="U501" s="4"/>
      <c r="V501" s="4" t="s">
        <v>1372</v>
      </c>
      <c r="W501" s="4"/>
      <c r="X501" s="4"/>
      <c r="Y501" s="4"/>
      <c r="Z501" s="4"/>
      <c r="AA501" s="4"/>
      <c r="AB501" s="4"/>
      <c r="AC501" s="4"/>
      <c r="AD501" s="4">
        <f t="shared" si="7"/>
        <v>18</v>
      </c>
    </row>
    <row r="502" spans="1:30" ht="65.25" thickBot="1" x14ac:dyDescent="0.3">
      <c r="A502" s="3">
        <v>45050.446446759262</v>
      </c>
      <c r="B502" s="4" t="s">
        <v>1004</v>
      </c>
      <c r="C502" s="4" t="s">
        <v>1005</v>
      </c>
      <c r="D502" s="31" t="s">
        <v>27</v>
      </c>
      <c r="E502" s="4" t="s">
        <v>1377</v>
      </c>
      <c r="F502" s="5">
        <v>622546635</v>
      </c>
      <c r="G502" s="4"/>
      <c r="H502" s="4" t="s">
        <v>1006</v>
      </c>
      <c r="I502" s="5">
        <v>116</v>
      </c>
      <c r="J502" s="4" t="s">
        <v>38</v>
      </c>
      <c r="K502" s="5">
        <v>120</v>
      </c>
      <c r="L502" s="4" t="s">
        <v>1007</v>
      </c>
      <c r="M502" s="4" t="s">
        <v>1007</v>
      </c>
      <c r="N502" s="4" t="s">
        <v>47</v>
      </c>
      <c r="O502" s="6">
        <v>45061</v>
      </c>
      <c r="P502" s="4" t="s">
        <v>1008</v>
      </c>
      <c r="Q502" s="4" t="s">
        <v>1009</v>
      </c>
      <c r="R502" s="4" t="s">
        <v>36</v>
      </c>
      <c r="S502" s="4" t="s">
        <v>59</v>
      </c>
      <c r="T502" s="5">
        <v>15</v>
      </c>
      <c r="U502" s="6">
        <v>45058</v>
      </c>
      <c r="V502" s="4" t="s">
        <v>1353</v>
      </c>
      <c r="W502" s="4" t="s">
        <v>1378</v>
      </c>
      <c r="X502" s="4"/>
      <c r="Y502" s="4"/>
      <c r="Z502" s="4"/>
      <c r="AA502" s="4"/>
      <c r="AB502" s="4"/>
      <c r="AC502" s="4"/>
      <c r="AD502" s="4">
        <f t="shared" si="7"/>
        <v>18</v>
      </c>
    </row>
    <row r="503" spans="1:30" ht="65.25" thickBot="1" x14ac:dyDescent="0.3">
      <c r="A503" s="3">
        <v>45050.450312499997</v>
      </c>
      <c r="B503" s="4" t="s">
        <v>1004</v>
      </c>
      <c r="C503" s="4" t="s">
        <v>1005</v>
      </c>
      <c r="D503" s="31" t="s">
        <v>27</v>
      </c>
      <c r="E503" s="8" t="s">
        <v>166</v>
      </c>
      <c r="F503" s="9">
        <v>622546635</v>
      </c>
      <c r="G503" s="8"/>
      <c r="H503" s="8" t="s">
        <v>1006</v>
      </c>
      <c r="I503" s="9">
        <v>120</v>
      </c>
      <c r="J503" s="8" t="s">
        <v>38</v>
      </c>
      <c r="K503" s="9">
        <v>87</v>
      </c>
      <c r="L503" s="8" t="s">
        <v>1010</v>
      </c>
      <c r="M503" s="8" t="s">
        <v>1011</v>
      </c>
      <c r="N503" s="8" t="s">
        <v>47</v>
      </c>
      <c r="O503" s="28">
        <v>45061</v>
      </c>
      <c r="P503" s="8" t="s">
        <v>1008</v>
      </c>
      <c r="Q503" s="8" t="s">
        <v>1009</v>
      </c>
      <c r="R503" s="8" t="s">
        <v>36</v>
      </c>
      <c r="S503" s="8" t="s">
        <v>59</v>
      </c>
      <c r="T503" s="9">
        <v>25</v>
      </c>
      <c r="U503" s="28">
        <v>45061</v>
      </c>
      <c r="V503" s="8" t="s">
        <v>1373</v>
      </c>
      <c r="W503" s="8" t="s">
        <v>1378</v>
      </c>
      <c r="X503" s="8"/>
      <c r="Y503" s="8"/>
      <c r="Z503" s="8"/>
      <c r="AA503" s="8"/>
      <c r="AB503" s="8"/>
      <c r="AC503" s="8"/>
      <c r="AD503" s="4">
        <f t="shared" si="7"/>
        <v>18</v>
      </c>
    </row>
    <row r="504" spans="1:30" ht="27" thickBot="1" x14ac:dyDescent="0.3">
      <c r="A504" s="3">
        <v>45050.454016203701</v>
      </c>
      <c r="B504" s="4" t="s">
        <v>1004</v>
      </c>
      <c r="C504" s="4" t="s">
        <v>1005</v>
      </c>
      <c r="D504" s="31" t="s">
        <v>27</v>
      </c>
      <c r="E504" s="8" t="s">
        <v>1012</v>
      </c>
      <c r="F504" s="9">
        <v>628850895</v>
      </c>
      <c r="G504" s="8"/>
      <c r="H504" s="8" t="s">
        <v>1006</v>
      </c>
      <c r="I504" s="9">
        <v>114</v>
      </c>
      <c r="J504" s="8" t="s">
        <v>38</v>
      </c>
      <c r="K504" s="9">
        <v>250</v>
      </c>
      <c r="L504" s="8" t="s">
        <v>1007</v>
      </c>
      <c r="M504" s="8" t="s">
        <v>1007</v>
      </c>
      <c r="N504" s="8" t="s">
        <v>47</v>
      </c>
      <c r="O504" s="28">
        <v>45061</v>
      </c>
      <c r="P504" s="8"/>
      <c r="Q504" s="8" t="s">
        <v>1009</v>
      </c>
      <c r="R504" s="8" t="s">
        <v>36</v>
      </c>
      <c r="S504" s="8"/>
      <c r="T504" s="8"/>
      <c r="U504" s="8"/>
      <c r="V504" s="8" t="s">
        <v>1372</v>
      </c>
      <c r="W504" s="8"/>
      <c r="X504" s="8"/>
      <c r="Y504" s="8"/>
      <c r="Z504" s="8"/>
      <c r="AA504" s="8"/>
      <c r="AB504" s="8"/>
      <c r="AC504" s="8"/>
      <c r="AD504" s="4">
        <f t="shared" si="7"/>
        <v>18</v>
      </c>
    </row>
    <row r="505" spans="1:30" ht="27" thickBot="1" x14ac:dyDescent="0.3">
      <c r="A505" s="3">
        <v>45050.457187499997</v>
      </c>
      <c r="B505" s="4" t="s">
        <v>1004</v>
      </c>
      <c r="C505" s="4" t="s">
        <v>1005</v>
      </c>
      <c r="D505" s="31" t="s">
        <v>27</v>
      </c>
      <c r="E505" s="8" t="s">
        <v>1012</v>
      </c>
      <c r="F505" s="9">
        <v>628850895</v>
      </c>
      <c r="G505" s="8"/>
      <c r="H505" s="8" t="s">
        <v>1006</v>
      </c>
      <c r="I505" s="9">
        <v>114</v>
      </c>
      <c r="J505" s="8" t="s">
        <v>38</v>
      </c>
      <c r="K505" s="9">
        <v>150</v>
      </c>
      <c r="L505" s="8" t="s">
        <v>1013</v>
      </c>
      <c r="M505" s="8" t="s">
        <v>1013</v>
      </c>
      <c r="N505" s="8" t="s">
        <v>90</v>
      </c>
      <c r="O505" s="28">
        <v>45061</v>
      </c>
      <c r="P505" s="8"/>
      <c r="Q505" s="8" t="s">
        <v>1009</v>
      </c>
      <c r="R505" s="8" t="s">
        <v>36</v>
      </c>
      <c r="S505" s="8"/>
      <c r="T505" s="8"/>
      <c r="U505" s="8"/>
      <c r="V505" s="8" t="s">
        <v>1372</v>
      </c>
      <c r="W505" s="8"/>
      <c r="X505" s="8"/>
      <c r="Y505" s="8"/>
      <c r="Z505" s="8"/>
      <c r="AA505" s="8"/>
      <c r="AB505" s="8"/>
      <c r="AC505" s="8"/>
      <c r="AD505" s="4">
        <f t="shared" si="7"/>
        <v>18</v>
      </c>
    </row>
    <row r="506" spans="1:30" ht="27" thickBot="1" x14ac:dyDescent="0.3">
      <c r="A506" s="3">
        <v>45050.459050925929</v>
      </c>
      <c r="B506" s="4" t="s">
        <v>1004</v>
      </c>
      <c r="C506" s="4" t="s">
        <v>1005</v>
      </c>
      <c r="D506" s="31" t="s">
        <v>27</v>
      </c>
      <c r="E506" s="8" t="s">
        <v>1012</v>
      </c>
      <c r="F506" s="9">
        <v>628850895</v>
      </c>
      <c r="G506" s="8"/>
      <c r="H506" s="8" t="s">
        <v>1006</v>
      </c>
      <c r="I506" s="9">
        <v>114</v>
      </c>
      <c r="J506" s="8" t="s">
        <v>38</v>
      </c>
      <c r="K506" s="9">
        <v>100</v>
      </c>
      <c r="L506" s="8" t="s">
        <v>1014</v>
      </c>
      <c r="M506" s="8" t="s">
        <v>1014</v>
      </c>
      <c r="N506" s="8" t="s">
        <v>47</v>
      </c>
      <c r="O506" s="28">
        <v>45061</v>
      </c>
      <c r="P506" s="8"/>
      <c r="Q506" s="8" t="s">
        <v>1009</v>
      </c>
      <c r="R506" s="8" t="s">
        <v>36</v>
      </c>
      <c r="S506" s="8"/>
      <c r="T506" s="8"/>
      <c r="U506" s="8"/>
      <c r="V506" s="8" t="s">
        <v>1372</v>
      </c>
      <c r="W506" s="8"/>
      <c r="X506" s="8"/>
      <c r="Y506" s="8"/>
      <c r="Z506" s="8"/>
      <c r="AA506" s="8"/>
      <c r="AB506" s="8"/>
      <c r="AC506" s="8"/>
      <c r="AD506" s="4">
        <f t="shared" si="7"/>
        <v>18</v>
      </c>
    </row>
    <row r="507" spans="1:30" ht="27" thickBot="1" x14ac:dyDescent="0.3">
      <c r="A507" s="3">
        <v>45050.461770833332</v>
      </c>
      <c r="B507" s="4" t="s">
        <v>1004</v>
      </c>
      <c r="C507" s="4" t="s">
        <v>1005</v>
      </c>
      <c r="D507" s="31" t="s">
        <v>27</v>
      </c>
      <c r="E507" s="8" t="s">
        <v>1015</v>
      </c>
      <c r="F507" s="9">
        <v>622092526</v>
      </c>
      <c r="G507" s="8"/>
      <c r="H507" s="8" t="s">
        <v>1006</v>
      </c>
      <c r="I507" s="9">
        <v>116</v>
      </c>
      <c r="J507" s="8" t="s">
        <v>38</v>
      </c>
      <c r="K507" s="9">
        <v>150</v>
      </c>
      <c r="L507" s="8" t="s">
        <v>1007</v>
      </c>
      <c r="M507" s="8" t="s">
        <v>1007</v>
      </c>
      <c r="N507" s="8" t="s">
        <v>47</v>
      </c>
      <c r="O507" s="28">
        <v>45061</v>
      </c>
      <c r="P507" s="8"/>
      <c r="Q507" s="8" t="s">
        <v>1009</v>
      </c>
      <c r="R507" s="8" t="s">
        <v>36</v>
      </c>
      <c r="S507" s="8"/>
      <c r="T507" s="8"/>
      <c r="U507" s="8"/>
      <c r="V507" s="8" t="s">
        <v>1372</v>
      </c>
      <c r="W507" s="8"/>
      <c r="X507" s="8"/>
      <c r="Y507" s="8"/>
      <c r="Z507" s="8"/>
      <c r="AA507" s="8"/>
      <c r="AB507" s="8"/>
      <c r="AC507" s="8"/>
      <c r="AD507" s="4">
        <f t="shared" si="7"/>
        <v>18</v>
      </c>
    </row>
    <row r="508" spans="1:30" ht="27" thickBot="1" x14ac:dyDescent="0.3">
      <c r="A508" s="3">
        <v>45050.465729166666</v>
      </c>
      <c r="B508" s="4" t="s">
        <v>1004</v>
      </c>
      <c r="C508" s="4" t="s">
        <v>1005</v>
      </c>
      <c r="D508" s="31" t="s">
        <v>42</v>
      </c>
      <c r="E508" s="8" t="s">
        <v>1016</v>
      </c>
      <c r="F508" s="9">
        <v>628582219</v>
      </c>
      <c r="G508" s="8"/>
      <c r="H508" s="8" t="s">
        <v>1017</v>
      </c>
      <c r="I508" s="9">
        <v>36</v>
      </c>
      <c r="J508" s="8" t="s">
        <v>38</v>
      </c>
      <c r="K508" s="9">
        <v>50</v>
      </c>
      <c r="L508" s="8" t="s">
        <v>1007</v>
      </c>
      <c r="M508" s="8" t="s">
        <v>1007</v>
      </c>
      <c r="N508" s="8" t="s">
        <v>47</v>
      </c>
      <c r="O508" s="28">
        <v>45066</v>
      </c>
      <c r="P508" s="8"/>
      <c r="Q508" s="8" t="s">
        <v>1009</v>
      </c>
      <c r="R508" s="8" t="s">
        <v>36</v>
      </c>
      <c r="S508" s="8"/>
      <c r="T508" s="8"/>
      <c r="U508" s="8"/>
      <c r="V508" s="8" t="s">
        <v>1372</v>
      </c>
      <c r="W508" s="8"/>
      <c r="X508" s="8"/>
      <c r="Y508" s="8"/>
      <c r="Z508" s="8"/>
      <c r="AA508" s="8"/>
      <c r="AB508" s="8"/>
      <c r="AC508" s="8"/>
      <c r="AD508" s="4">
        <f t="shared" si="7"/>
        <v>18</v>
      </c>
    </row>
    <row r="509" spans="1:30" ht="39.75" thickBot="1" x14ac:dyDescent="0.3">
      <c r="A509" s="3">
        <v>45050.465729166666</v>
      </c>
      <c r="B509" s="4" t="s">
        <v>115</v>
      </c>
      <c r="C509" s="4" t="s">
        <v>116</v>
      </c>
      <c r="D509" s="31" t="s">
        <v>42</v>
      </c>
      <c r="E509" s="4" t="s">
        <v>1018</v>
      </c>
      <c r="F509" s="5">
        <v>629883272</v>
      </c>
      <c r="G509" s="4"/>
      <c r="H509" s="4" t="s">
        <v>925</v>
      </c>
      <c r="I509" s="5">
        <v>56</v>
      </c>
      <c r="J509" s="4" t="s">
        <v>38</v>
      </c>
      <c r="K509" s="5">
        <v>1</v>
      </c>
      <c r="L509" s="4" t="s">
        <v>146</v>
      </c>
      <c r="M509" s="4" t="s">
        <v>395</v>
      </c>
      <c r="N509" s="4" t="s">
        <v>47</v>
      </c>
      <c r="O509" s="6">
        <v>45241</v>
      </c>
      <c r="P509" s="4" t="s">
        <v>927</v>
      </c>
      <c r="Q509" s="4" t="s">
        <v>122</v>
      </c>
      <c r="R509" s="4" t="s">
        <v>36</v>
      </c>
      <c r="S509" s="4"/>
      <c r="T509" s="4"/>
      <c r="U509" s="4"/>
      <c r="V509" s="4" t="s">
        <v>1372</v>
      </c>
      <c r="W509" s="4"/>
      <c r="X509" s="4"/>
      <c r="Y509" s="4"/>
      <c r="Z509" s="4"/>
      <c r="AA509" s="4"/>
      <c r="AB509" s="4"/>
      <c r="AC509" s="4"/>
      <c r="AD509" s="4">
        <f t="shared" si="7"/>
        <v>18</v>
      </c>
    </row>
    <row r="510" spans="1:30" ht="39.75" thickBot="1" x14ac:dyDescent="0.3">
      <c r="A510" s="3">
        <v>45050.468275462961</v>
      </c>
      <c r="B510" s="4" t="s">
        <v>115</v>
      </c>
      <c r="C510" s="4" t="s">
        <v>116</v>
      </c>
      <c r="D510" s="31" t="s">
        <v>42</v>
      </c>
      <c r="E510" s="4" t="s">
        <v>1019</v>
      </c>
      <c r="F510" s="5">
        <v>629883272</v>
      </c>
      <c r="G510" s="4"/>
      <c r="H510" s="4" t="s">
        <v>925</v>
      </c>
      <c r="I510" s="5">
        <v>56</v>
      </c>
      <c r="J510" s="4" t="s">
        <v>38</v>
      </c>
      <c r="K510" s="5">
        <v>1</v>
      </c>
      <c r="L510" s="4" t="s">
        <v>146</v>
      </c>
      <c r="M510" s="4" t="s">
        <v>395</v>
      </c>
      <c r="N510" s="4" t="s">
        <v>47</v>
      </c>
      <c r="O510" s="6">
        <v>45060</v>
      </c>
      <c r="P510" s="4" t="s">
        <v>927</v>
      </c>
      <c r="Q510" s="4" t="s">
        <v>122</v>
      </c>
      <c r="R510" s="4" t="s">
        <v>36</v>
      </c>
      <c r="S510" s="4"/>
      <c r="T510" s="4"/>
      <c r="U510" s="4"/>
      <c r="V510" s="4" t="s">
        <v>1372</v>
      </c>
      <c r="W510" s="4"/>
      <c r="X510" s="4"/>
      <c r="Y510" s="4"/>
      <c r="Z510" s="4"/>
      <c r="AA510" s="4"/>
      <c r="AB510" s="4"/>
      <c r="AC510" s="4"/>
      <c r="AD510" s="4">
        <f t="shared" si="7"/>
        <v>18</v>
      </c>
    </row>
    <row r="511" spans="1:30" ht="27" thickBot="1" x14ac:dyDescent="0.3">
      <c r="A511" s="3">
        <v>45050.470023148147</v>
      </c>
      <c r="B511" s="4" t="s">
        <v>1004</v>
      </c>
      <c r="C511" s="4" t="s">
        <v>1005</v>
      </c>
      <c r="D511" s="31" t="s">
        <v>42</v>
      </c>
      <c r="E511" s="8" t="s">
        <v>1020</v>
      </c>
      <c r="F511" s="9">
        <v>624203246</v>
      </c>
      <c r="G511" s="8"/>
      <c r="H511" s="8" t="s">
        <v>1021</v>
      </c>
      <c r="I511" s="9">
        <v>50</v>
      </c>
      <c r="J511" s="8" t="s">
        <v>38</v>
      </c>
      <c r="K511" s="9">
        <v>60</v>
      </c>
      <c r="L511" s="8" t="s">
        <v>1022</v>
      </c>
      <c r="M511" s="8" t="s">
        <v>1023</v>
      </c>
      <c r="N511" s="8" t="s">
        <v>57</v>
      </c>
      <c r="O511" s="28">
        <v>45066</v>
      </c>
      <c r="P511" s="8"/>
      <c r="Q511" s="8" t="s">
        <v>1009</v>
      </c>
      <c r="R511" s="8" t="s">
        <v>36</v>
      </c>
      <c r="S511" s="8"/>
      <c r="T511" s="8"/>
      <c r="U511" s="8"/>
      <c r="V511" s="8" t="s">
        <v>1372</v>
      </c>
      <c r="W511" s="8"/>
      <c r="X511" s="8"/>
      <c r="Y511" s="8"/>
      <c r="Z511" s="8"/>
      <c r="AA511" s="8"/>
      <c r="AB511" s="8"/>
      <c r="AC511" s="8"/>
      <c r="AD511" s="4">
        <f t="shared" si="7"/>
        <v>18</v>
      </c>
    </row>
    <row r="512" spans="1:30" ht="27" thickBot="1" x14ac:dyDescent="0.3">
      <c r="A512" s="3">
        <v>45050.47320601852</v>
      </c>
      <c r="B512" s="4" t="s">
        <v>1004</v>
      </c>
      <c r="C512" s="4" t="s">
        <v>1005</v>
      </c>
      <c r="D512" s="31" t="s">
        <v>42</v>
      </c>
      <c r="E512" s="8" t="s">
        <v>1024</v>
      </c>
      <c r="F512" s="9">
        <v>628205979</v>
      </c>
      <c r="G512" s="8"/>
      <c r="H512" s="8" t="s">
        <v>1021</v>
      </c>
      <c r="I512" s="9">
        <v>48</v>
      </c>
      <c r="J512" s="8" t="s">
        <v>38</v>
      </c>
      <c r="K512" s="9">
        <v>50</v>
      </c>
      <c r="L512" s="8" t="s">
        <v>1007</v>
      </c>
      <c r="M512" s="8" t="s">
        <v>1007</v>
      </c>
      <c r="N512" s="8" t="s">
        <v>47</v>
      </c>
      <c r="O512" s="28">
        <v>45066</v>
      </c>
      <c r="P512" s="8"/>
      <c r="Q512" s="8" t="s">
        <v>1009</v>
      </c>
      <c r="R512" s="8" t="s">
        <v>36</v>
      </c>
      <c r="S512" s="8"/>
      <c r="T512" s="8"/>
      <c r="U512" s="8"/>
      <c r="V512" s="8" t="s">
        <v>1372</v>
      </c>
      <c r="W512" s="8"/>
      <c r="X512" s="8"/>
      <c r="Y512" s="8"/>
      <c r="Z512" s="8"/>
      <c r="AA512" s="8"/>
      <c r="AB512" s="8"/>
      <c r="AC512" s="8"/>
      <c r="AD512" s="4">
        <f t="shared" si="7"/>
        <v>18</v>
      </c>
    </row>
    <row r="513" spans="1:30" ht="27" thickBot="1" x14ac:dyDescent="0.3">
      <c r="A513" s="3">
        <v>45050.476273148146</v>
      </c>
      <c r="B513" s="4" t="s">
        <v>1004</v>
      </c>
      <c r="C513" s="4" t="s">
        <v>1005</v>
      </c>
      <c r="D513" s="31" t="s">
        <v>42</v>
      </c>
      <c r="E513" s="8" t="s">
        <v>1025</v>
      </c>
      <c r="F513" s="9">
        <v>628054013</v>
      </c>
      <c r="G513" s="8"/>
      <c r="H513" s="8" t="s">
        <v>1026</v>
      </c>
      <c r="I513" s="9">
        <v>22</v>
      </c>
      <c r="J513" s="8" t="s">
        <v>38</v>
      </c>
      <c r="K513" s="8">
        <v>6</v>
      </c>
      <c r="L513" s="8" t="s">
        <v>1007</v>
      </c>
      <c r="M513" s="8" t="s">
        <v>1007</v>
      </c>
      <c r="N513" s="8" t="s">
        <v>47</v>
      </c>
      <c r="O513" s="28">
        <v>45066</v>
      </c>
      <c r="P513" s="8"/>
      <c r="Q513" s="8" t="s">
        <v>1009</v>
      </c>
      <c r="R513" s="8" t="s">
        <v>36</v>
      </c>
      <c r="S513" s="8"/>
      <c r="T513" s="8"/>
      <c r="U513" s="8"/>
      <c r="V513" s="8" t="s">
        <v>1372</v>
      </c>
      <c r="W513" s="8"/>
      <c r="X513" s="8"/>
      <c r="Y513" s="8"/>
      <c r="Z513" s="8"/>
      <c r="AA513" s="8"/>
      <c r="AB513" s="8"/>
      <c r="AC513" s="8"/>
      <c r="AD513" s="4">
        <f t="shared" si="7"/>
        <v>18</v>
      </c>
    </row>
    <row r="514" spans="1:30" ht="27" thickBot="1" x14ac:dyDescent="0.3">
      <c r="A514" s="3">
        <v>45050.487256944441</v>
      </c>
      <c r="B514" s="4" t="s">
        <v>1004</v>
      </c>
      <c r="C514" s="4" t="s">
        <v>1005</v>
      </c>
      <c r="D514" s="31" t="s">
        <v>27</v>
      </c>
      <c r="E514" s="8" t="s">
        <v>1027</v>
      </c>
      <c r="F514" s="9">
        <v>628051083</v>
      </c>
      <c r="G514" s="8"/>
      <c r="H514" s="8" t="s">
        <v>1026</v>
      </c>
      <c r="I514" s="8">
        <v>3</v>
      </c>
      <c r="J514" s="8" t="s">
        <v>38</v>
      </c>
      <c r="K514" s="9">
        <v>39</v>
      </c>
      <c r="L514" s="8" t="s">
        <v>1007</v>
      </c>
      <c r="M514" s="8" t="s">
        <v>1007</v>
      </c>
      <c r="N514" s="8" t="s">
        <v>47</v>
      </c>
      <c r="O514" s="28">
        <v>45071</v>
      </c>
      <c r="P514" s="8"/>
      <c r="Q514" s="8" t="s">
        <v>1009</v>
      </c>
      <c r="R514" s="8" t="s">
        <v>36</v>
      </c>
      <c r="S514" s="8"/>
      <c r="T514" s="8"/>
      <c r="U514" s="8"/>
      <c r="V514" s="8" t="s">
        <v>1372</v>
      </c>
      <c r="W514" s="8"/>
      <c r="X514" s="8"/>
      <c r="Y514" s="8"/>
      <c r="Z514" s="8"/>
      <c r="AA514" s="8"/>
      <c r="AB514" s="8"/>
      <c r="AC514" s="8"/>
      <c r="AD514" s="4">
        <f t="shared" si="7"/>
        <v>18</v>
      </c>
    </row>
    <row r="515" spans="1:30" ht="27" thickBot="1" x14ac:dyDescent="0.3">
      <c r="A515" s="3">
        <v>45050.489050925928</v>
      </c>
      <c r="B515" s="4" t="s">
        <v>1004</v>
      </c>
      <c r="C515" s="4" t="s">
        <v>1005</v>
      </c>
      <c r="D515" s="31" t="s">
        <v>27</v>
      </c>
      <c r="E515" s="8" t="s">
        <v>1027</v>
      </c>
      <c r="F515" s="9">
        <v>628051083</v>
      </c>
      <c r="G515" s="8"/>
      <c r="H515" s="8" t="s">
        <v>1026</v>
      </c>
      <c r="I515" s="8">
        <v>3</v>
      </c>
      <c r="J515" s="8" t="s">
        <v>38</v>
      </c>
      <c r="K515" s="9">
        <v>20</v>
      </c>
      <c r="L515" s="8" t="s">
        <v>1022</v>
      </c>
      <c r="M515" s="8" t="s">
        <v>1022</v>
      </c>
      <c r="N515" s="8" t="s">
        <v>57</v>
      </c>
      <c r="O515" s="28">
        <v>45071</v>
      </c>
      <c r="P515" s="8"/>
      <c r="Q515" s="8" t="s">
        <v>1009</v>
      </c>
      <c r="R515" s="8" t="s">
        <v>36</v>
      </c>
      <c r="S515" s="8"/>
      <c r="T515" s="8"/>
      <c r="U515" s="8"/>
      <c r="V515" s="8" t="s">
        <v>1372</v>
      </c>
      <c r="W515" s="8"/>
      <c r="X515" s="8"/>
      <c r="Y515" s="8"/>
      <c r="Z515" s="8"/>
      <c r="AA515" s="8"/>
      <c r="AB515" s="8"/>
      <c r="AC515" s="8"/>
      <c r="AD515" s="4">
        <f t="shared" ref="AD515:AD578" si="8">WEEKNUM(LEFT(A515,10))</f>
        <v>18</v>
      </c>
    </row>
    <row r="516" spans="1:30" ht="27" thickBot="1" x14ac:dyDescent="0.3">
      <c r="A516" s="3">
        <v>45050.4919212963</v>
      </c>
      <c r="B516" s="4" t="s">
        <v>1004</v>
      </c>
      <c r="C516" s="4" t="s">
        <v>1005</v>
      </c>
      <c r="D516" s="31" t="s">
        <v>27</v>
      </c>
      <c r="E516" s="8" t="s">
        <v>1028</v>
      </c>
      <c r="F516" s="9">
        <v>622911379</v>
      </c>
      <c r="G516" s="8"/>
      <c r="H516" s="8" t="s">
        <v>1026</v>
      </c>
      <c r="I516" s="8">
        <v>8</v>
      </c>
      <c r="J516" s="8" t="s">
        <v>38</v>
      </c>
      <c r="K516" s="8">
        <v>8</v>
      </c>
      <c r="L516" s="8" t="s">
        <v>1022</v>
      </c>
      <c r="M516" s="8" t="s">
        <v>1022</v>
      </c>
      <c r="N516" s="8" t="s">
        <v>57</v>
      </c>
      <c r="O516" s="28">
        <v>45061</v>
      </c>
      <c r="P516" s="8"/>
      <c r="Q516" s="8" t="s">
        <v>1009</v>
      </c>
      <c r="R516" s="8" t="s">
        <v>36</v>
      </c>
      <c r="S516" s="8"/>
      <c r="T516" s="8"/>
      <c r="U516" s="8"/>
      <c r="V516" s="8" t="s">
        <v>1372</v>
      </c>
      <c r="W516" s="8"/>
      <c r="X516" s="8"/>
      <c r="Y516" s="8"/>
      <c r="Z516" s="8"/>
      <c r="AA516" s="8"/>
      <c r="AB516" s="8"/>
      <c r="AC516" s="8"/>
      <c r="AD516" s="4">
        <f t="shared" si="8"/>
        <v>18</v>
      </c>
    </row>
    <row r="517" spans="1:30" ht="27" thickBot="1" x14ac:dyDescent="0.3">
      <c r="A517" s="3">
        <v>45050.493726851855</v>
      </c>
      <c r="B517" s="4" t="s">
        <v>1004</v>
      </c>
      <c r="C517" s="4" t="s">
        <v>1005</v>
      </c>
      <c r="D517" s="31" t="s">
        <v>27</v>
      </c>
      <c r="E517" s="8" t="s">
        <v>1028</v>
      </c>
      <c r="F517" s="9">
        <v>622911379</v>
      </c>
      <c r="G517" s="8"/>
      <c r="H517" s="8" t="s">
        <v>1026</v>
      </c>
      <c r="I517" s="8">
        <v>8</v>
      </c>
      <c r="J517" s="8" t="s">
        <v>38</v>
      </c>
      <c r="K517" s="8">
        <v>7</v>
      </c>
      <c r="L517" s="8" t="s">
        <v>147</v>
      </c>
      <c r="M517" s="8" t="s">
        <v>147</v>
      </c>
      <c r="N517" s="8" t="s">
        <v>47</v>
      </c>
      <c r="O517" s="28">
        <v>45061</v>
      </c>
      <c r="P517" s="8"/>
      <c r="Q517" s="8" t="s">
        <v>1009</v>
      </c>
      <c r="R517" s="8" t="s">
        <v>36</v>
      </c>
      <c r="S517" s="8"/>
      <c r="T517" s="8"/>
      <c r="U517" s="8"/>
      <c r="V517" s="8" t="s">
        <v>1372</v>
      </c>
      <c r="W517" s="8"/>
      <c r="X517" s="8"/>
      <c r="Y517" s="8"/>
      <c r="Z517" s="8"/>
      <c r="AA517" s="8"/>
      <c r="AB517" s="8"/>
      <c r="AC517" s="8"/>
      <c r="AD517" s="4">
        <f t="shared" si="8"/>
        <v>18</v>
      </c>
    </row>
    <row r="518" spans="1:30" ht="65.25" thickBot="1" x14ac:dyDescent="0.3">
      <c r="A518" s="3">
        <v>45050.508622685185</v>
      </c>
      <c r="B518" s="4" t="s">
        <v>623</v>
      </c>
      <c r="C518" s="4" t="s">
        <v>870</v>
      </c>
      <c r="D518" s="31" t="s">
        <v>42</v>
      </c>
      <c r="E518" s="4" t="s">
        <v>1029</v>
      </c>
      <c r="F518" s="5">
        <v>622036411</v>
      </c>
      <c r="G518" s="4"/>
      <c r="H518" s="4" t="s">
        <v>268</v>
      </c>
      <c r="I518" s="5">
        <v>60</v>
      </c>
      <c r="J518" s="4" t="s">
        <v>38</v>
      </c>
      <c r="K518" s="5">
        <v>20</v>
      </c>
      <c r="L518" s="4" t="s">
        <v>1030</v>
      </c>
      <c r="M518" s="4" t="s">
        <v>416</v>
      </c>
      <c r="N518" s="4" t="s">
        <v>57</v>
      </c>
      <c r="O518" s="6">
        <v>45054</v>
      </c>
      <c r="P518" s="4"/>
      <c r="Q518" s="4" t="s">
        <v>628</v>
      </c>
      <c r="R518" s="4" t="s">
        <v>252</v>
      </c>
      <c r="S518" s="4"/>
      <c r="T518" s="4"/>
      <c r="U518" s="4"/>
      <c r="V518" s="4" t="s">
        <v>1372</v>
      </c>
      <c r="W518" s="4"/>
      <c r="X518" s="4"/>
      <c r="Y518" s="4"/>
      <c r="Z518" s="4"/>
      <c r="AA518" s="4"/>
      <c r="AB518" s="4"/>
      <c r="AC518" s="4"/>
      <c r="AD518" s="4">
        <f t="shared" si="8"/>
        <v>18</v>
      </c>
    </row>
    <row r="519" spans="1:30" ht="39.75" thickBot="1" x14ac:dyDescent="0.3">
      <c r="A519" s="3">
        <v>45050.512152777781</v>
      </c>
      <c r="B519" s="4" t="s">
        <v>115</v>
      </c>
      <c r="C519" s="4" t="s">
        <v>116</v>
      </c>
      <c r="D519" s="31" t="s">
        <v>42</v>
      </c>
      <c r="E519" s="4" t="s">
        <v>1031</v>
      </c>
      <c r="F519" s="5">
        <v>629231442</v>
      </c>
      <c r="G519" s="4"/>
      <c r="H519" s="4" t="s">
        <v>925</v>
      </c>
      <c r="I519" s="5">
        <v>56</v>
      </c>
      <c r="J519" s="4" t="s">
        <v>38</v>
      </c>
      <c r="K519" s="5">
        <v>1</v>
      </c>
      <c r="L519" s="4" t="s">
        <v>146</v>
      </c>
      <c r="M519" s="4" t="s">
        <v>395</v>
      </c>
      <c r="N519" s="4" t="s">
        <v>47</v>
      </c>
      <c r="O519" s="6">
        <v>45242</v>
      </c>
      <c r="P519" s="4" t="s">
        <v>927</v>
      </c>
      <c r="Q519" s="4" t="s">
        <v>122</v>
      </c>
      <c r="R519" s="4" t="s">
        <v>36</v>
      </c>
      <c r="S519" s="4"/>
      <c r="T519" s="4"/>
      <c r="U519" s="4"/>
      <c r="V519" s="4" t="s">
        <v>1372</v>
      </c>
      <c r="W519" s="4"/>
      <c r="X519" s="4"/>
      <c r="Y519" s="4"/>
      <c r="Z519" s="4"/>
      <c r="AA519" s="4"/>
      <c r="AB519" s="4"/>
      <c r="AC519" s="4"/>
      <c r="AD519" s="4">
        <f t="shared" si="8"/>
        <v>18</v>
      </c>
    </row>
    <row r="520" spans="1:30" ht="39.75" thickBot="1" x14ac:dyDescent="0.3">
      <c r="A520" s="3">
        <v>45050.514178240737</v>
      </c>
      <c r="B520" s="4" t="s">
        <v>115</v>
      </c>
      <c r="C520" s="4" t="s">
        <v>116</v>
      </c>
      <c r="D520" s="31" t="s">
        <v>42</v>
      </c>
      <c r="E520" s="4" t="s">
        <v>1032</v>
      </c>
      <c r="F520" s="5">
        <v>610497442</v>
      </c>
      <c r="G520" s="4"/>
      <c r="H520" s="4" t="s">
        <v>925</v>
      </c>
      <c r="I520" s="5">
        <v>56</v>
      </c>
      <c r="J520" s="4" t="s">
        <v>38</v>
      </c>
      <c r="K520" s="5">
        <v>1</v>
      </c>
      <c r="L520" s="4" t="s">
        <v>146</v>
      </c>
      <c r="M520" s="4" t="s">
        <v>395</v>
      </c>
      <c r="N520" s="4" t="s">
        <v>47</v>
      </c>
      <c r="O520" s="6">
        <v>45242</v>
      </c>
      <c r="P520" s="4" t="s">
        <v>927</v>
      </c>
      <c r="Q520" s="4" t="s">
        <v>122</v>
      </c>
      <c r="R520" s="4" t="s">
        <v>36</v>
      </c>
      <c r="S520" s="4"/>
      <c r="T520" s="4"/>
      <c r="U520" s="4"/>
      <c r="V520" s="4" t="s">
        <v>1372</v>
      </c>
      <c r="W520" s="4"/>
      <c r="X520" s="4"/>
      <c r="Y520" s="4"/>
      <c r="Z520" s="4"/>
      <c r="AA520" s="4"/>
      <c r="AB520" s="4"/>
      <c r="AC520" s="4"/>
      <c r="AD520" s="4">
        <f t="shared" si="8"/>
        <v>18</v>
      </c>
    </row>
    <row r="521" spans="1:30" ht="39.75" thickBot="1" x14ac:dyDescent="0.3">
      <c r="A521" s="3">
        <v>45050.519594907404</v>
      </c>
      <c r="B521" s="4" t="s">
        <v>115</v>
      </c>
      <c r="C521" s="4" t="s">
        <v>116</v>
      </c>
      <c r="D521" s="31" t="s">
        <v>42</v>
      </c>
      <c r="E521" s="4" t="s">
        <v>1033</v>
      </c>
      <c r="F521" s="5">
        <v>623231522</v>
      </c>
      <c r="G521" s="4"/>
      <c r="H521" s="4" t="s">
        <v>925</v>
      </c>
      <c r="I521" s="5">
        <v>56</v>
      </c>
      <c r="J521" s="4" t="s">
        <v>38</v>
      </c>
      <c r="K521" s="5">
        <v>1</v>
      </c>
      <c r="L521" s="4" t="s">
        <v>146</v>
      </c>
      <c r="M521" s="4" t="s">
        <v>395</v>
      </c>
      <c r="N521" s="4" t="s">
        <v>47</v>
      </c>
      <c r="O521" s="6">
        <v>45243</v>
      </c>
      <c r="P521" s="4" t="s">
        <v>927</v>
      </c>
      <c r="Q521" s="4" t="s">
        <v>122</v>
      </c>
      <c r="R521" s="4" t="s">
        <v>36</v>
      </c>
      <c r="S521" s="4"/>
      <c r="T521" s="4"/>
      <c r="U521" s="4"/>
      <c r="V521" s="4" t="s">
        <v>1372</v>
      </c>
      <c r="W521" s="4"/>
      <c r="X521" s="4"/>
      <c r="Y521" s="4"/>
      <c r="Z521" s="4"/>
      <c r="AA521" s="4"/>
      <c r="AB521" s="4"/>
      <c r="AC521" s="4"/>
      <c r="AD521" s="4">
        <f t="shared" si="8"/>
        <v>18</v>
      </c>
    </row>
    <row r="522" spans="1:30" ht="27" thickBot="1" x14ac:dyDescent="0.3">
      <c r="A522" s="3">
        <v>45050.534328703703</v>
      </c>
      <c r="B522" s="4" t="s">
        <v>677</v>
      </c>
      <c r="C522" s="4" t="s">
        <v>678</v>
      </c>
      <c r="D522" s="31" t="s">
        <v>42</v>
      </c>
      <c r="E522" s="4" t="s">
        <v>1034</v>
      </c>
      <c r="F522" s="5">
        <v>622067630</v>
      </c>
      <c r="G522" s="4"/>
      <c r="H522" s="4" t="s">
        <v>953</v>
      </c>
      <c r="I522" s="5">
        <v>15</v>
      </c>
      <c r="J522" s="4" t="s">
        <v>38</v>
      </c>
      <c r="K522" s="5">
        <v>4</v>
      </c>
      <c r="L522" s="4" t="s">
        <v>93</v>
      </c>
      <c r="M522" s="4" t="s">
        <v>93</v>
      </c>
      <c r="N522" s="4" t="s">
        <v>47</v>
      </c>
      <c r="O522" s="6">
        <v>45060</v>
      </c>
      <c r="P522" s="4"/>
      <c r="Q522" s="4" t="s">
        <v>682</v>
      </c>
      <c r="R522" s="4" t="s">
        <v>36</v>
      </c>
      <c r="S522" s="4"/>
      <c r="T522" s="4"/>
      <c r="U522" s="4"/>
      <c r="V522" s="4" t="s">
        <v>1372</v>
      </c>
      <c r="W522" s="4"/>
      <c r="X522" s="4"/>
      <c r="Y522" s="4"/>
      <c r="Z522" s="4"/>
      <c r="AA522" s="4"/>
      <c r="AB522" s="4"/>
      <c r="AC522" s="4"/>
      <c r="AD522" s="4">
        <f t="shared" si="8"/>
        <v>18</v>
      </c>
    </row>
    <row r="523" spans="1:30" ht="27" thickBot="1" x14ac:dyDescent="0.3">
      <c r="A523" s="3">
        <v>45050.536874999998</v>
      </c>
      <c r="B523" s="4" t="s">
        <v>677</v>
      </c>
      <c r="C523" s="4" t="s">
        <v>678</v>
      </c>
      <c r="D523" s="31" t="s">
        <v>42</v>
      </c>
      <c r="E523" s="4" t="s">
        <v>1035</v>
      </c>
      <c r="F523" s="5">
        <v>624688278</v>
      </c>
      <c r="G523" s="4"/>
      <c r="H523" s="4" t="s">
        <v>950</v>
      </c>
      <c r="I523" s="5">
        <v>56</v>
      </c>
      <c r="J523" s="4" t="s">
        <v>38</v>
      </c>
      <c r="K523" s="5">
        <v>5</v>
      </c>
      <c r="L523" s="4" t="s">
        <v>93</v>
      </c>
      <c r="M523" s="4" t="s">
        <v>93</v>
      </c>
      <c r="N523" s="4" t="s">
        <v>47</v>
      </c>
      <c r="O523" s="6">
        <v>45061</v>
      </c>
      <c r="P523" s="4"/>
      <c r="Q523" s="4" t="s">
        <v>682</v>
      </c>
      <c r="R523" s="4" t="s">
        <v>36</v>
      </c>
      <c r="S523" s="4"/>
      <c r="T523" s="4"/>
      <c r="U523" s="4"/>
      <c r="V523" s="4" t="s">
        <v>1372</v>
      </c>
      <c r="W523" s="4"/>
      <c r="X523" s="4"/>
      <c r="Y523" s="4"/>
      <c r="Z523" s="4"/>
      <c r="AA523" s="4"/>
      <c r="AB523" s="4"/>
      <c r="AC523" s="4"/>
      <c r="AD523" s="4">
        <f t="shared" si="8"/>
        <v>18</v>
      </c>
    </row>
    <row r="524" spans="1:30" ht="39.75" thickBot="1" x14ac:dyDescent="0.3">
      <c r="A524" s="3">
        <v>45050.538391203707</v>
      </c>
      <c r="B524" s="4" t="s">
        <v>595</v>
      </c>
      <c r="C524" s="4" t="s">
        <v>572</v>
      </c>
      <c r="D524" s="31" t="s">
        <v>42</v>
      </c>
      <c r="E524" s="4" t="s">
        <v>1036</v>
      </c>
      <c r="F524" s="5">
        <v>622619901</v>
      </c>
      <c r="G524" s="4"/>
      <c r="H524" s="4" t="s">
        <v>525</v>
      </c>
      <c r="I524" s="5">
        <v>15</v>
      </c>
      <c r="J524" s="4" t="s">
        <v>38</v>
      </c>
      <c r="K524" s="5">
        <v>30</v>
      </c>
      <c r="L524" s="4" t="s">
        <v>1037</v>
      </c>
      <c r="M524" s="4" t="s">
        <v>599</v>
      </c>
      <c r="N524" s="4" t="s">
        <v>47</v>
      </c>
      <c r="O524" s="6">
        <v>45059</v>
      </c>
      <c r="P524" s="4" t="s">
        <v>1038</v>
      </c>
      <c r="Q524" s="4" t="s">
        <v>600</v>
      </c>
      <c r="R524" s="4" t="s">
        <v>36</v>
      </c>
      <c r="S524" s="4"/>
      <c r="T524" s="4"/>
      <c r="U524" s="4"/>
      <c r="V524" s="4" t="s">
        <v>1372</v>
      </c>
      <c r="W524" s="4"/>
      <c r="X524" s="4"/>
      <c r="Y524" s="4"/>
      <c r="Z524" s="4"/>
      <c r="AA524" s="4"/>
      <c r="AB524" s="4"/>
      <c r="AC524" s="4"/>
      <c r="AD524" s="4">
        <f t="shared" si="8"/>
        <v>18</v>
      </c>
    </row>
    <row r="525" spans="1:30" ht="39.75" thickBot="1" x14ac:dyDescent="0.3">
      <c r="A525" s="3">
        <v>45050.542291666665</v>
      </c>
      <c r="B525" s="4" t="s">
        <v>595</v>
      </c>
      <c r="C525" s="4" t="s">
        <v>572</v>
      </c>
      <c r="D525" s="31" t="s">
        <v>42</v>
      </c>
      <c r="E525" s="4" t="s">
        <v>1039</v>
      </c>
      <c r="F525" s="5">
        <v>622909171</v>
      </c>
      <c r="G525" s="4"/>
      <c r="H525" s="4" t="s">
        <v>525</v>
      </c>
      <c r="I525" s="5">
        <v>15</v>
      </c>
      <c r="J525" s="4" t="s">
        <v>38</v>
      </c>
      <c r="K525" s="5">
        <v>50</v>
      </c>
      <c r="L525" s="4" t="s">
        <v>1040</v>
      </c>
      <c r="M525" s="4" t="s">
        <v>599</v>
      </c>
      <c r="N525" s="4" t="s">
        <v>90</v>
      </c>
      <c r="O525" s="6">
        <v>45064</v>
      </c>
      <c r="P525" s="4" t="s">
        <v>1041</v>
      </c>
      <c r="Q525" s="4" t="s">
        <v>600</v>
      </c>
      <c r="R525" s="4" t="s">
        <v>36</v>
      </c>
      <c r="S525" s="4"/>
      <c r="T525" s="4"/>
      <c r="U525" s="4"/>
      <c r="V525" s="4" t="s">
        <v>1372</v>
      </c>
      <c r="W525" s="4"/>
      <c r="X525" s="4"/>
      <c r="Y525" s="4"/>
      <c r="Z525" s="4"/>
      <c r="AA525" s="4"/>
      <c r="AB525" s="4"/>
      <c r="AC525" s="4"/>
      <c r="AD525" s="4">
        <f t="shared" si="8"/>
        <v>18</v>
      </c>
    </row>
    <row r="526" spans="1:30" ht="27" thickBot="1" x14ac:dyDescent="0.3">
      <c r="A526" s="3">
        <v>45050.543865740743</v>
      </c>
      <c r="B526" s="4" t="s">
        <v>677</v>
      </c>
      <c r="C526" s="4" t="s">
        <v>678</v>
      </c>
      <c r="D526" s="31" t="s">
        <v>42</v>
      </c>
      <c r="E526" s="4" t="s">
        <v>1042</v>
      </c>
      <c r="F526" s="5">
        <v>628054540</v>
      </c>
      <c r="G526" s="4"/>
      <c r="H526" s="4" t="s">
        <v>1043</v>
      </c>
      <c r="I526" s="5">
        <v>65</v>
      </c>
      <c r="J526" s="4" t="s">
        <v>38</v>
      </c>
      <c r="K526" s="5">
        <v>10</v>
      </c>
      <c r="L526" s="4" t="s">
        <v>1044</v>
      </c>
      <c r="M526" s="4" t="s">
        <v>1044</v>
      </c>
      <c r="N526" s="4" t="s">
        <v>47</v>
      </c>
      <c r="O526" s="6">
        <v>45066</v>
      </c>
      <c r="P526" s="4"/>
      <c r="Q526" s="4" t="s">
        <v>682</v>
      </c>
      <c r="R526" s="4" t="s">
        <v>36</v>
      </c>
      <c r="S526" s="4"/>
      <c r="T526" s="4"/>
      <c r="U526" s="4"/>
      <c r="V526" s="4" t="s">
        <v>1372</v>
      </c>
      <c r="W526" s="4"/>
      <c r="X526" s="4"/>
      <c r="Y526" s="4"/>
      <c r="Z526" s="4"/>
      <c r="AA526" s="4"/>
      <c r="AB526" s="4"/>
      <c r="AC526" s="4"/>
      <c r="AD526" s="4">
        <f t="shared" si="8"/>
        <v>18</v>
      </c>
    </row>
    <row r="527" spans="1:30" ht="65.25" thickBot="1" x14ac:dyDescent="0.3">
      <c r="A527" s="3">
        <v>45050.552939814814</v>
      </c>
      <c r="B527" s="4" t="s">
        <v>623</v>
      </c>
      <c r="C527" s="4" t="s">
        <v>870</v>
      </c>
      <c r="D527" s="31" t="s">
        <v>42</v>
      </c>
      <c r="E527" s="4" t="s">
        <v>1045</v>
      </c>
      <c r="F527" s="5">
        <v>622558420</v>
      </c>
      <c r="G527" s="4"/>
      <c r="H527" s="4" t="s">
        <v>256</v>
      </c>
      <c r="I527" s="5">
        <v>18</v>
      </c>
      <c r="J527" s="4" t="s">
        <v>38</v>
      </c>
      <c r="K527" s="5">
        <v>2</v>
      </c>
      <c r="L527" s="4" t="s">
        <v>657</v>
      </c>
      <c r="M527" s="4" t="s">
        <v>658</v>
      </c>
      <c r="N527" s="4" t="s">
        <v>47</v>
      </c>
      <c r="O527" s="6">
        <v>45054</v>
      </c>
      <c r="P527" s="4"/>
      <c r="Q527" s="4" t="s">
        <v>628</v>
      </c>
      <c r="R527" s="4" t="s">
        <v>98</v>
      </c>
      <c r="S527" s="4"/>
      <c r="T527" s="4"/>
      <c r="U527" s="4"/>
      <c r="V527" s="4" t="s">
        <v>1372</v>
      </c>
      <c r="W527" s="4"/>
      <c r="X527" s="4"/>
      <c r="Y527" s="4"/>
      <c r="Z527" s="4"/>
      <c r="AA527" s="4"/>
      <c r="AB527" s="4"/>
      <c r="AC527" s="4"/>
      <c r="AD527" s="4">
        <f t="shared" si="8"/>
        <v>18</v>
      </c>
    </row>
    <row r="528" spans="1:30" ht="27" thickBot="1" x14ac:dyDescent="0.3">
      <c r="A528" s="3">
        <v>45050.554016203707</v>
      </c>
      <c r="B528" s="4" t="s">
        <v>677</v>
      </c>
      <c r="C528" s="4" t="s">
        <v>678</v>
      </c>
      <c r="D528" s="31" t="s">
        <v>42</v>
      </c>
      <c r="E528" s="4" t="s">
        <v>1046</v>
      </c>
      <c r="F528" s="5">
        <v>622062867</v>
      </c>
      <c r="G528" s="4"/>
      <c r="H528" s="4" t="s">
        <v>680</v>
      </c>
      <c r="I528" s="5">
        <v>40</v>
      </c>
      <c r="J528" s="4" t="s">
        <v>38</v>
      </c>
      <c r="K528" s="5">
        <v>8</v>
      </c>
      <c r="L528" s="4" t="s">
        <v>252</v>
      </c>
      <c r="M528" s="4" t="s">
        <v>252</v>
      </c>
      <c r="N528" s="4" t="s">
        <v>47</v>
      </c>
      <c r="O528" s="6">
        <v>45071</v>
      </c>
      <c r="P528" s="4"/>
      <c r="Q528" s="4" t="s">
        <v>682</v>
      </c>
      <c r="R528" s="4" t="s">
        <v>252</v>
      </c>
      <c r="S528" s="4"/>
      <c r="T528" s="4"/>
      <c r="U528" s="4"/>
      <c r="V528" s="4" t="s">
        <v>1372</v>
      </c>
      <c r="W528" s="4"/>
      <c r="X528" s="4"/>
      <c r="Y528" s="4"/>
      <c r="Z528" s="4"/>
      <c r="AA528" s="4"/>
      <c r="AB528" s="4"/>
      <c r="AC528" s="4"/>
      <c r="AD528" s="4">
        <f t="shared" si="8"/>
        <v>18</v>
      </c>
    </row>
    <row r="529" spans="1:30" ht="39.75" thickBot="1" x14ac:dyDescent="0.3">
      <c r="A529" s="3">
        <v>45050.607303240744</v>
      </c>
      <c r="B529" s="4" t="s">
        <v>115</v>
      </c>
      <c r="C529" s="4" t="s">
        <v>116</v>
      </c>
      <c r="D529" s="31" t="s">
        <v>42</v>
      </c>
      <c r="E529" s="4" t="s">
        <v>1047</v>
      </c>
      <c r="F529" s="5">
        <v>622700302</v>
      </c>
      <c r="G529" s="4"/>
      <c r="H529" s="4" t="s">
        <v>925</v>
      </c>
      <c r="I529" s="5">
        <v>64</v>
      </c>
      <c r="J529" s="4" t="s">
        <v>38</v>
      </c>
      <c r="K529" s="5">
        <v>1</v>
      </c>
      <c r="L529" s="4" t="s">
        <v>146</v>
      </c>
      <c r="M529" s="4" t="s">
        <v>395</v>
      </c>
      <c r="N529" s="4" t="s">
        <v>47</v>
      </c>
      <c r="O529" s="6">
        <v>45243</v>
      </c>
      <c r="P529" s="4" t="s">
        <v>927</v>
      </c>
      <c r="Q529" s="4" t="s">
        <v>122</v>
      </c>
      <c r="R529" s="4" t="s">
        <v>36</v>
      </c>
      <c r="S529" s="4"/>
      <c r="T529" s="4"/>
      <c r="U529" s="4"/>
      <c r="V529" s="4" t="s">
        <v>1372</v>
      </c>
      <c r="W529" s="4"/>
      <c r="X529" s="4"/>
      <c r="Y529" s="4"/>
      <c r="Z529" s="4"/>
      <c r="AA529" s="4"/>
      <c r="AB529" s="4"/>
      <c r="AC529" s="4"/>
      <c r="AD529" s="4">
        <f t="shared" si="8"/>
        <v>18</v>
      </c>
    </row>
    <row r="530" spans="1:30" ht="39.75" thickBot="1" x14ac:dyDescent="0.3">
      <c r="A530" s="3">
        <v>45050.609479166669</v>
      </c>
      <c r="B530" s="4" t="s">
        <v>115</v>
      </c>
      <c r="C530" s="4" t="s">
        <v>116</v>
      </c>
      <c r="D530" s="31" t="s">
        <v>42</v>
      </c>
      <c r="E530" s="4" t="s">
        <v>1048</v>
      </c>
      <c r="F530" s="5">
        <v>622700302</v>
      </c>
      <c r="G530" s="4"/>
      <c r="H530" s="4" t="s">
        <v>925</v>
      </c>
      <c r="I530" s="5">
        <v>64</v>
      </c>
      <c r="J530" s="4" t="s">
        <v>38</v>
      </c>
      <c r="K530" s="5">
        <v>1</v>
      </c>
      <c r="L530" s="4" t="s">
        <v>146</v>
      </c>
      <c r="M530" s="4" t="s">
        <v>395</v>
      </c>
      <c r="N530" s="4" t="s">
        <v>47</v>
      </c>
      <c r="O530" s="6">
        <v>45244</v>
      </c>
      <c r="P530" s="4" t="s">
        <v>927</v>
      </c>
      <c r="Q530" s="4" t="s">
        <v>122</v>
      </c>
      <c r="R530" s="4" t="s">
        <v>36</v>
      </c>
      <c r="S530" s="4"/>
      <c r="T530" s="4"/>
      <c r="U530" s="4"/>
      <c r="V530" s="4" t="s">
        <v>1372</v>
      </c>
      <c r="W530" s="4"/>
      <c r="X530" s="4"/>
      <c r="Y530" s="4"/>
      <c r="Z530" s="4"/>
      <c r="AA530" s="4"/>
      <c r="AB530" s="4"/>
      <c r="AC530" s="4"/>
      <c r="AD530" s="4">
        <f t="shared" si="8"/>
        <v>18</v>
      </c>
    </row>
    <row r="531" spans="1:30" ht="27" thickBot="1" x14ac:dyDescent="0.3">
      <c r="A531" s="3">
        <v>45050.610081018516</v>
      </c>
      <c r="B531" s="4" t="s">
        <v>1770</v>
      </c>
      <c r="C531" s="4" t="s">
        <v>254</v>
      </c>
      <c r="D531" s="31" t="s">
        <v>42</v>
      </c>
      <c r="E531" s="4" t="s">
        <v>1049</v>
      </c>
      <c r="F531" s="5">
        <v>623546940</v>
      </c>
      <c r="G531" s="5">
        <v>623546940</v>
      </c>
      <c r="H531" s="4" t="s">
        <v>476</v>
      </c>
      <c r="I531" s="5">
        <v>16</v>
      </c>
      <c r="J531" s="4" t="s">
        <v>38</v>
      </c>
      <c r="K531" s="5">
        <v>3</v>
      </c>
      <c r="L531" s="4" t="s">
        <v>512</v>
      </c>
      <c r="M531" s="4" t="s">
        <v>512</v>
      </c>
      <c r="N531" s="4" t="s">
        <v>90</v>
      </c>
      <c r="O531" s="6">
        <v>45052</v>
      </c>
      <c r="P531" s="4"/>
      <c r="Q531" s="4" t="s">
        <v>405</v>
      </c>
      <c r="R531" s="4" t="s">
        <v>36</v>
      </c>
      <c r="S531" s="4" t="s">
        <v>59</v>
      </c>
      <c r="T531" s="5">
        <v>3</v>
      </c>
      <c r="U531" s="6">
        <v>45051</v>
      </c>
      <c r="V531" s="4" t="s">
        <v>1352</v>
      </c>
      <c r="W531" s="10" t="s">
        <v>745</v>
      </c>
      <c r="X531" s="4"/>
      <c r="Y531" s="4"/>
      <c r="Z531" s="4"/>
      <c r="AA531" s="4"/>
      <c r="AB531" s="4"/>
      <c r="AC531" s="4"/>
      <c r="AD531" s="4">
        <f t="shared" si="8"/>
        <v>18</v>
      </c>
    </row>
    <row r="532" spans="1:30" ht="27" thickBot="1" x14ac:dyDescent="0.3">
      <c r="A532" s="3">
        <v>45050.611921296295</v>
      </c>
      <c r="B532" s="4" t="s">
        <v>1770</v>
      </c>
      <c r="C532" s="4" t="s">
        <v>254</v>
      </c>
      <c r="D532" s="31" t="s">
        <v>42</v>
      </c>
      <c r="E532" s="4" t="s">
        <v>1050</v>
      </c>
      <c r="F532" s="5">
        <v>622113376</v>
      </c>
      <c r="G532" s="5">
        <v>622113376</v>
      </c>
      <c r="H532" s="4" t="s">
        <v>476</v>
      </c>
      <c r="I532" s="5">
        <v>12</v>
      </c>
      <c r="J532" s="4" t="s">
        <v>38</v>
      </c>
      <c r="K532" s="5">
        <v>3</v>
      </c>
      <c r="L532" s="4" t="s">
        <v>591</v>
      </c>
      <c r="M532" s="4" t="s">
        <v>591</v>
      </c>
      <c r="N532" s="4" t="s">
        <v>41</v>
      </c>
      <c r="O532" s="6">
        <v>45052</v>
      </c>
      <c r="P532" s="4"/>
      <c r="Q532" s="4" t="s">
        <v>405</v>
      </c>
      <c r="R532" s="4" t="s">
        <v>36</v>
      </c>
      <c r="S532" s="4" t="s">
        <v>59</v>
      </c>
      <c r="T532" s="5">
        <v>3</v>
      </c>
      <c r="U532" s="6">
        <v>45051</v>
      </c>
      <c r="V532" s="4" t="s">
        <v>1352</v>
      </c>
      <c r="W532" s="10" t="s">
        <v>745</v>
      </c>
      <c r="X532" s="4"/>
      <c r="Y532" s="4"/>
      <c r="Z532" s="4"/>
      <c r="AA532" s="4"/>
      <c r="AB532" s="4"/>
      <c r="AC532" s="4"/>
      <c r="AD532" s="4">
        <f t="shared" si="8"/>
        <v>18</v>
      </c>
    </row>
    <row r="533" spans="1:30" ht="39.75" thickBot="1" x14ac:dyDescent="0.3">
      <c r="A533" s="3">
        <v>45050.612210648149</v>
      </c>
      <c r="B533" s="4" t="s">
        <v>115</v>
      </c>
      <c r="C533" s="4" t="s">
        <v>116</v>
      </c>
      <c r="D533" s="31" t="s">
        <v>42</v>
      </c>
      <c r="E533" s="4" t="s">
        <v>1051</v>
      </c>
      <c r="F533" s="5">
        <v>622700302</v>
      </c>
      <c r="G533" s="4"/>
      <c r="H533" s="4" t="s">
        <v>925</v>
      </c>
      <c r="I533" s="5">
        <v>64</v>
      </c>
      <c r="J533" s="4" t="s">
        <v>38</v>
      </c>
      <c r="K533" s="5">
        <v>1</v>
      </c>
      <c r="L533" s="4" t="s">
        <v>146</v>
      </c>
      <c r="M533" s="4" t="s">
        <v>93</v>
      </c>
      <c r="N533" s="4" t="s">
        <v>47</v>
      </c>
      <c r="O533" s="6">
        <v>45245</v>
      </c>
      <c r="P533" s="4" t="s">
        <v>927</v>
      </c>
      <c r="Q533" s="4" t="s">
        <v>122</v>
      </c>
      <c r="R533" s="4" t="s">
        <v>36</v>
      </c>
      <c r="S533" s="4"/>
      <c r="T533" s="4"/>
      <c r="U533" s="4"/>
      <c r="V533" s="4" t="s">
        <v>1372</v>
      </c>
      <c r="W533" s="4"/>
      <c r="X533" s="4"/>
      <c r="Y533" s="4"/>
      <c r="Z533" s="4"/>
      <c r="AA533" s="4"/>
      <c r="AB533" s="4"/>
      <c r="AC533" s="4"/>
      <c r="AD533" s="4">
        <f t="shared" si="8"/>
        <v>18</v>
      </c>
    </row>
    <row r="534" spans="1:30" ht="27" thickBot="1" x14ac:dyDescent="0.3">
      <c r="A534" s="3">
        <v>45050.617939814816</v>
      </c>
      <c r="B534" s="4" t="s">
        <v>1770</v>
      </c>
      <c r="C534" s="4" t="s">
        <v>254</v>
      </c>
      <c r="D534" s="31" t="s">
        <v>42</v>
      </c>
      <c r="E534" s="4" t="s">
        <v>1052</v>
      </c>
      <c r="F534" s="5">
        <v>626857980</v>
      </c>
      <c r="G534" s="5">
        <v>626857980</v>
      </c>
      <c r="H534" s="4" t="s">
        <v>476</v>
      </c>
      <c r="I534" s="5">
        <v>4</v>
      </c>
      <c r="J534" s="4" t="s">
        <v>38</v>
      </c>
      <c r="K534" s="5">
        <v>1</v>
      </c>
      <c r="L534" s="4" t="s">
        <v>73</v>
      </c>
      <c r="M534" s="4" t="s">
        <v>73</v>
      </c>
      <c r="N534" s="4" t="s">
        <v>41</v>
      </c>
      <c r="O534" s="6">
        <v>45052</v>
      </c>
      <c r="P534" s="4"/>
      <c r="Q534" s="4" t="s">
        <v>405</v>
      </c>
      <c r="R534" s="4" t="s">
        <v>36</v>
      </c>
      <c r="S534" s="4" t="s">
        <v>59</v>
      </c>
      <c r="T534" s="5">
        <v>1</v>
      </c>
      <c r="U534" s="6">
        <v>45051</v>
      </c>
      <c r="V534" s="4" t="s">
        <v>1352</v>
      </c>
      <c r="W534" s="4" t="s">
        <v>747</v>
      </c>
      <c r="X534" s="4"/>
      <c r="Y534" s="4"/>
      <c r="Z534" s="4"/>
      <c r="AA534" s="4"/>
      <c r="AB534" s="4"/>
      <c r="AC534" s="4"/>
      <c r="AD534" s="4">
        <f t="shared" si="8"/>
        <v>18</v>
      </c>
    </row>
    <row r="535" spans="1:30" ht="27" thickBot="1" x14ac:dyDescent="0.3">
      <c r="A535" s="3">
        <v>45050.619756944441</v>
      </c>
      <c r="B535" s="4" t="s">
        <v>1770</v>
      </c>
      <c r="C535" s="4" t="s">
        <v>254</v>
      </c>
      <c r="D535" s="31" t="s">
        <v>42</v>
      </c>
      <c r="E535" s="4" t="s">
        <v>1053</v>
      </c>
      <c r="F535" s="5">
        <v>622537147</v>
      </c>
      <c r="G535" s="5">
        <v>622537147</v>
      </c>
      <c r="H535" s="4" t="s">
        <v>476</v>
      </c>
      <c r="I535" s="5">
        <v>17</v>
      </c>
      <c r="J535" s="4" t="s">
        <v>38</v>
      </c>
      <c r="K535" s="5">
        <v>5</v>
      </c>
      <c r="L535" s="4" t="s">
        <v>751</v>
      </c>
      <c r="M535" s="4" t="s">
        <v>751</v>
      </c>
      <c r="N535" s="4" t="s">
        <v>90</v>
      </c>
      <c r="O535" s="6">
        <v>45053</v>
      </c>
      <c r="P535" s="4"/>
      <c r="Q535" s="4" t="s">
        <v>405</v>
      </c>
      <c r="R535" s="4" t="s">
        <v>36</v>
      </c>
      <c r="S535" s="4" t="s">
        <v>59</v>
      </c>
      <c r="T535" s="5">
        <v>5</v>
      </c>
      <c r="U535" s="6">
        <v>45051</v>
      </c>
      <c r="V535" s="4" t="s">
        <v>1352</v>
      </c>
      <c r="W535" s="10" t="s">
        <v>686</v>
      </c>
      <c r="X535" s="4"/>
      <c r="Y535" s="4"/>
      <c r="Z535" s="4"/>
      <c r="AA535" s="4"/>
      <c r="AB535" s="4"/>
      <c r="AC535" s="4"/>
      <c r="AD535" s="4">
        <f t="shared" si="8"/>
        <v>18</v>
      </c>
    </row>
    <row r="536" spans="1:30" ht="27" thickBot="1" x14ac:dyDescent="0.3">
      <c r="A536" s="3">
        <v>45050.624756944446</v>
      </c>
      <c r="B536" s="4" t="s">
        <v>1770</v>
      </c>
      <c r="C536" s="4" t="s">
        <v>254</v>
      </c>
      <c r="D536" s="31" t="s">
        <v>42</v>
      </c>
      <c r="E536" s="4" t="s">
        <v>1054</v>
      </c>
      <c r="F536" s="5">
        <v>622509473</v>
      </c>
      <c r="G536" s="5">
        <v>622509473</v>
      </c>
      <c r="H536" s="4" t="s">
        <v>476</v>
      </c>
      <c r="I536" s="5">
        <v>3</v>
      </c>
      <c r="J536" s="4" t="s">
        <v>38</v>
      </c>
      <c r="K536" s="5">
        <v>1</v>
      </c>
      <c r="L536" s="4" t="s">
        <v>512</v>
      </c>
      <c r="M536" s="4" t="s">
        <v>512</v>
      </c>
      <c r="N536" s="4" t="s">
        <v>33</v>
      </c>
      <c r="O536" s="6">
        <v>45052</v>
      </c>
      <c r="P536" s="4"/>
      <c r="Q536" s="4" t="s">
        <v>405</v>
      </c>
      <c r="R536" s="4" t="s">
        <v>36</v>
      </c>
      <c r="S536" s="4" t="s">
        <v>59</v>
      </c>
      <c r="T536" s="5">
        <v>1</v>
      </c>
      <c r="U536" s="6">
        <v>45051</v>
      </c>
      <c r="V536" s="4" t="s">
        <v>1352</v>
      </c>
      <c r="W536" s="4" t="s">
        <v>747</v>
      </c>
      <c r="X536" s="4"/>
      <c r="Y536" s="4"/>
      <c r="Z536" s="4"/>
      <c r="AA536" s="4"/>
      <c r="AB536" s="4"/>
      <c r="AC536" s="4"/>
      <c r="AD536" s="4">
        <f t="shared" si="8"/>
        <v>18</v>
      </c>
    </row>
    <row r="537" spans="1:30" ht="27" thickBot="1" x14ac:dyDescent="0.3">
      <c r="A537" s="3">
        <v>45050.624756944446</v>
      </c>
      <c r="B537" s="4" t="s">
        <v>1770</v>
      </c>
      <c r="C537" s="4" t="s">
        <v>254</v>
      </c>
      <c r="D537" s="31" t="s">
        <v>42</v>
      </c>
      <c r="E537" s="4" t="s">
        <v>1055</v>
      </c>
      <c r="F537" s="5">
        <v>625558812</v>
      </c>
      <c r="G537" s="5">
        <v>625558812</v>
      </c>
      <c r="H537" s="4" t="s">
        <v>476</v>
      </c>
      <c r="I537" s="5">
        <v>18</v>
      </c>
      <c r="J537" s="4" t="s">
        <v>38</v>
      </c>
      <c r="K537" s="5">
        <v>3</v>
      </c>
      <c r="L537" s="4" t="s">
        <v>568</v>
      </c>
      <c r="M537" s="4" t="s">
        <v>568</v>
      </c>
      <c r="N537" s="4" t="s">
        <v>90</v>
      </c>
      <c r="O537" s="6">
        <v>45053</v>
      </c>
      <c r="P537" s="4"/>
      <c r="Q537" s="4" t="s">
        <v>405</v>
      </c>
      <c r="R537" s="4" t="s">
        <v>36</v>
      </c>
      <c r="S537" s="4" t="s">
        <v>59</v>
      </c>
      <c r="T537" s="5">
        <v>3</v>
      </c>
      <c r="U537" s="6">
        <v>45051</v>
      </c>
      <c r="V537" s="4" t="s">
        <v>1352</v>
      </c>
      <c r="W537" s="4" t="s">
        <v>747</v>
      </c>
      <c r="X537" s="4"/>
      <c r="Y537" s="4"/>
      <c r="Z537" s="4"/>
      <c r="AA537" s="4"/>
      <c r="AB537" s="4"/>
      <c r="AC537" s="4"/>
      <c r="AD537" s="4">
        <f t="shared" si="8"/>
        <v>18</v>
      </c>
    </row>
    <row r="538" spans="1:30" ht="27" thickBot="1" x14ac:dyDescent="0.3">
      <c r="A538" s="3">
        <v>45050.626562500001</v>
      </c>
      <c r="B538" s="4" t="s">
        <v>1770</v>
      </c>
      <c r="C538" s="4" t="s">
        <v>254</v>
      </c>
      <c r="D538" s="31" t="s">
        <v>42</v>
      </c>
      <c r="E538" s="4" t="s">
        <v>1056</v>
      </c>
      <c r="F538" s="5">
        <v>624249904</v>
      </c>
      <c r="G538" s="5">
        <v>624249904</v>
      </c>
      <c r="H538" s="4" t="s">
        <v>476</v>
      </c>
      <c r="I538" s="5">
        <v>3</v>
      </c>
      <c r="J538" s="4" t="s">
        <v>38</v>
      </c>
      <c r="K538" s="5">
        <v>2</v>
      </c>
      <c r="L538" s="4" t="s">
        <v>1057</v>
      </c>
      <c r="M538" s="4" t="s">
        <v>1057</v>
      </c>
      <c r="N538" s="4" t="s">
        <v>90</v>
      </c>
      <c r="O538" s="6">
        <v>45051</v>
      </c>
      <c r="P538" s="4"/>
      <c r="Q538" s="4" t="s">
        <v>405</v>
      </c>
      <c r="R538" s="4" t="s">
        <v>36</v>
      </c>
      <c r="S538" s="4" t="s">
        <v>59</v>
      </c>
      <c r="T538" s="5">
        <v>2</v>
      </c>
      <c r="U538" s="6">
        <v>45051</v>
      </c>
      <c r="V538" s="4" t="s">
        <v>1352</v>
      </c>
      <c r="W538" s="10" t="s">
        <v>745</v>
      </c>
      <c r="X538" s="4"/>
      <c r="Y538" s="4"/>
      <c r="Z538" s="4"/>
      <c r="AA538" s="4"/>
      <c r="AB538" s="4"/>
      <c r="AC538" s="4"/>
      <c r="AD538" s="4">
        <f t="shared" si="8"/>
        <v>18</v>
      </c>
    </row>
    <row r="539" spans="1:30" ht="27" thickBot="1" x14ac:dyDescent="0.3">
      <c r="A539" s="3">
        <v>45050.628229166665</v>
      </c>
      <c r="B539" s="4" t="s">
        <v>1770</v>
      </c>
      <c r="C539" s="4" t="s">
        <v>254</v>
      </c>
      <c r="D539" s="31" t="s">
        <v>42</v>
      </c>
      <c r="E539" s="4" t="s">
        <v>1058</v>
      </c>
      <c r="F539" s="5">
        <v>620311680</v>
      </c>
      <c r="G539" s="5">
        <v>620311680</v>
      </c>
      <c r="H539" s="4" t="s">
        <v>476</v>
      </c>
      <c r="I539" s="5">
        <v>2</v>
      </c>
      <c r="J539" s="4" t="s">
        <v>38</v>
      </c>
      <c r="K539" s="5">
        <v>3</v>
      </c>
      <c r="L539" s="4" t="s">
        <v>512</v>
      </c>
      <c r="M539" s="4" t="s">
        <v>512</v>
      </c>
      <c r="N539" s="4" t="s">
        <v>33</v>
      </c>
      <c r="O539" s="6">
        <v>45051</v>
      </c>
      <c r="P539" s="4"/>
      <c r="Q539" s="4" t="s">
        <v>405</v>
      </c>
      <c r="R539" s="4" t="s">
        <v>36</v>
      </c>
      <c r="S539" s="4" t="s">
        <v>59</v>
      </c>
      <c r="T539" s="5">
        <v>3</v>
      </c>
      <c r="U539" s="6">
        <v>45051</v>
      </c>
      <c r="V539" s="4" t="s">
        <v>1352</v>
      </c>
      <c r="W539" s="4" t="s">
        <v>747</v>
      </c>
      <c r="X539" s="4"/>
      <c r="Y539" s="4"/>
      <c r="Z539" s="4"/>
      <c r="AA539" s="4"/>
      <c r="AB539" s="4"/>
      <c r="AC539" s="4"/>
      <c r="AD539" s="4">
        <f t="shared" si="8"/>
        <v>18</v>
      </c>
    </row>
    <row r="540" spans="1:30" ht="27" thickBot="1" x14ac:dyDescent="0.3">
      <c r="A540" s="3">
        <v>45050.63003472222</v>
      </c>
      <c r="B540" s="4" t="s">
        <v>1770</v>
      </c>
      <c r="C540" s="4" t="s">
        <v>254</v>
      </c>
      <c r="D540" s="31" t="s">
        <v>42</v>
      </c>
      <c r="E540" s="4" t="s">
        <v>1059</v>
      </c>
      <c r="F540" s="5">
        <v>628569230</v>
      </c>
      <c r="G540" s="5">
        <v>628569230</v>
      </c>
      <c r="H540" s="4" t="s">
        <v>476</v>
      </c>
      <c r="I540" s="5">
        <v>3</v>
      </c>
      <c r="J540" s="4" t="s">
        <v>38</v>
      </c>
      <c r="K540" s="5">
        <v>2</v>
      </c>
      <c r="L540" s="4" t="s">
        <v>333</v>
      </c>
      <c r="M540" s="4" t="s">
        <v>333</v>
      </c>
      <c r="N540" s="4" t="s">
        <v>90</v>
      </c>
      <c r="O540" s="6">
        <v>45052</v>
      </c>
      <c r="P540" s="4"/>
      <c r="Q540" s="4" t="s">
        <v>405</v>
      </c>
      <c r="R540" s="4" t="s">
        <v>36</v>
      </c>
      <c r="S540" s="4" t="s">
        <v>59</v>
      </c>
      <c r="T540" s="5">
        <v>2</v>
      </c>
      <c r="U540" s="6">
        <v>45051</v>
      </c>
      <c r="V540" s="4" t="s">
        <v>1352</v>
      </c>
      <c r="W540" s="10" t="s">
        <v>686</v>
      </c>
      <c r="X540" s="4"/>
      <c r="Y540" s="4"/>
      <c r="Z540" s="4"/>
      <c r="AA540" s="4"/>
      <c r="AB540" s="4"/>
      <c r="AC540" s="4"/>
      <c r="AD540" s="4">
        <f t="shared" si="8"/>
        <v>18</v>
      </c>
    </row>
    <row r="541" spans="1:30" ht="39.75" thickBot="1" x14ac:dyDescent="0.3">
      <c r="A541" s="3">
        <v>45050.632175925923</v>
      </c>
      <c r="B541" s="4" t="s">
        <v>115</v>
      </c>
      <c r="C541" s="4" t="s">
        <v>116</v>
      </c>
      <c r="D541" s="31" t="s">
        <v>42</v>
      </c>
      <c r="E541" s="4" t="s">
        <v>1060</v>
      </c>
      <c r="F541" s="5">
        <v>622700302</v>
      </c>
      <c r="G541" s="4"/>
      <c r="H541" s="4" t="s">
        <v>925</v>
      </c>
      <c r="I541" s="5">
        <v>66</v>
      </c>
      <c r="J541" s="4" t="s">
        <v>38</v>
      </c>
      <c r="K541" s="5">
        <v>1</v>
      </c>
      <c r="L541" s="4" t="s">
        <v>146</v>
      </c>
      <c r="M541" s="4" t="s">
        <v>93</v>
      </c>
      <c r="N541" s="4" t="s">
        <v>47</v>
      </c>
      <c r="O541" s="6">
        <v>45244</v>
      </c>
      <c r="P541" s="4" t="s">
        <v>927</v>
      </c>
      <c r="Q541" s="4" t="s">
        <v>122</v>
      </c>
      <c r="R541" s="4" t="s">
        <v>36</v>
      </c>
      <c r="S541" s="4"/>
      <c r="T541" s="4"/>
      <c r="U541" s="4"/>
      <c r="V541" s="4" t="s">
        <v>1372</v>
      </c>
      <c r="W541" s="4"/>
      <c r="X541" s="4"/>
      <c r="Y541" s="4"/>
      <c r="Z541" s="4"/>
      <c r="AA541" s="4"/>
      <c r="AB541" s="4"/>
      <c r="AC541" s="4"/>
      <c r="AD541" s="4">
        <f t="shared" si="8"/>
        <v>18</v>
      </c>
    </row>
    <row r="542" spans="1:30" ht="39.75" thickBot="1" x14ac:dyDescent="0.3">
      <c r="A542" s="3">
        <v>45050.634699074071</v>
      </c>
      <c r="B542" s="4" t="s">
        <v>115</v>
      </c>
      <c r="C542" s="4" t="s">
        <v>116</v>
      </c>
      <c r="D542" s="31" t="s">
        <v>42</v>
      </c>
      <c r="E542" s="4" t="s">
        <v>1061</v>
      </c>
      <c r="F542" s="5">
        <v>623150361</v>
      </c>
      <c r="G542" s="4"/>
      <c r="H542" s="4" t="s">
        <v>925</v>
      </c>
      <c r="I542" s="5">
        <v>66</v>
      </c>
      <c r="J542" s="4" t="s">
        <v>38</v>
      </c>
      <c r="K542" s="5">
        <v>2</v>
      </c>
      <c r="L542" s="4" t="s">
        <v>146</v>
      </c>
      <c r="M542" s="4" t="s">
        <v>93</v>
      </c>
      <c r="N542" s="4" t="s">
        <v>47</v>
      </c>
      <c r="O542" s="6">
        <v>45245</v>
      </c>
      <c r="P542" s="4" t="s">
        <v>927</v>
      </c>
      <c r="Q542" s="4" t="s">
        <v>122</v>
      </c>
      <c r="R542" s="4" t="s">
        <v>36</v>
      </c>
      <c r="S542" s="4" t="s">
        <v>59</v>
      </c>
      <c r="T542" s="5">
        <v>2</v>
      </c>
      <c r="U542" s="6">
        <v>45069</v>
      </c>
      <c r="V542" s="4" t="s">
        <v>1624</v>
      </c>
      <c r="W542" s="4" t="s">
        <v>928</v>
      </c>
      <c r="X542" s="4"/>
      <c r="Y542" s="4"/>
      <c r="Z542" s="4"/>
      <c r="AA542" s="4"/>
      <c r="AB542" s="4"/>
      <c r="AC542" s="4"/>
      <c r="AD542" s="4">
        <f t="shared" si="8"/>
        <v>18</v>
      </c>
    </row>
    <row r="543" spans="1:30" ht="39.75" thickBot="1" x14ac:dyDescent="0.3">
      <c r="A543" s="3">
        <v>45050.637037037035</v>
      </c>
      <c r="B543" s="4" t="s">
        <v>115</v>
      </c>
      <c r="C543" s="4" t="s">
        <v>116</v>
      </c>
      <c r="D543" s="31" t="s">
        <v>42</v>
      </c>
      <c r="E543" s="4" t="s">
        <v>1062</v>
      </c>
      <c r="F543" s="5">
        <v>621867641</v>
      </c>
      <c r="G543" s="4"/>
      <c r="H543" s="4" t="s">
        <v>925</v>
      </c>
      <c r="I543" s="5">
        <v>66</v>
      </c>
      <c r="J543" s="4" t="s">
        <v>38</v>
      </c>
      <c r="K543" s="5">
        <v>2</v>
      </c>
      <c r="L543" s="4" t="s">
        <v>146</v>
      </c>
      <c r="M543" s="4" t="s">
        <v>93</v>
      </c>
      <c r="N543" s="4" t="s">
        <v>47</v>
      </c>
      <c r="O543" s="6">
        <v>45245</v>
      </c>
      <c r="P543" s="4" t="s">
        <v>927</v>
      </c>
      <c r="Q543" s="4" t="s">
        <v>122</v>
      </c>
      <c r="R543" s="4" t="s">
        <v>36</v>
      </c>
      <c r="S543" s="4"/>
      <c r="T543" s="4"/>
      <c r="U543" s="4"/>
      <c r="V543" s="4" t="s">
        <v>1372</v>
      </c>
      <c r="W543" s="4"/>
      <c r="X543" s="4"/>
      <c r="Y543" s="4"/>
      <c r="Z543" s="4"/>
      <c r="AA543" s="4"/>
      <c r="AB543" s="4"/>
      <c r="AC543" s="4"/>
      <c r="AD543" s="4">
        <f t="shared" si="8"/>
        <v>18</v>
      </c>
    </row>
    <row r="544" spans="1:30" ht="27" thickBot="1" x14ac:dyDescent="0.3">
      <c r="A544" s="3">
        <v>45050.639386574076</v>
      </c>
      <c r="B544" s="4" t="s">
        <v>115</v>
      </c>
      <c r="C544" s="4" t="s">
        <v>116</v>
      </c>
      <c r="D544" s="31" t="s">
        <v>42</v>
      </c>
      <c r="E544" s="4" t="s">
        <v>1063</v>
      </c>
      <c r="F544" s="5">
        <v>621435805</v>
      </c>
      <c r="G544" s="4"/>
      <c r="H544" s="4" t="s">
        <v>925</v>
      </c>
      <c r="I544" s="5">
        <v>67</v>
      </c>
      <c r="J544" s="4" t="s">
        <v>38</v>
      </c>
      <c r="K544" s="5">
        <v>3</v>
      </c>
      <c r="L544" s="4" t="s">
        <v>146</v>
      </c>
      <c r="M544" s="4" t="s">
        <v>93</v>
      </c>
      <c r="N544" s="4" t="s">
        <v>47</v>
      </c>
      <c r="O544" s="6">
        <v>45246</v>
      </c>
      <c r="P544" s="4" t="s">
        <v>1064</v>
      </c>
      <c r="Q544" s="4" t="s">
        <v>122</v>
      </c>
      <c r="R544" s="4" t="s">
        <v>36</v>
      </c>
      <c r="S544" s="4"/>
      <c r="T544" s="4"/>
      <c r="U544" s="4"/>
      <c r="V544" s="4" t="s">
        <v>1372</v>
      </c>
      <c r="W544" s="4"/>
      <c r="X544" s="4"/>
      <c r="Y544" s="4"/>
      <c r="Z544" s="4"/>
      <c r="AA544" s="4"/>
      <c r="AB544" s="4"/>
      <c r="AC544" s="4"/>
      <c r="AD544" s="4">
        <f t="shared" si="8"/>
        <v>18</v>
      </c>
    </row>
    <row r="545" spans="1:30" ht="39.75" thickBot="1" x14ac:dyDescent="0.3">
      <c r="A545" s="3">
        <v>45050.641909722224</v>
      </c>
      <c r="B545" s="4" t="s">
        <v>115</v>
      </c>
      <c r="C545" s="4" t="s">
        <v>116</v>
      </c>
      <c r="D545" s="31" t="s">
        <v>42</v>
      </c>
      <c r="E545" s="4" t="s">
        <v>1065</v>
      </c>
      <c r="F545" s="5">
        <v>620722451</v>
      </c>
      <c r="G545" s="4"/>
      <c r="H545" s="4" t="s">
        <v>925</v>
      </c>
      <c r="I545" s="5">
        <v>67</v>
      </c>
      <c r="J545" s="4" t="s">
        <v>38</v>
      </c>
      <c r="K545" s="5">
        <v>3</v>
      </c>
      <c r="L545" s="4" t="s">
        <v>146</v>
      </c>
      <c r="M545" s="4" t="s">
        <v>93</v>
      </c>
      <c r="N545" s="4" t="s">
        <v>47</v>
      </c>
      <c r="O545" s="6">
        <v>45246</v>
      </c>
      <c r="P545" s="4" t="s">
        <v>927</v>
      </c>
      <c r="Q545" s="4" t="s">
        <v>122</v>
      </c>
      <c r="R545" s="4" t="s">
        <v>36</v>
      </c>
      <c r="S545" s="4"/>
      <c r="T545" s="4"/>
      <c r="U545" s="4"/>
      <c r="V545" s="4" t="s">
        <v>1372</v>
      </c>
      <c r="W545" s="4"/>
      <c r="X545" s="4"/>
      <c r="Y545" s="4"/>
      <c r="Z545" s="4"/>
      <c r="AA545" s="4"/>
      <c r="AB545" s="4"/>
      <c r="AC545" s="4"/>
      <c r="AD545" s="4">
        <f t="shared" si="8"/>
        <v>18</v>
      </c>
    </row>
    <row r="546" spans="1:30" ht="39.75" thickBot="1" x14ac:dyDescent="0.3">
      <c r="A546" s="3">
        <v>45050.644456018519</v>
      </c>
      <c r="B546" s="4" t="s">
        <v>115</v>
      </c>
      <c r="C546" s="4" t="s">
        <v>116</v>
      </c>
      <c r="D546" s="31" t="s">
        <v>42</v>
      </c>
      <c r="E546" s="4" t="s">
        <v>319</v>
      </c>
      <c r="F546" s="5">
        <v>623150361</v>
      </c>
      <c r="G546" s="4"/>
      <c r="H546" s="4" t="s">
        <v>925</v>
      </c>
      <c r="I546" s="5">
        <v>66</v>
      </c>
      <c r="J546" s="4" t="s">
        <v>38</v>
      </c>
      <c r="K546" s="5">
        <v>3</v>
      </c>
      <c r="L546" s="4" t="s">
        <v>146</v>
      </c>
      <c r="M546" s="4" t="s">
        <v>93</v>
      </c>
      <c r="N546" s="4" t="s">
        <v>47</v>
      </c>
      <c r="O546" s="6">
        <v>45247</v>
      </c>
      <c r="P546" s="4" t="s">
        <v>927</v>
      </c>
      <c r="Q546" s="4" t="s">
        <v>122</v>
      </c>
      <c r="R546" s="4" t="s">
        <v>36</v>
      </c>
      <c r="S546" s="4"/>
      <c r="T546" s="4"/>
      <c r="U546" s="4"/>
      <c r="V546" s="4" t="s">
        <v>1372</v>
      </c>
      <c r="W546" s="4"/>
      <c r="X546" s="4"/>
      <c r="Y546" s="4"/>
      <c r="Z546" s="4"/>
      <c r="AA546" s="4"/>
      <c r="AB546" s="4"/>
      <c r="AC546" s="4"/>
      <c r="AD546" s="4">
        <f t="shared" si="8"/>
        <v>18</v>
      </c>
    </row>
    <row r="547" spans="1:30" ht="39.75" thickBot="1" x14ac:dyDescent="0.3">
      <c r="A547" s="3">
        <v>45050.647916666669</v>
      </c>
      <c r="B547" s="4" t="s">
        <v>115</v>
      </c>
      <c r="C547" s="4" t="s">
        <v>116</v>
      </c>
      <c r="D547" s="31" t="s">
        <v>42</v>
      </c>
      <c r="E547" s="4" t="s">
        <v>1066</v>
      </c>
      <c r="F547" s="5">
        <v>622755550</v>
      </c>
      <c r="G547" s="4"/>
      <c r="H547" s="4" t="s">
        <v>925</v>
      </c>
      <c r="I547" s="5">
        <v>66</v>
      </c>
      <c r="J547" s="4" t="s">
        <v>38</v>
      </c>
      <c r="K547" s="5">
        <v>2</v>
      </c>
      <c r="L547" s="4" t="s">
        <v>146</v>
      </c>
      <c r="M547" s="4" t="s">
        <v>93</v>
      </c>
      <c r="N547" s="4" t="s">
        <v>47</v>
      </c>
      <c r="O547" s="6">
        <v>45246</v>
      </c>
      <c r="P547" s="4" t="s">
        <v>927</v>
      </c>
      <c r="Q547" s="4" t="s">
        <v>122</v>
      </c>
      <c r="R547" s="4" t="s">
        <v>36</v>
      </c>
      <c r="S547" s="4"/>
      <c r="T547" s="4"/>
      <c r="U547" s="4"/>
      <c r="V547" s="4" t="s">
        <v>1372</v>
      </c>
      <c r="W547" s="4"/>
      <c r="X547" s="4"/>
      <c r="Y547" s="4"/>
      <c r="Z547" s="4"/>
      <c r="AA547" s="4"/>
      <c r="AB547" s="4"/>
      <c r="AC547" s="4"/>
      <c r="AD547" s="4">
        <f t="shared" si="8"/>
        <v>18</v>
      </c>
    </row>
    <row r="548" spans="1:30" ht="65.25" thickBot="1" x14ac:dyDescent="0.3">
      <c r="A548" s="3">
        <v>45050.652280092596</v>
      </c>
      <c r="B548" s="4" t="s">
        <v>25</v>
      </c>
      <c r="C548" s="4" t="s">
        <v>26</v>
      </c>
      <c r="D548" s="31" t="s">
        <v>42</v>
      </c>
      <c r="E548" s="4" t="s">
        <v>1067</v>
      </c>
      <c r="F548" s="5">
        <v>628095010</v>
      </c>
      <c r="G548" s="4"/>
      <c r="H548" s="4" t="s">
        <v>29</v>
      </c>
      <c r="I548" s="5">
        <v>12</v>
      </c>
      <c r="J548" s="4" t="s">
        <v>38</v>
      </c>
      <c r="K548" s="5">
        <v>2</v>
      </c>
      <c r="L548" s="4" t="s">
        <v>644</v>
      </c>
      <c r="M548" s="4" t="s">
        <v>32</v>
      </c>
      <c r="N548" s="4" t="s">
        <v>33</v>
      </c>
      <c r="O548" s="6">
        <v>45051</v>
      </c>
      <c r="P548" s="4" t="s">
        <v>34</v>
      </c>
      <c r="Q548" s="4" t="s">
        <v>35</v>
      </c>
      <c r="R548" s="4" t="s">
        <v>36</v>
      </c>
      <c r="S548" s="4" t="s">
        <v>59</v>
      </c>
      <c r="T548" s="5">
        <v>3</v>
      </c>
      <c r="U548" s="6">
        <v>45051</v>
      </c>
      <c r="V548" s="4" t="s">
        <v>1352</v>
      </c>
      <c r="W548" s="4" t="s">
        <v>733</v>
      </c>
      <c r="X548" s="4"/>
      <c r="Y548" s="4"/>
      <c r="Z548" s="4"/>
      <c r="AA548" s="4"/>
      <c r="AB548" s="4"/>
      <c r="AC548" s="4"/>
      <c r="AD548" s="4">
        <f t="shared" si="8"/>
        <v>18</v>
      </c>
    </row>
    <row r="549" spans="1:30" ht="39.75" thickBot="1" x14ac:dyDescent="0.3">
      <c r="A549" s="3">
        <v>45050.652557870373</v>
      </c>
      <c r="B549" s="4" t="s">
        <v>115</v>
      </c>
      <c r="C549" s="4" t="s">
        <v>116</v>
      </c>
      <c r="D549" s="31" t="s">
        <v>42</v>
      </c>
      <c r="E549" s="4" t="s">
        <v>1068</v>
      </c>
      <c r="F549" s="5">
        <v>621278650</v>
      </c>
      <c r="G549" s="4"/>
      <c r="H549" s="4" t="s">
        <v>925</v>
      </c>
      <c r="I549" s="5">
        <v>67</v>
      </c>
      <c r="J549" s="4" t="s">
        <v>38</v>
      </c>
      <c r="K549" s="5">
        <v>3</v>
      </c>
      <c r="L549" s="4" t="s">
        <v>146</v>
      </c>
      <c r="M549" s="4" t="s">
        <v>93</v>
      </c>
      <c r="N549" s="4" t="s">
        <v>47</v>
      </c>
      <c r="O549" s="6">
        <v>45247</v>
      </c>
      <c r="P549" s="4" t="s">
        <v>927</v>
      </c>
      <c r="Q549" s="4" t="s">
        <v>122</v>
      </c>
      <c r="R549" s="4" t="s">
        <v>36</v>
      </c>
      <c r="S549" s="4" t="s">
        <v>59</v>
      </c>
      <c r="T549" s="5">
        <v>2</v>
      </c>
      <c r="U549" s="6">
        <v>45063</v>
      </c>
      <c r="V549" s="4" t="s">
        <v>1373</v>
      </c>
      <c r="W549" s="4" t="s">
        <v>928</v>
      </c>
      <c r="X549" s="4"/>
      <c r="Y549" s="4"/>
      <c r="Z549" s="4"/>
      <c r="AA549" s="4"/>
      <c r="AB549" s="4"/>
      <c r="AC549" s="4"/>
      <c r="AD549" s="4">
        <f t="shared" si="8"/>
        <v>18</v>
      </c>
    </row>
    <row r="550" spans="1:30" ht="27" thickBot="1" x14ac:dyDescent="0.3">
      <c r="A550" s="3">
        <v>45050.654189814813</v>
      </c>
      <c r="B550" s="4" t="s">
        <v>1770</v>
      </c>
      <c r="C550" s="4" t="s">
        <v>254</v>
      </c>
      <c r="D550" s="31" t="s">
        <v>42</v>
      </c>
      <c r="E550" s="4" t="s">
        <v>565</v>
      </c>
      <c r="F550" s="5">
        <v>620548116</v>
      </c>
      <c r="G550" s="5">
        <v>620548116</v>
      </c>
      <c r="H550" s="4" t="s">
        <v>476</v>
      </c>
      <c r="I550" s="5">
        <v>12</v>
      </c>
      <c r="J550" s="4" t="s">
        <v>38</v>
      </c>
      <c r="K550" s="5">
        <v>3</v>
      </c>
      <c r="L550" s="4" t="s">
        <v>73</v>
      </c>
      <c r="M550" s="4" t="s">
        <v>73</v>
      </c>
      <c r="N550" s="4" t="s">
        <v>41</v>
      </c>
      <c r="O550" s="6">
        <v>45052</v>
      </c>
      <c r="P550" s="4"/>
      <c r="Q550" s="4" t="s">
        <v>405</v>
      </c>
      <c r="R550" s="4" t="s">
        <v>36</v>
      </c>
      <c r="S550" s="4" t="s">
        <v>59</v>
      </c>
      <c r="T550" s="5">
        <v>3</v>
      </c>
      <c r="U550" s="6">
        <v>45051</v>
      </c>
      <c r="V550" s="4" t="s">
        <v>1352</v>
      </c>
      <c r="W550" s="10" t="s">
        <v>686</v>
      </c>
      <c r="X550" s="4"/>
      <c r="Y550" s="4"/>
      <c r="Z550" s="4"/>
      <c r="AA550" s="4"/>
      <c r="AB550" s="4"/>
      <c r="AC550" s="4"/>
      <c r="AD550" s="4">
        <f t="shared" si="8"/>
        <v>18</v>
      </c>
    </row>
    <row r="551" spans="1:30" ht="39.75" thickBot="1" x14ac:dyDescent="0.3">
      <c r="A551" s="3">
        <v>45050.655393518522</v>
      </c>
      <c r="B551" s="4" t="s">
        <v>115</v>
      </c>
      <c r="C551" s="4" t="s">
        <v>1069</v>
      </c>
      <c r="D551" s="31" t="s">
        <v>42</v>
      </c>
      <c r="E551" s="4" t="s">
        <v>1070</v>
      </c>
      <c r="F551" s="5">
        <v>620682854</v>
      </c>
      <c r="G551" s="4"/>
      <c r="H551" s="4" t="s">
        <v>925</v>
      </c>
      <c r="I551" s="5">
        <v>65</v>
      </c>
      <c r="J551" s="4" t="s">
        <v>38</v>
      </c>
      <c r="K551" s="5">
        <v>3</v>
      </c>
      <c r="L551" s="4" t="s">
        <v>146</v>
      </c>
      <c r="M551" s="4" t="s">
        <v>93</v>
      </c>
      <c r="N551" s="4" t="s">
        <v>47</v>
      </c>
      <c r="O551" s="6">
        <v>45247</v>
      </c>
      <c r="P551" s="4" t="s">
        <v>927</v>
      </c>
      <c r="Q551" s="4" t="s">
        <v>122</v>
      </c>
      <c r="R551" s="4" t="s">
        <v>36</v>
      </c>
      <c r="S551" s="4"/>
      <c r="T551" s="4"/>
      <c r="U551" s="4"/>
      <c r="V551" s="4" t="s">
        <v>1372</v>
      </c>
      <c r="W551" s="4"/>
      <c r="X551" s="4"/>
      <c r="Y551" s="4"/>
      <c r="Z551" s="4"/>
      <c r="AA551" s="4"/>
      <c r="AB551" s="4"/>
      <c r="AC551" s="4"/>
      <c r="AD551" s="4">
        <f t="shared" si="8"/>
        <v>18</v>
      </c>
    </row>
    <row r="552" spans="1:30" ht="65.25" thickBot="1" x14ac:dyDescent="0.3">
      <c r="A552" s="3">
        <v>45050.657083333332</v>
      </c>
      <c r="B552" s="4" t="s">
        <v>25</v>
      </c>
      <c r="C552" s="4" t="s">
        <v>957</v>
      </c>
      <c r="D552" s="31" t="s">
        <v>42</v>
      </c>
      <c r="E552" s="4" t="s">
        <v>1071</v>
      </c>
      <c r="F552" s="5">
        <v>621816250</v>
      </c>
      <c r="G552" s="4"/>
      <c r="H552" s="4" t="s">
        <v>45</v>
      </c>
      <c r="I552" s="5">
        <v>60</v>
      </c>
      <c r="J552" s="4" t="s">
        <v>38</v>
      </c>
      <c r="K552" s="5">
        <v>2</v>
      </c>
      <c r="L552" s="4" t="s">
        <v>1072</v>
      </c>
      <c r="M552" s="4" t="s">
        <v>1072</v>
      </c>
      <c r="N552" s="4" t="s">
        <v>57</v>
      </c>
      <c r="O552" s="6">
        <v>45056</v>
      </c>
      <c r="P552" s="4" t="s">
        <v>34</v>
      </c>
      <c r="Q552" s="4" t="s">
        <v>35</v>
      </c>
      <c r="R552" s="4" t="s">
        <v>36</v>
      </c>
      <c r="S552" s="4" t="s">
        <v>59</v>
      </c>
      <c r="T552" s="5">
        <v>2</v>
      </c>
      <c r="U552" s="6">
        <v>45051</v>
      </c>
      <c r="V552" s="4" t="s">
        <v>1352</v>
      </c>
      <c r="W552" s="4" t="s">
        <v>737</v>
      </c>
      <c r="X552" s="4"/>
      <c r="Y552" s="4"/>
      <c r="Z552" s="4"/>
      <c r="AA552" s="4"/>
      <c r="AB552" s="4"/>
      <c r="AC552" s="4"/>
      <c r="AD552" s="4">
        <f t="shared" si="8"/>
        <v>18</v>
      </c>
    </row>
    <row r="553" spans="1:30" ht="39.75" thickBot="1" x14ac:dyDescent="0.3">
      <c r="A553" s="3">
        <v>45050.681111111109</v>
      </c>
      <c r="B553" s="4" t="s">
        <v>115</v>
      </c>
      <c r="C553" s="4" t="s">
        <v>116</v>
      </c>
      <c r="D553" s="31" t="s">
        <v>42</v>
      </c>
      <c r="E553" s="4" t="s">
        <v>1073</v>
      </c>
      <c r="F553" s="5">
        <v>628066073</v>
      </c>
      <c r="G553" s="4"/>
      <c r="H553" s="4" t="s">
        <v>925</v>
      </c>
      <c r="I553" s="5">
        <v>66</v>
      </c>
      <c r="J553" s="4" t="s">
        <v>38</v>
      </c>
      <c r="K553" s="5">
        <v>2</v>
      </c>
      <c r="L553" s="4" t="s">
        <v>146</v>
      </c>
      <c r="M553" s="4" t="s">
        <v>93</v>
      </c>
      <c r="N553" s="4" t="s">
        <v>47</v>
      </c>
      <c r="O553" s="6">
        <v>45246</v>
      </c>
      <c r="P553" s="4" t="s">
        <v>927</v>
      </c>
      <c r="Q553" s="4" t="s">
        <v>122</v>
      </c>
      <c r="R553" s="4" t="s">
        <v>36</v>
      </c>
      <c r="S553" s="4"/>
      <c r="T553" s="4"/>
      <c r="U553" s="4"/>
      <c r="V553" s="4" t="s">
        <v>1372</v>
      </c>
      <c r="W553" s="4"/>
      <c r="X553" s="4"/>
      <c r="Y553" s="4"/>
      <c r="Z553" s="4"/>
      <c r="AA553" s="4"/>
      <c r="AB553" s="4"/>
      <c r="AC553" s="4"/>
      <c r="AD553" s="4">
        <f t="shared" si="8"/>
        <v>18</v>
      </c>
    </row>
    <row r="554" spans="1:30" ht="39.75" thickBot="1" x14ac:dyDescent="0.3">
      <c r="A554" s="3">
        <v>45050.698136574072</v>
      </c>
      <c r="B554" s="4" t="s">
        <v>115</v>
      </c>
      <c r="C554" s="4" t="s">
        <v>116</v>
      </c>
      <c r="D554" s="31" t="s">
        <v>42</v>
      </c>
      <c r="E554" s="4" t="s">
        <v>198</v>
      </c>
      <c r="F554" s="5">
        <v>622044007</v>
      </c>
      <c r="G554" s="4"/>
      <c r="H554" s="4" t="s">
        <v>925</v>
      </c>
      <c r="I554" s="5">
        <v>66</v>
      </c>
      <c r="J554" s="4" t="s">
        <v>38</v>
      </c>
      <c r="K554" s="5">
        <v>2</v>
      </c>
      <c r="L554" s="4" t="s">
        <v>146</v>
      </c>
      <c r="M554" s="4" t="s">
        <v>93</v>
      </c>
      <c r="N554" s="4" t="s">
        <v>47</v>
      </c>
      <c r="O554" s="6">
        <v>45247</v>
      </c>
      <c r="P554" s="4" t="s">
        <v>927</v>
      </c>
      <c r="Q554" s="4" t="s">
        <v>122</v>
      </c>
      <c r="R554" s="4" t="s">
        <v>36</v>
      </c>
      <c r="S554" s="4"/>
      <c r="T554" s="4"/>
      <c r="U554" s="4"/>
      <c r="V554" s="4" t="s">
        <v>1372</v>
      </c>
      <c r="W554" s="4"/>
      <c r="X554" s="4"/>
      <c r="Y554" s="4"/>
      <c r="Z554" s="4"/>
      <c r="AA554" s="4"/>
      <c r="AB554" s="4"/>
      <c r="AC554" s="4"/>
      <c r="AD554" s="4">
        <f t="shared" si="8"/>
        <v>18</v>
      </c>
    </row>
    <row r="555" spans="1:30" ht="39.75" thickBot="1" x14ac:dyDescent="0.3">
      <c r="A555" s="3">
        <v>45050.703020833331</v>
      </c>
      <c r="B555" s="4" t="s">
        <v>115</v>
      </c>
      <c r="C555" s="4" t="s">
        <v>116</v>
      </c>
      <c r="D555" s="31" t="s">
        <v>42</v>
      </c>
      <c r="E555" s="4" t="s">
        <v>1074</v>
      </c>
      <c r="F555" s="5">
        <v>623844820</v>
      </c>
      <c r="G555" s="4"/>
      <c r="H555" s="4" t="s">
        <v>925</v>
      </c>
      <c r="I555" s="5">
        <v>67</v>
      </c>
      <c r="J555" s="4" t="s">
        <v>38</v>
      </c>
      <c r="K555" s="5">
        <v>2</v>
      </c>
      <c r="L555" s="4" t="s">
        <v>146</v>
      </c>
      <c r="M555" s="4" t="s">
        <v>93</v>
      </c>
      <c r="N555" s="4" t="s">
        <v>47</v>
      </c>
      <c r="O555" s="6">
        <v>45247</v>
      </c>
      <c r="P555" s="4" t="s">
        <v>927</v>
      </c>
      <c r="Q555" s="4" t="s">
        <v>122</v>
      </c>
      <c r="R555" s="4" t="s">
        <v>36</v>
      </c>
      <c r="S555" s="4"/>
      <c r="T555" s="4"/>
      <c r="U555" s="4"/>
      <c r="V555" s="4" t="s">
        <v>1372</v>
      </c>
      <c r="W555" s="4"/>
      <c r="X555" s="4"/>
      <c r="Y555" s="4"/>
      <c r="Z555" s="4"/>
      <c r="AA555" s="4"/>
      <c r="AB555" s="4"/>
      <c r="AC555" s="4"/>
      <c r="AD555" s="4">
        <f t="shared" si="8"/>
        <v>18</v>
      </c>
    </row>
    <row r="556" spans="1:30" ht="39.75" thickBot="1" x14ac:dyDescent="0.3">
      <c r="A556" s="3">
        <v>45050.705671296295</v>
      </c>
      <c r="B556" s="4" t="s">
        <v>115</v>
      </c>
      <c r="C556" s="4" t="s">
        <v>116</v>
      </c>
      <c r="D556" s="31" t="s">
        <v>42</v>
      </c>
      <c r="E556" s="4" t="s">
        <v>1075</v>
      </c>
      <c r="F556" s="5">
        <v>625833152</v>
      </c>
      <c r="G556" s="4"/>
      <c r="H556" s="4" t="s">
        <v>925</v>
      </c>
      <c r="I556" s="5">
        <v>66</v>
      </c>
      <c r="J556" s="4" t="s">
        <v>38</v>
      </c>
      <c r="K556" s="5">
        <v>1</v>
      </c>
      <c r="L556" s="4" t="s">
        <v>146</v>
      </c>
      <c r="M556" s="4" t="s">
        <v>93</v>
      </c>
      <c r="N556" s="4" t="s">
        <v>47</v>
      </c>
      <c r="O556" s="6">
        <v>45247</v>
      </c>
      <c r="P556" s="4" t="s">
        <v>927</v>
      </c>
      <c r="Q556" s="4" t="s">
        <v>122</v>
      </c>
      <c r="R556" s="4" t="s">
        <v>36</v>
      </c>
      <c r="S556" s="4"/>
      <c r="T556" s="4"/>
      <c r="U556" s="4"/>
      <c r="V556" s="4" t="s">
        <v>1372</v>
      </c>
      <c r="W556" s="4"/>
      <c r="X556" s="4"/>
      <c r="Y556" s="4"/>
      <c r="Z556" s="4"/>
      <c r="AA556" s="4"/>
      <c r="AB556" s="4"/>
      <c r="AC556" s="4"/>
      <c r="AD556" s="4">
        <f t="shared" si="8"/>
        <v>18</v>
      </c>
    </row>
    <row r="557" spans="1:30" ht="39.75" thickBot="1" x14ac:dyDescent="0.3">
      <c r="A557" s="3">
        <v>45050.711342592593</v>
      </c>
      <c r="B557" s="4" t="s">
        <v>115</v>
      </c>
      <c r="C557" s="4" t="s">
        <v>116</v>
      </c>
      <c r="D557" s="31" t="s">
        <v>42</v>
      </c>
      <c r="E557" s="4" t="s">
        <v>1076</v>
      </c>
      <c r="F557" s="5">
        <v>626365685</v>
      </c>
      <c r="G557" s="4"/>
      <c r="H557" s="4" t="s">
        <v>925</v>
      </c>
      <c r="I557" s="5">
        <v>72</v>
      </c>
      <c r="J557" s="4" t="s">
        <v>38</v>
      </c>
      <c r="K557" s="5">
        <v>25</v>
      </c>
      <c r="L557" s="4" t="s">
        <v>1077</v>
      </c>
      <c r="M557" s="4" t="s">
        <v>1078</v>
      </c>
      <c r="N557" s="4" t="s">
        <v>33</v>
      </c>
      <c r="O557" s="6">
        <v>45248</v>
      </c>
      <c r="P557" s="4" t="s">
        <v>927</v>
      </c>
      <c r="Q557" s="4" t="s">
        <v>122</v>
      </c>
      <c r="R557" s="4" t="s">
        <v>36</v>
      </c>
      <c r="S557" s="4"/>
      <c r="T557" s="4"/>
      <c r="U557" s="4"/>
      <c r="V557" s="4" t="s">
        <v>1372</v>
      </c>
      <c r="W557" s="4"/>
      <c r="X557" s="4"/>
      <c r="Y557" s="4"/>
      <c r="Z557" s="4"/>
      <c r="AA557" s="4"/>
      <c r="AB557" s="4"/>
      <c r="AC557" s="4"/>
      <c r="AD557" s="4">
        <f t="shared" si="8"/>
        <v>18</v>
      </c>
    </row>
    <row r="558" spans="1:30" ht="39.75" thickBot="1" x14ac:dyDescent="0.3">
      <c r="A558" s="3">
        <v>45050.71434027778</v>
      </c>
      <c r="B558" s="4" t="s">
        <v>115</v>
      </c>
      <c r="C558" s="4" t="s">
        <v>116</v>
      </c>
      <c r="D558" s="31" t="s">
        <v>42</v>
      </c>
      <c r="E558" s="4" t="s">
        <v>1079</v>
      </c>
      <c r="F558" s="5">
        <v>627741637</v>
      </c>
      <c r="G558" s="4"/>
      <c r="H558" s="4" t="s">
        <v>925</v>
      </c>
      <c r="I558" s="5">
        <v>80</v>
      </c>
      <c r="J558" s="4" t="s">
        <v>38</v>
      </c>
      <c r="K558" s="5">
        <v>1</v>
      </c>
      <c r="L558" s="4" t="s">
        <v>119</v>
      </c>
      <c r="M558" s="4" t="s">
        <v>1044</v>
      </c>
      <c r="N558" s="4" t="s">
        <v>47</v>
      </c>
      <c r="O558" s="6">
        <v>45247</v>
      </c>
      <c r="P558" s="4" t="s">
        <v>927</v>
      </c>
      <c r="Q558" s="4" t="s">
        <v>122</v>
      </c>
      <c r="R558" s="4" t="s">
        <v>36</v>
      </c>
      <c r="S558" s="4"/>
      <c r="T558" s="4"/>
      <c r="U558" s="4"/>
      <c r="V558" s="4" t="s">
        <v>1372</v>
      </c>
      <c r="W558" s="4"/>
      <c r="X558" s="4"/>
      <c r="Y558" s="4"/>
      <c r="Z558" s="4"/>
      <c r="AA558" s="4"/>
      <c r="AB558" s="4"/>
      <c r="AC558" s="4"/>
      <c r="AD558" s="4">
        <f t="shared" si="8"/>
        <v>18</v>
      </c>
    </row>
    <row r="559" spans="1:30" ht="39.75" thickBot="1" x14ac:dyDescent="0.3">
      <c r="A559" s="3">
        <v>45050.71702546296</v>
      </c>
      <c r="B559" s="4" t="s">
        <v>115</v>
      </c>
      <c r="C559" s="4" t="s">
        <v>116</v>
      </c>
      <c r="D559" s="31" t="s">
        <v>42</v>
      </c>
      <c r="E559" s="4" t="s">
        <v>1080</v>
      </c>
      <c r="F559" s="5">
        <v>627741637</v>
      </c>
      <c r="G559" s="4"/>
      <c r="H559" s="4" t="s">
        <v>925</v>
      </c>
      <c r="I559" s="5">
        <v>80</v>
      </c>
      <c r="J559" s="4" t="s">
        <v>38</v>
      </c>
      <c r="K559" s="5">
        <v>4</v>
      </c>
      <c r="L559" s="4" t="s">
        <v>119</v>
      </c>
      <c r="M559" s="4" t="s">
        <v>1044</v>
      </c>
      <c r="N559" s="4" t="s">
        <v>47</v>
      </c>
      <c r="O559" s="6">
        <v>45064</v>
      </c>
      <c r="P559" s="4" t="s">
        <v>927</v>
      </c>
      <c r="Q559" s="4" t="s">
        <v>122</v>
      </c>
      <c r="R559" s="4" t="s">
        <v>36</v>
      </c>
      <c r="S559" s="4"/>
      <c r="T559" s="4"/>
      <c r="U559" s="4"/>
      <c r="V559" s="4" t="s">
        <v>1372</v>
      </c>
      <c r="W559" s="4"/>
      <c r="X559" s="4"/>
      <c r="Y559" s="4"/>
      <c r="Z559" s="4"/>
      <c r="AA559" s="4"/>
      <c r="AB559" s="4"/>
      <c r="AC559" s="4"/>
      <c r="AD559" s="4">
        <f t="shared" si="8"/>
        <v>18</v>
      </c>
    </row>
    <row r="560" spans="1:30" ht="39.75" thickBot="1" x14ac:dyDescent="0.3">
      <c r="A560" s="3">
        <v>45050.719548611109</v>
      </c>
      <c r="B560" s="4" t="s">
        <v>115</v>
      </c>
      <c r="C560" s="4" t="s">
        <v>116</v>
      </c>
      <c r="D560" s="31" t="s">
        <v>42</v>
      </c>
      <c r="E560" s="4" t="s">
        <v>1081</v>
      </c>
      <c r="F560" s="5">
        <v>621342558</v>
      </c>
      <c r="G560" s="4"/>
      <c r="H560" s="4" t="s">
        <v>925</v>
      </c>
      <c r="I560" s="5">
        <v>81</v>
      </c>
      <c r="J560" s="4" t="s">
        <v>38</v>
      </c>
      <c r="K560" s="5">
        <v>3</v>
      </c>
      <c r="L560" s="4" t="s">
        <v>119</v>
      </c>
      <c r="M560" s="4" t="s">
        <v>1044</v>
      </c>
      <c r="N560" s="4" t="s">
        <v>47</v>
      </c>
      <c r="O560" s="6">
        <v>45249</v>
      </c>
      <c r="P560" s="4" t="s">
        <v>927</v>
      </c>
      <c r="Q560" s="4" t="s">
        <v>122</v>
      </c>
      <c r="R560" s="4" t="s">
        <v>36</v>
      </c>
      <c r="S560" s="4"/>
      <c r="T560" s="4"/>
      <c r="U560" s="4"/>
      <c r="V560" s="4" t="s">
        <v>1372</v>
      </c>
      <c r="W560" s="4"/>
      <c r="X560" s="4"/>
      <c r="Y560" s="4"/>
      <c r="Z560" s="4"/>
      <c r="AA560" s="4"/>
      <c r="AB560" s="4"/>
      <c r="AC560" s="4"/>
      <c r="AD560" s="4">
        <f t="shared" si="8"/>
        <v>18</v>
      </c>
    </row>
    <row r="561" spans="1:30" ht="39.75" thickBot="1" x14ac:dyDescent="0.3">
      <c r="A561" s="3">
        <v>45050.722326388888</v>
      </c>
      <c r="B561" s="4" t="s">
        <v>115</v>
      </c>
      <c r="C561" s="4" t="s">
        <v>116</v>
      </c>
      <c r="D561" s="31" t="s">
        <v>42</v>
      </c>
      <c r="E561" s="4" t="s">
        <v>1082</v>
      </c>
      <c r="F561" s="5">
        <v>621342558</v>
      </c>
      <c r="G561" s="4"/>
      <c r="H561" s="4" t="s">
        <v>925</v>
      </c>
      <c r="I561" s="5">
        <v>80</v>
      </c>
      <c r="J561" s="4" t="s">
        <v>38</v>
      </c>
      <c r="K561" s="5">
        <v>3</v>
      </c>
      <c r="L561" s="4" t="s">
        <v>119</v>
      </c>
      <c r="M561" s="4" t="s">
        <v>1083</v>
      </c>
      <c r="N561" s="4" t="s">
        <v>47</v>
      </c>
      <c r="O561" s="6">
        <v>45250</v>
      </c>
      <c r="P561" s="4" t="s">
        <v>927</v>
      </c>
      <c r="Q561" s="4" t="s">
        <v>122</v>
      </c>
      <c r="R561" s="4" t="s">
        <v>36</v>
      </c>
      <c r="S561" s="4"/>
      <c r="T561" s="4"/>
      <c r="U561" s="4"/>
      <c r="V561" s="4" t="s">
        <v>1372</v>
      </c>
      <c r="W561" s="4"/>
      <c r="X561" s="4"/>
      <c r="Y561" s="4"/>
      <c r="Z561" s="4"/>
      <c r="AA561" s="4"/>
      <c r="AB561" s="4"/>
      <c r="AC561" s="4"/>
      <c r="AD561" s="4">
        <f t="shared" si="8"/>
        <v>18</v>
      </c>
    </row>
    <row r="562" spans="1:30" ht="27" thickBot="1" x14ac:dyDescent="0.3">
      <c r="A562" s="3">
        <v>45050.723680555559</v>
      </c>
      <c r="B562" s="4" t="s">
        <v>1771</v>
      </c>
      <c r="C562" s="4" t="s">
        <v>496</v>
      </c>
      <c r="D562" s="31" t="s">
        <v>42</v>
      </c>
      <c r="E562" s="4" t="s">
        <v>1084</v>
      </c>
      <c r="F562" s="5">
        <v>629620624</v>
      </c>
      <c r="G562" s="5">
        <v>629620624</v>
      </c>
      <c r="H562" s="4" t="s">
        <v>525</v>
      </c>
      <c r="I562" s="5">
        <v>4</v>
      </c>
      <c r="J562" s="4" t="s">
        <v>38</v>
      </c>
      <c r="K562" s="5">
        <v>1</v>
      </c>
      <c r="L562" s="4" t="s">
        <v>982</v>
      </c>
      <c r="M562" s="4" t="s">
        <v>546</v>
      </c>
      <c r="N562" s="4" t="s">
        <v>90</v>
      </c>
      <c r="O562" s="6">
        <v>45050</v>
      </c>
      <c r="P562" s="4" t="s">
        <v>523</v>
      </c>
      <c r="Q562" s="4" t="s">
        <v>500</v>
      </c>
      <c r="R562" s="4" t="s">
        <v>36</v>
      </c>
      <c r="S562" s="4" t="s">
        <v>59</v>
      </c>
      <c r="T562" s="5">
        <v>1</v>
      </c>
      <c r="U562" s="6">
        <v>45054</v>
      </c>
      <c r="V562" s="4" t="s">
        <v>1353</v>
      </c>
      <c r="W562" s="4" t="s">
        <v>918</v>
      </c>
      <c r="X562" s="4"/>
      <c r="Y562" s="4"/>
      <c r="Z562" s="4"/>
      <c r="AA562" s="4"/>
      <c r="AB562" s="4"/>
      <c r="AC562" s="4"/>
      <c r="AD562" s="4">
        <f t="shared" si="8"/>
        <v>18</v>
      </c>
    </row>
    <row r="563" spans="1:30" ht="39.75" thickBot="1" x14ac:dyDescent="0.3">
      <c r="A563" s="3">
        <v>45050.724768518521</v>
      </c>
      <c r="B563" s="4" t="s">
        <v>115</v>
      </c>
      <c r="C563" s="4" t="s">
        <v>116</v>
      </c>
      <c r="D563" s="31" t="s">
        <v>42</v>
      </c>
      <c r="E563" s="4" t="s">
        <v>1085</v>
      </c>
      <c r="F563" s="5">
        <v>627741637</v>
      </c>
      <c r="G563" s="4"/>
      <c r="H563" s="4" t="s">
        <v>925</v>
      </c>
      <c r="I563" s="5">
        <v>80</v>
      </c>
      <c r="J563" s="4" t="s">
        <v>38</v>
      </c>
      <c r="K563" s="5">
        <v>3</v>
      </c>
      <c r="L563" s="4" t="s">
        <v>119</v>
      </c>
      <c r="M563" s="4" t="s">
        <v>1044</v>
      </c>
      <c r="N563" s="4" t="s">
        <v>47</v>
      </c>
      <c r="O563" s="6">
        <v>45067</v>
      </c>
      <c r="P563" s="4" t="s">
        <v>927</v>
      </c>
      <c r="Q563" s="4" t="s">
        <v>122</v>
      </c>
      <c r="R563" s="4" t="s">
        <v>36</v>
      </c>
      <c r="S563" s="4"/>
      <c r="T563" s="4"/>
      <c r="U563" s="4"/>
      <c r="V563" s="4" t="s">
        <v>1372</v>
      </c>
      <c r="W563" s="4"/>
      <c r="X563" s="4"/>
      <c r="Y563" s="4"/>
      <c r="Z563" s="4"/>
      <c r="AA563" s="4"/>
      <c r="AB563" s="4"/>
      <c r="AC563" s="4"/>
      <c r="AD563" s="4">
        <f t="shared" si="8"/>
        <v>18</v>
      </c>
    </row>
    <row r="564" spans="1:30" ht="27" thickBot="1" x14ac:dyDescent="0.3">
      <c r="A564" s="3">
        <v>45050.73238425926</v>
      </c>
      <c r="B564" s="4" t="s">
        <v>1086</v>
      </c>
      <c r="C564" s="4" t="s">
        <v>1087</v>
      </c>
      <c r="D564" s="31" t="s">
        <v>42</v>
      </c>
      <c r="E564" s="8" t="s">
        <v>1088</v>
      </c>
      <c r="F564" s="5">
        <v>621734464</v>
      </c>
      <c r="G564" s="4"/>
      <c r="H564" s="4" t="s">
        <v>1089</v>
      </c>
      <c r="I564" s="5">
        <v>14</v>
      </c>
      <c r="J564" s="4" t="s">
        <v>38</v>
      </c>
      <c r="K564" s="5">
        <v>2</v>
      </c>
      <c r="L564" s="4" t="s">
        <v>484</v>
      </c>
      <c r="M564" s="4" t="s">
        <v>395</v>
      </c>
      <c r="N564" s="4" t="s">
        <v>33</v>
      </c>
      <c r="O564" s="6">
        <v>45060</v>
      </c>
      <c r="P564" s="4"/>
      <c r="Q564" s="4" t="s">
        <v>1090</v>
      </c>
      <c r="R564" s="4" t="s">
        <v>36</v>
      </c>
      <c r="S564" s="4" t="s">
        <v>59</v>
      </c>
      <c r="T564" s="5">
        <v>2</v>
      </c>
      <c r="U564" s="6">
        <v>45055</v>
      </c>
      <c r="V564" s="4" t="s">
        <v>1353</v>
      </c>
      <c r="W564" s="4" t="s">
        <v>1623</v>
      </c>
      <c r="X564" s="4"/>
      <c r="Y564" s="4"/>
      <c r="Z564" s="4"/>
      <c r="AA564" s="4"/>
      <c r="AB564" s="4"/>
      <c r="AC564" s="4"/>
      <c r="AD564" s="4">
        <f t="shared" si="8"/>
        <v>18</v>
      </c>
    </row>
    <row r="565" spans="1:30" ht="39.75" thickBot="1" x14ac:dyDescent="0.3">
      <c r="A565" s="3">
        <v>45050.751203703701</v>
      </c>
      <c r="B565" s="4" t="s">
        <v>1768</v>
      </c>
      <c r="C565" s="4" t="s">
        <v>158</v>
      </c>
      <c r="D565" s="31" t="s">
        <v>42</v>
      </c>
      <c r="E565" s="4" t="s">
        <v>1091</v>
      </c>
      <c r="F565" s="5">
        <v>622728446</v>
      </c>
      <c r="G565" s="5">
        <v>0</v>
      </c>
      <c r="H565" s="4" t="s">
        <v>160</v>
      </c>
      <c r="I565" s="5">
        <v>30</v>
      </c>
      <c r="J565" s="4" t="s">
        <v>101</v>
      </c>
      <c r="K565" s="5">
        <v>7</v>
      </c>
      <c r="L565" s="4" t="s">
        <v>161</v>
      </c>
      <c r="M565" s="4" t="s">
        <v>161</v>
      </c>
      <c r="N565" s="4" t="s">
        <v>47</v>
      </c>
      <c r="O565" s="6">
        <v>45066</v>
      </c>
      <c r="P565" s="4" t="s">
        <v>1092</v>
      </c>
      <c r="Q565" s="4" t="s">
        <v>130</v>
      </c>
      <c r="R565" s="4" t="s">
        <v>36</v>
      </c>
      <c r="S565" s="4"/>
      <c r="T565" s="4"/>
      <c r="U565" s="4"/>
      <c r="V565" s="4" t="s">
        <v>1372</v>
      </c>
      <c r="W565" s="4"/>
      <c r="X565" s="4"/>
      <c r="Y565" s="4"/>
      <c r="Z565" s="4"/>
      <c r="AA565" s="4"/>
      <c r="AB565" s="4"/>
      <c r="AC565" s="4"/>
      <c r="AD565" s="4">
        <f t="shared" si="8"/>
        <v>18</v>
      </c>
    </row>
    <row r="566" spans="1:30" ht="78" thickBot="1" x14ac:dyDescent="0.3">
      <c r="A566" s="3">
        <v>45050.756655092591</v>
      </c>
      <c r="B566" s="4" t="s">
        <v>1768</v>
      </c>
      <c r="C566" s="4" t="s">
        <v>158</v>
      </c>
      <c r="D566" s="31" t="s">
        <v>42</v>
      </c>
      <c r="E566" s="4" t="s">
        <v>1093</v>
      </c>
      <c r="F566" s="5">
        <v>620758936</v>
      </c>
      <c r="G566" s="5">
        <v>0</v>
      </c>
      <c r="H566" s="4" t="s">
        <v>584</v>
      </c>
      <c r="I566" s="5">
        <v>55</v>
      </c>
      <c r="J566" s="4" t="s">
        <v>101</v>
      </c>
      <c r="K566" s="5">
        <v>27</v>
      </c>
      <c r="L566" s="4" t="s">
        <v>161</v>
      </c>
      <c r="M566" s="4" t="s">
        <v>161</v>
      </c>
      <c r="N566" s="4" t="s">
        <v>47</v>
      </c>
      <c r="O566" s="6">
        <v>45071</v>
      </c>
      <c r="P566" s="4" t="s">
        <v>1094</v>
      </c>
      <c r="Q566" s="4" t="s">
        <v>130</v>
      </c>
      <c r="R566" s="4" t="s">
        <v>36</v>
      </c>
      <c r="S566" s="4"/>
      <c r="T566" s="4"/>
      <c r="U566" s="4"/>
      <c r="V566" s="4" t="s">
        <v>1372</v>
      </c>
      <c r="W566" s="4"/>
      <c r="X566" s="4"/>
      <c r="Y566" s="4"/>
      <c r="Z566" s="4"/>
      <c r="AA566" s="4"/>
      <c r="AB566" s="4"/>
      <c r="AC566" s="4"/>
      <c r="AD566" s="4">
        <f t="shared" si="8"/>
        <v>18</v>
      </c>
    </row>
    <row r="567" spans="1:30" ht="52.5" thickBot="1" x14ac:dyDescent="0.3">
      <c r="A567" s="3">
        <v>45050.760740740741</v>
      </c>
      <c r="B567" s="4" t="s">
        <v>1768</v>
      </c>
      <c r="C567" s="4" t="s">
        <v>158</v>
      </c>
      <c r="D567" s="31" t="s">
        <v>27</v>
      </c>
      <c r="E567" s="4" t="s">
        <v>1095</v>
      </c>
      <c r="F567" s="5">
        <v>628288427</v>
      </c>
      <c r="G567" s="5">
        <v>0</v>
      </c>
      <c r="H567" s="4" t="s">
        <v>160</v>
      </c>
      <c r="I567" s="5">
        <v>20</v>
      </c>
      <c r="J567" s="4" t="s">
        <v>101</v>
      </c>
      <c r="K567" s="5">
        <v>100</v>
      </c>
      <c r="L567" s="4" t="s">
        <v>161</v>
      </c>
      <c r="M567" s="4" t="s">
        <v>161</v>
      </c>
      <c r="N567" s="4" t="s">
        <v>33</v>
      </c>
      <c r="O567" s="6">
        <v>45073</v>
      </c>
      <c r="P567" s="4" t="s">
        <v>1096</v>
      </c>
      <c r="Q567" s="4" t="s">
        <v>130</v>
      </c>
      <c r="R567" s="4" t="s">
        <v>36</v>
      </c>
      <c r="S567" s="4"/>
      <c r="T567" s="4"/>
      <c r="U567" s="4"/>
      <c r="V567" s="4" t="s">
        <v>1372</v>
      </c>
      <c r="W567" s="4"/>
      <c r="X567" s="4"/>
      <c r="Y567" s="4"/>
      <c r="Z567" s="4"/>
      <c r="AA567" s="4"/>
      <c r="AB567" s="4"/>
      <c r="AC567" s="4"/>
      <c r="AD567" s="4">
        <f t="shared" si="8"/>
        <v>18</v>
      </c>
    </row>
    <row r="568" spans="1:30" ht="39.75" thickBot="1" x14ac:dyDescent="0.3">
      <c r="A568" s="3">
        <v>45050.771111111113</v>
      </c>
      <c r="B568" s="4" t="s">
        <v>595</v>
      </c>
      <c r="C568" s="4" t="s">
        <v>572</v>
      </c>
      <c r="D568" s="31" t="s">
        <v>42</v>
      </c>
      <c r="E568" s="4" t="s">
        <v>1097</v>
      </c>
      <c r="F568" s="5">
        <v>620463277</v>
      </c>
      <c r="G568" s="4"/>
      <c r="H568" s="4" t="s">
        <v>525</v>
      </c>
      <c r="I568" s="5">
        <v>15</v>
      </c>
      <c r="J568" s="4" t="s">
        <v>38</v>
      </c>
      <c r="K568" s="5">
        <v>6</v>
      </c>
      <c r="L568" s="4" t="s">
        <v>1098</v>
      </c>
      <c r="M568" s="4" t="s">
        <v>599</v>
      </c>
      <c r="N568" s="4" t="s">
        <v>47</v>
      </c>
      <c r="O568" s="6">
        <v>45066</v>
      </c>
      <c r="P568" s="4" t="s">
        <v>1041</v>
      </c>
      <c r="Q568" s="4" t="s">
        <v>600</v>
      </c>
      <c r="R568" s="4" t="s">
        <v>36</v>
      </c>
      <c r="S568" s="4"/>
      <c r="T568" s="4"/>
      <c r="U568" s="4"/>
      <c r="V568" s="4" t="s">
        <v>1372</v>
      </c>
      <c r="W568" s="4"/>
      <c r="X568" s="4"/>
      <c r="Y568" s="4"/>
      <c r="Z568" s="4"/>
      <c r="AA568" s="4"/>
      <c r="AB568" s="4"/>
      <c r="AC568" s="4"/>
      <c r="AD568" s="4">
        <f t="shared" si="8"/>
        <v>18</v>
      </c>
    </row>
    <row r="569" spans="1:30" ht="39.75" thickBot="1" x14ac:dyDescent="0.3">
      <c r="A569" s="3">
        <v>45050.774583333332</v>
      </c>
      <c r="B569" s="4" t="s">
        <v>595</v>
      </c>
      <c r="C569" s="4" t="s">
        <v>572</v>
      </c>
      <c r="D569" s="31" t="s">
        <v>42</v>
      </c>
      <c r="E569" s="4" t="s">
        <v>1099</v>
      </c>
      <c r="F569" s="5">
        <v>623465553</v>
      </c>
      <c r="G569" s="4"/>
      <c r="H569" s="4" t="s">
        <v>603</v>
      </c>
      <c r="I569" s="5">
        <v>160</v>
      </c>
      <c r="J569" s="4" t="s">
        <v>38</v>
      </c>
      <c r="K569" s="5">
        <v>2</v>
      </c>
      <c r="L569" s="4" t="s">
        <v>598</v>
      </c>
      <c r="M569" s="4" t="s">
        <v>599</v>
      </c>
      <c r="N569" s="4" t="s">
        <v>90</v>
      </c>
      <c r="O569" s="6">
        <v>45058</v>
      </c>
      <c r="P569" s="4" t="s">
        <v>1041</v>
      </c>
      <c r="Q569" s="4" t="s">
        <v>600</v>
      </c>
      <c r="R569" s="4" t="s">
        <v>36</v>
      </c>
      <c r="S569" s="4"/>
      <c r="T569" s="4"/>
      <c r="U569" s="4"/>
      <c r="V569" s="4" t="s">
        <v>1372</v>
      </c>
      <c r="W569" s="4"/>
      <c r="X569" s="4"/>
      <c r="Y569" s="4"/>
      <c r="Z569" s="4"/>
      <c r="AA569" s="4"/>
      <c r="AB569" s="4"/>
      <c r="AC569" s="4"/>
      <c r="AD569" s="4">
        <f t="shared" si="8"/>
        <v>18</v>
      </c>
    </row>
    <row r="570" spans="1:30" ht="39.75" thickBot="1" x14ac:dyDescent="0.3">
      <c r="A570" s="3">
        <v>45050.778310185182</v>
      </c>
      <c r="B570" s="4" t="s">
        <v>595</v>
      </c>
      <c r="C570" s="4" t="s">
        <v>572</v>
      </c>
      <c r="D570" s="31" t="s">
        <v>42</v>
      </c>
      <c r="E570" s="4" t="s">
        <v>1100</v>
      </c>
      <c r="F570" s="5">
        <v>627820424</v>
      </c>
      <c r="G570" s="4"/>
      <c r="H570" s="4" t="s">
        <v>603</v>
      </c>
      <c r="I570" s="5">
        <v>160</v>
      </c>
      <c r="J570" s="4" t="s">
        <v>38</v>
      </c>
      <c r="K570" s="5">
        <v>11</v>
      </c>
      <c r="L570" s="4" t="s">
        <v>598</v>
      </c>
      <c r="M570" s="4" t="s">
        <v>599</v>
      </c>
      <c r="N570" s="4" t="s">
        <v>90</v>
      </c>
      <c r="O570" s="6">
        <v>45059</v>
      </c>
      <c r="P570" s="4" t="s">
        <v>1041</v>
      </c>
      <c r="Q570" s="4" t="s">
        <v>600</v>
      </c>
      <c r="R570" s="4" t="s">
        <v>36</v>
      </c>
      <c r="S570" s="4"/>
      <c r="T570" s="4"/>
      <c r="U570" s="4"/>
      <c r="V570" s="4" t="s">
        <v>1372</v>
      </c>
      <c r="W570" s="4"/>
      <c r="X570" s="4"/>
      <c r="Y570" s="4"/>
      <c r="Z570" s="4"/>
      <c r="AA570" s="4"/>
      <c r="AB570" s="4"/>
      <c r="AC570" s="4"/>
      <c r="AD570" s="4">
        <f t="shared" si="8"/>
        <v>18</v>
      </c>
    </row>
    <row r="571" spans="1:30" ht="39.75" thickBot="1" x14ac:dyDescent="0.3">
      <c r="A571" s="3">
        <v>45050.78125</v>
      </c>
      <c r="B571" s="4" t="s">
        <v>595</v>
      </c>
      <c r="C571" s="4" t="s">
        <v>572</v>
      </c>
      <c r="D571" s="31" t="s">
        <v>42</v>
      </c>
      <c r="E571" s="4" t="s">
        <v>1101</v>
      </c>
      <c r="F571" s="5">
        <v>621916367</v>
      </c>
      <c r="G571" s="4"/>
      <c r="H571" s="4" t="s">
        <v>603</v>
      </c>
      <c r="I571" s="5">
        <v>160</v>
      </c>
      <c r="J571" s="4" t="s">
        <v>38</v>
      </c>
      <c r="K571" s="5">
        <v>6</v>
      </c>
      <c r="L571" s="4" t="s">
        <v>1102</v>
      </c>
      <c r="M571" s="4" t="s">
        <v>1103</v>
      </c>
      <c r="N571" s="4" t="s">
        <v>47</v>
      </c>
      <c r="O571" s="6">
        <v>45082</v>
      </c>
      <c r="P571" s="4" t="s">
        <v>1041</v>
      </c>
      <c r="Q571" s="4" t="s">
        <v>600</v>
      </c>
      <c r="R571" s="4" t="s">
        <v>36</v>
      </c>
      <c r="S571" s="4"/>
      <c r="T571" s="4"/>
      <c r="U571" s="4"/>
      <c r="V571" s="4" t="s">
        <v>1372</v>
      </c>
      <c r="W571" s="4"/>
      <c r="X571" s="4"/>
      <c r="Y571" s="4"/>
      <c r="Z571" s="4"/>
      <c r="AA571" s="4"/>
      <c r="AB571" s="4"/>
      <c r="AC571" s="4"/>
      <c r="AD571" s="4">
        <f t="shared" si="8"/>
        <v>18</v>
      </c>
    </row>
    <row r="572" spans="1:30" ht="39.75" thickBot="1" x14ac:dyDescent="0.3">
      <c r="A572" s="3">
        <v>45050.783912037034</v>
      </c>
      <c r="B572" s="4" t="s">
        <v>595</v>
      </c>
      <c r="C572" s="4" t="s">
        <v>572</v>
      </c>
      <c r="D572" s="31" t="s">
        <v>42</v>
      </c>
      <c r="E572" s="4" t="s">
        <v>1104</v>
      </c>
      <c r="F572" s="5">
        <v>626996031</v>
      </c>
      <c r="G572" s="4"/>
      <c r="H572" s="4" t="s">
        <v>525</v>
      </c>
      <c r="I572" s="5">
        <v>15</v>
      </c>
      <c r="J572" s="4" t="s">
        <v>38</v>
      </c>
      <c r="K572" s="5">
        <v>13</v>
      </c>
      <c r="L572" s="4" t="s">
        <v>1105</v>
      </c>
      <c r="M572" s="4" t="s">
        <v>599</v>
      </c>
      <c r="N572" s="4" t="s">
        <v>47</v>
      </c>
      <c r="O572" s="6">
        <v>45061</v>
      </c>
      <c r="P572" s="4" t="s">
        <v>1041</v>
      </c>
      <c r="Q572" s="4" t="s">
        <v>600</v>
      </c>
      <c r="R572" s="4" t="s">
        <v>36</v>
      </c>
      <c r="S572" s="4"/>
      <c r="T572" s="4"/>
      <c r="U572" s="4"/>
      <c r="V572" s="4" t="s">
        <v>1372</v>
      </c>
      <c r="W572" s="4"/>
      <c r="X572" s="4"/>
      <c r="Y572" s="4"/>
      <c r="Z572" s="4"/>
      <c r="AA572" s="4"/>
      <c r="AB572" s="4"/>
      <c r="AC572" s="4"/>
      <c r="AD572" s="4">
        <f t="shared" si="8"/>
        <v>18</v>
      </c>
    </row>
    <row r="573" spans="1:30" ht="39.75" thickBot="1" x14ac:dyDescent="0.3">
      <c r="A573" s="3">
        <v>45050.786527777775</v>
      </c>
      <c r="B573" s="4" t="s">
        <v>595</v>
      </c>
      <c r="C573" s="4" t="s">
        <v>572</v>
      </c>
      <c r="D573" s="31" t="s">
        <v>42</v>
      </c>
      <c r="E573" s="4" t="s">
        <v>1106</v>
      </c>
      <c r="F573" s="5">
        <v>620750752</v>
      </c>
      <c r="G573" s="4"/>
      <c r="H573" s="4" t="s">
        <v>603</v>
      </c>
      <c r="I573" s="5">
        <v>160</v>
      </c>
      <c r="J573" s="4" t="s">
        <v>38</v>
      </c>
      <c r="K573" s="5">
        <v>4</v>
      </c>
      <c r="L573" s="4" t="s">
        <v>1102</v>
      </c>
      <c r="M573" s="4" t="s">
        <v>599</v>
      </c>
      <c r="N573" s="4" t="s">
        <v>47</v>
      </c>
      <c r="O573" s="6">
        <v>45092</v>
      </c>
      <c r="P573" s="4" t="s">
        <v>1041</v>
      </c>
      <c r="Q573" s="4" t="s">
        <v>600</v>
      </c>
      <c r="R573" s="4" t="s">
        <v>36</v>
      </c>
      <c r="S573" s="4"/>
      <c r="T573" s="4"/>
      <c r="U573" s="4"/>
      <c r="V573" s="4" t="s">
        <v>1372</v>
      </c>
      <c r="W573" s="4"/>
      <c r="X573" s="4"/>
      <c r="Y573" s="4"/>
      <c r="Z573" s="4"/>
      <c r="AA573" s="4"/>
      <c r="AB573" s="4"/>
      <c r="AC573" s="4"/>
      <c r="AD573" s="4">
        <f t="shared" si="8"/>
        <v>18</v>
      </c>
    </row>
    <row r="574" spans="1:30" ht="27" thickBot="1" x14ac:dyDescent="0.3">
      <c r="A574" s="3">
        <v>45050.938437500001</v>
      </c>
      <c r="B574" s="4" t="s">
        <v>241</v>
      </c>
      <c r="C574" s="4" t="s">
        <v>606</v>
      </c>
      <c r="D574" s="31" t="s">
        <v>42</v>
      </c>
      <c r="E574" s="4" t="s">
        <v>907</v>
      </c>
      <c r="F574" s="5">
        <v>628293341</v>
      </c>
      <c r="G574" s="4"/>
      <c r="H574" s="4" t="s">
        <v>825</v>
      </c>
      <c r="I574" s="5">
        <v>85</v>
      </c>
      <c r="J574" s="4" t="s">
        <v>101</v>
      </c>
      <c r="K574" s="5">
        <v>10</v>
      </c>
      <c r="L574" s="4" t="s">
        <v>723</v>
      </c>
      <c r="M574" s="4" t="s">
        <v>147</v>
      </c>
      <c r="N574" s="4" t="s">
        <v>47</v>
      </c>
      <c r="O574" s="6">
        <v>45106</v>
      </c>
      <c r="P574" s="4" t="s">
        <v>706</v>
      </c>
      <c r="Q574" s="4" t="s">
        <v>247</v>
      </c>
      <c r="R574" s="4" t="s">
        <v>36</v>
      </c>
      <c r="S574" s="4"/>
      <c r="T574" s="4"/>
      <c r="U574" s="4"/>
      <c r="V574" s="4" t="s">
        <v>1372</v>
      </c>
      <c r="W574" s="4"/>
      <c r="X574" s="4"/>
      <c r="Y574" s="4"/>
      <c r="Z574" s="4"/>
      <c r="AA574" s="4"/>
      <c r="AB574" s="4"/>
      <c r="AC574" s="4"/>
      <c r="AD574" s="4">
        <f t="shared" si="8"/>
        <v>18</v>
      </c>
    </row>
    <row r="575" spans="1:30" ht="27" thickBot="1" x14ac:dyDescent="0.3">
      <c r="A575" s="3">
        <v>45050.946064814816</v>
      </c>
      <c r="B575" s="4" t="s">
        <v>241</v>
      </c>
      <c r="C575" s="4" t="s">
        <v>606</v>
      </c>
      <c r="D575" s="31" t="s">
        <v>42</v>
      </c>
      <c r="E575" s="4" t="s">
        <v>1107</v>
      </c>
      <c r="F575" s="5">
        <v>628959500</v>
      </c>
      <c r="G575" s="4"/>
      <c r="H575" s="4" t="s">
        <v>825</v>
      </c>
      <c r="I575" s="5">
        <v>80</v>
      </c>
      <c r="J575" s="4" t="s">
        <v>101</v>
      </c>
      <c r="K575" s="5">
        <v>8</v>
      </c>
      <c r="L575" s="4" t="s">
        <v>817</v>
      </c>
      <c r="M575" s="4" t="s">
        <v>147</v>
      </c>
      <c r="N575" s="4" t="s">
        <v>57</v>
      </c>
      <c r="O575" s="6">
        <v>45108</v>
      </c>
      <c r="P575" s="4" t="s">
        <v>706</v>
      </c>
      <c r="Q575" s="4" t="s">
        <v>247</v>
      </c>
      <c r="R575" s="4" t="s">
        <v>36</v>
      </c>
      <c r="S575" s="4"/>
      <c r="T575" s="4"/>
      <c r="U575" s="4"/>
      <c r="V575" s="4" t="s">
        <v>1372</v>
      </c>
      <c r="W575" s="4"/>
      <c r="X575" s="4"/>
      <c r="Y575" s="4"/>
      <c r="Z575" s="4"/>
      <c r="AA575" s="4"/>
      <c r="AB575" s="4"/>
      <c r="AC575" s="4"/>
      <c r="AD575" s="4">
        <f t="shared" si="8"/>
        <v>18</v>
      </c>
    </row>
    <row r="576" spans="1:30" ht="27" thickBot="1" x14ac:dyDescent="0.3">
      <c r="A576" s="3">
        <v>45051.326886574076</v>
      </c>
      <c r="B576" s="4" t="s">
        <v>1769</v>
      </c>
      <c r="C576" s="4" t="s">
        <v>225</v>
      </c>
      <c r="D576" s="31" t="s">
        <v>42</v>
      </c>
      <c r="E576" s="4" t="s">
        <v>1108</v>
      </c>
      <c r="F576" s="5">
        <v>621857819</v>
      </c>
      <c r="G576" s="5">
        <v>621857819</v>
      </c>
      <c r="H576" s="4" t="s">
        <v>228</v>
      </c>
      <c r="I576" s="5">
        <v>2</v>
      </c>
      <c r="J576" s="4" t="s">
        <v>38</v>
      </c>
      <c r="K576" s="5">
        <v>2</v>
      </c>
      <c r="L576" s="4" t="s">
        <v>120</v>
      </c>
      <c r="M576" s="4" t="s">
        <v>93</v>
      </c>
      <c r="N576" s="4" t="s">
        <v>47</v>
      </c>
      <c r="O576" s="6">
        <v>45046</v>
      </c>
      <c r="P576" s="4" t="s">
        <v>574</v>
      </c>
      <c r="Q576" s="4" t="s">
        <v>232</v>
      </c>
      <c r="R576" s="4" t="s">
        <v>36</v>
      </c>
      <c r="S576" s="4" t="s">
        <v>59</v>
      </c>
      <c r="T576" s="5">
        <v>2</v>
      </c>
      <c r="U576" s="6">
        <v>45054</v>
      </c>
      <c r="V576" s="4" t="s">
        <v>1353</v>
      </c>
      <c r="W576" s="4" t="s">
        <v>1109</v>
      </c>
      <c r="X576" s="4"/>
      <c r="Y576" s="4"/>
      <c r="Z576" s="4"/>
      <c r="AA576" s="4"/>
      <c r="AB576" s="4"/>
      <c r="AC576" s="4"/>
      <c r="AD576" s="4">
        <f t="shared" si="8"/>
        <v>18</v>
      </c>
    </row>
    <row r="577" spans="1:30" ht="27" thickBot="1" x14ac:dyDescent="0.3">
      <c r="A577" s="3">
        <v>45051.346435185187</v>
      </c>
      <c r="B577" s="4" t="s">
        <v>391</v>
      </c>
      <c r="C577" s="4" t="s">
        <v>392</v>
      </c>
      <c r="D577" s="31" t="s">
        <v>42</v>
      </c>
      <c r="E577" s="4" t="s">
        <v>1110</v>
      </c>
      <c r="F577" s="5">
        <v>626432539</v>
      </c>
      <c r="G577" s="5">
        <v>626432539</v>
      </c>
      <c r="H577" s="4" t="s">
        <v>622</v>
      </c>
      <c r="I577" s="5">
        <v>25</v>
      </c>
      <c r="J577" s="4" t="s">
        <v>38</v>
      </c>
      <c r="K577" s="5">
        <v>5</v>
      </c>
      <c r="L577" s="4" t="s">
        <v>120</v>
      </c>
      <c r="M577" s="4" t="s">
        <v>120</v>
      </c>
      <c r="N577" s="4" t="s">
        <v>33</v>
      </c>
      <c r="O577" s="6">
        <v>45048</v>
      </c>
      <c r="P577" s="4" t="s">
        <v>574</v>
      </c>
      <c r="Q577" s="4" t="s">
        <v>397</v>
      </c>
      <c r="R577" s="4" t="s">
        <v>36</v>
      </c>
      <c r="S577" s="4" t="s">
        <v>59</v>
      </c>
      <c r="T577" s="5">
        <v>5</v>
      </c>
      <c r="U577" s="6">
        <v>45050</v>
      </c>
      <c r="V577" s="4" t="s">
        <v>1352</v>
      </c>
      <c r="W577" s="4" t="s">
        <v>661</v>
      </c>
      <c r="X577" s="4"/>
      <c r="Y577" s="4"/>
      <c r="Z577" s="4"/>
      <c r="AA577" s="4"/>
      <c r="AB577" s="4"/>
      <c r="AC577" s="4"/>
      <c r="AD577" s="4">
        <f t="shared" si="8"/>
        <v>18</v>
      </c>
    </row>
    <row r="578" spans="1:30" ht="39.75" thickBot="1" x14ac:dyDescent="0.3">
      <c r="A578" s="3">
        <v>45051.346689814818</v>
      </c>
      <c r="B578" s="4" t="s">
        <v>595</v>
      </c>
      <c r="C578" s="4" t="s">
        <v>572</v>
      </c>
      <c r="D578" s="31" t="s">
        <v>42</v>
      </c>
      <c r="E578" s="4" t="s">
        <v>1111</v>
      </c>
      <c r="F578" s="5">
        <v>628735567</v>
      </c>
      <c r="G578" s="4"/>
      <c r="H578" s="4" t="s">
        <v>525</v>
      </c>
      <c r="I578" s="5">
        <v>15</v>
      </c>
      <c r="J578" s="4" t="s">
        <v>38</v>
      </c>
      <c r="K578" s="5">
        <v>3</v>
      </c>
      <c r="L578" s="4" t="s">
        <v>1112</v>
      </c>
      <c r="M578" s="4" t="s">
        <v>599</v>
      </c>
      <c r="N578" s="4" t="s">
        <v>47</v>
      </c>
      <c r="O578" s="6">
        <v>45066</v>
      </c>
      <c r="P578" s="4" t="s">
        <v>1041</v>
      </c>
      <c r="Q578" s="4" t="s">
        <v>600</v>
      </c>
      <c r="R578" s="4" t="s">
        <v>36</v>
      </c>
      <c r="S578" s="4"/>
      <c r="T578" s="4"/>
      <c r="U578" s="4"/>
      <c r="V578" s="4" t="s">
        <v>1372</v>
      </c>
      <c r="W578" s="4"/>
      <c r="X578" s="4"/>
      <c r="Y578" s="4"/>
      <c r="Z578" s="4"/>
      <c r="AA578" s="4"/>
      <c r="AB578" s="4"/>
      <c r="AC578" s="4"/>
      <c r="AD578" s="4">
        <f t="shared" si="8"/>
        <v>18</v>
      </c>
    </row>
    <row r="579" spans="1:30" ht="27" thickBot="1" x14ac:dyDescent="0.3">
      <c r="A579" s="3">
        <v>45051.375127314815</v>
      </c>
      <c r="B579" s="4" t="s">
        <v>1771</v>
      </c>
      <c r="C579" s="4" t="s">
        <v>496</v>
      </c>
      <c r="D579" s="31" t="s">
        <v>42</v>
      </c>
      <c r="E579" s="4" t="s">
        <v>1113</v>
      </c>
      <c r="F579" s="5">
        <v>629665065</v>
      </c>
      <c r="G579" s="5">
        <v>629665065</v>
      </c>
      <c r="H579" s="4" t="s">
        <v>525</v>
      </c>
      <c r="I579" s="5">
        <v>4</v>
      </c>
      <c r="J579" s="4" t="s">
        <v>38</v>
      </c>
      <c r="K579" s="5">
        <v>10</v>
      </c>
      <c r="L579" s="4" t="s">
        <v>982</v>
      </c>
      <c r="M579" s="4" t="s">
        <v>546</v>
      </c>
      <c r="N579" s="4" t="s">
        <v>90</v>
      </c>
      <c r="O579" s="6">
        <v>45052</v>
      </c>
      <c r="P579" s="4" t="s">
        <v>523</v>
      </c>
      <c r="Q579" s="4" t="s">
        <v>500</v>
      </c>
      <c r="R579" s="4" t="s">
        <v>36</v>
      </c>
      <c r="S579" s="4" t="s">
        <v>59</v>
      </c>
      <c r="T579" s="5">
        <v>3</v>
      </c>
      <c r="U579" s="6">
        <v>45054</v>
      </c>
      <c r="V579" s="4" t="s">
        <v>1353</v>
      </c>
      <c r="W579" s="4" t="s">
        <v>918</v>
      </c>
      <c r="X579" s="4"/>
      <c r="Y579" s="4"/>
      <c r="Z579" s="4"/>
      <c r="AA579" s="4"/>
      <c r="AB579" s="4"/>
      <c r="AC579" s="4"/>
      <c r="AD579" s="4">
        <f t="shared" ref="AD579:AD642" si="9">WEEKNUM(LEFT(A579,10))</f>
        <v>18</v>
      </c>
    </row>
    <row r="580" spans="1:30" ht="39.75" thickBot="1" x14ac:dyDescent="0.3">
      <c r="A580" s="3">
        <v>45051.424791666665</v>
      </c>
      <c r="B580" s="4" t="s">
        <v>1769</v>
      </c>
      <c r="C580" s="4" t="s">
        <v>225</v>
      </c>
      <c r="D580" s="31" t="s">
        <v>42</v>
      </c>
      <c r="E580" s="4" t="s">
        <v>1114</v>
      </c>
      <c r="F580" s="5">
        <v>622545479</v>
      </c>
      <c r="G580" s="5">
        <v>622545479</v>
      </c>
      <c r="H580" s="4" t="s">
        <v>1115</v>
      </c>
      <c r="I580" s="5">
        <v>27</v>
      </c>
      <c r="J580" s="4" t="s">
        <v>38</v>
      </c>
      <c r="K580" s="5">
        <v>5</v>
      </c>
      <c r="L580" s="4" t="s">
        <v>93</v>
      </c>
      <c r="M580" s="4" t="s">
        <v>93</v>
      </c>
      <c r="N580" s="4" t="s">
        <v>47</v>
      </c>
      <c r="O580" s="6">
        <v>45047</v>
      </c>
      <c r="P580" s="4" t="s">
        <v>574</v>
      </c>
      <c r="Q580" s="4" t="s">
        <v>232</v>
      </c>
      <c r="R580" s="4" t="s">
        <v>36</v>
      </c>
      <c r="S580" s="4" t="s">
        <v>59</v>
      </c>
      <c r="T580" s="5">
        <v>5</v>
      </c>
      <c r="U580" s="6">
        <v>45054</v>
      </c>
      <c r="V580" s="4" t="s">
        <v>1353</v>
      </c>
      <c r="W580" s="4" t="s">
        <v>1116</v>
      </c>
      <c r="X580" s="4"/>
      <c r="Y580" s="4"/>
      <c r="Z580" s="4"/>
      <c r="AA580" s="4"/>
      <c r="AB580" s="4"/>
      <c r="AC580" s="4"/>
      <c r="AD580" s="4">
        <f t="shared" si="9"/>
        <v>18</v>
      </c>
    </row>
    <row r="581" spans="1:30" ht="27" thickBot="1" x14ac:dyDescent="0.3">
      <c r="A581" s="3">
        <v>45051.432037037041</v>
      </c>
      <c r="B581" s="4" t="s">
        <v>1769</v>
      </c>
      <c r="C581" s="4" t="s">
        <v>1117</v>
      </c>
      <c r="D581" s="31" t="s">
        <v>42</v>
      </c>
      <c r="E581" s="4" t="s">
        <v>1118</v>
      </c>
      <c r="F581" s="5">
        <v>621180902</v>
      </c>
      <c r="G581" s="5">
        <v>621180902</v>
      </c>
      <c r="H581" s="4" t="s">
        <v>277</v>
      </c>
      <c r="I581" s="5">
        <v>5</v>
      </c>
      <c r="J581" s="4" t="s">
        <v>38</v>
      </c>
      <c r="K581" s="5">
        <v>3</v>
      </c>
      <c r="L581" s="4" t="s">
        <v>93</v>
      </c>
      <c r="M581" s="4" t="s">
        <v>93</v>
      </c>
      <c r="N581" s="4" t="s">
        <v>47</v>
      </c>
      <c r="O581" s="6">
        <v>45051</v>
      </c>
      <c r="P581" s="4" t="s">
        <v>574</v>
      </c>
      <c r="Q581" s="4" t="s">
        <v>232</v>
      </c>
      <c r="R581" s="4" t="s">
        <v>36</v>
      </c>
      <c r="S581" s="4" t="s">
        <v>59</v>
      </c>
      <c r="T581" s="5">
        <v>3</v>
      </c>
      <c r="U581" s="6">
        <v>45054</v>
      </c>
      <c r="V581" s="4" t="s">
        <v>1353</v>
      </c>
      <c r="W581" s="4" t="s">
        <v>1119</v>
      </c>
      <c r="X581" s="4"/>
      <c r="Y581" s="4"/>
      <c r="Z581" s="4"/>
      <c r="AA581" s="4"/>
      <c r="AB581" s="4"/>
      <c r="AC581" s="4"/>
      <c r="AD581" s="4">
        <f t="shared" si="9"/>
        <v>18</v>
      </c>
    </row>
    <row r="582" spans="1:30" ht="27" thickBot="1" x14ac:dyDescent="0.3">
      <c r="A582" s="3">
        <v>45051.432523148149</v>
      </c>
      <c r="B582" s="4" t="s">
        <v>253</v>
      </c>
      <c r="C582" s="4" t="s">
        <v>633</v>
      </c>
      <c r="D582" s="31" t="s">
        <v>42</v>
      </c>
      <c r="E582" s="4" t="s">
        <v>1120</v>
      </c>
      <c r="F582" s="5">
        <v>628166932</v>
      </c>
      <c r="G582" s="4"/>
      <c r="H582" s="4" t="s">
        <v>1121</v>
      </c>
      <c r="I582" s="5">
        <v>30</v>
      </c>
      <c r="J582" s="4" t="s">
        <v>38</v>
      </c>
      <c r="K582" s="5">
        <v>4</v>
      </c>
      <c r="L582" s="4" t="s">
        <v>808</v>
      </c>
      <c r="M582" s="4" t="s">
        <v>36</v>
      </c>
      <c r="N582" s="4" t="s">
        <v>33</v>
      </c>
      <c r="O582" s="6">
        <v>45051</v>
      </c>
      <c r="P582" s="4"/>
      <c r="Q582" s="4" t="s">
        <v>636</v>
      </c>
      <c r="R582" s="4" t="s">
        <v>36</v>
      </c>
      <c r="S582" s="4" t="s">
        <v>59</v>
      </c>
      <c r="T582" s="5">
        <v>4</v>
      </c>
      <c r="U582" s="6">
        <v>45051</v>
      </c>
      <c r="V582" s="4" t="s">
        <v>1352</v>
      </c>
      <c r="W582" s="4" t="s">
        <v>807</v>
      </c>
      <c r="X582" s="4"/>
      <c r="Y582" s="4"/>
      <c r="Z582" s="4"/>
      <c r="AA582" s="4"/>
      <c r="AB582" s="4"/>
      <c r="AC582" s="4"/>
      <c r="AD582" s="4">
        <f t="shared" si="9"/>
        <v>18</v>
      </c>
    </row>
    <row r="583" spans="1:30" ht="39.75" thickBot="1" x14ac:dyDescent="0.3">
      <c r="A583" s="3">
        <v>45051.433344907404</v>
      </c>
      <c r="B583" s="4" t="s">
        <v>115</v>
      </c>
      <c r="C583" s="4" t="s">
        <v>116</v>
      </c>
      <c r="D583" s="31" t="s">
        <v>42</v>
      </c>
      <c r="E583" s="4" t="s">
        <v>1032</v>
      </c>
      <c r="F583" s="5">
        <v>621342558</v>
      </c>
      <c r="G583" s="4"/>
      <c r="H583" s="4" t="s">
        <v>925</v>
      </c>
      <c r="I583" s="5">
        <v>80</v>
      </c>
      <c r="J583" s="4" t="s">
        <v>38</v>
      </c>
      <c r="K583" s="5">
        <v>1</v>
      </c>
      <c r="L583" s="4" t="s">
        <v>119</v>
      </c>
      <c r="M583" s="4" t="s">
        <v>1044</v>
      </c>
      <c r="N583" s="4" t="s">
        <v>47</v>
      </c>
      <c r="O583" s="6">
        <v>45246</v>
      </c>
      <c r="P583" s="4" t="s">
        <v>927</v>
      </c>
      <c r="Q583" s="4" t="s">
        <v>122</v>
      </c>
      <c r="R583" s="4" t="s">
        <v>36</v>
      </c>
      <c r="S583" s="4"/>
      <c r="T583" s="4"/>
      <c r="U583" s="4"/>
      <c r="V583" s="4" t="s">
        <v>1372</v>
      </c>
      <c r="W583" s="4"/>
      <c r="X583" s="4"/>
      <c r="Y583" s="4"/>
      <c r="Z583" s="4"/>
      <c r="AA583" s="4"/>
      <c r="AB583" s="4"/>
      <c r="AC583" s="4"/>
      <c r="AD583" s="4">
        <f t="shared" si="9"/>
        <v>18</v>
      </c>
    </row>
    <row r="584" spans="1:30" ht="39.75" thickBot="1" x14ac:dyDescent="0.3">
      <c r="A584" s="3">
        <v>45051.436874999999</v>
      </c>
      <c r="B584" s="4" t="s">
        <v>115</v>
      </c>
      <c r="C584" s="4" t="s">
        <v>116</v>
      </c>
      <c r="D584" s="31" t="s">
        <v>42</v>
      </c>
      <c r="E584" s="4" t="s">
        <v>1122</v>
      </c>
      <c r="F584" s="5">
        <v>621342558</v>
      </c>
      <c r="G584" s="4"/>
      <c r="H584" s="4" t="s">
        <v>925</v>
      </c>
      <c r="I584" s="5">
        <v>80</v>
      </c>
      <c r="J584" s="4" t="s">
        <v>38</v>
      </c>
      <c r="K584" s="5">
        <v>2</v>
      </c>
      <c r="L584" s="4" t="s">
        <v>119</v>
      </c>
      <c r="M584" s="4" t="s">
        <v>1083</v>
      </c>
      <c r="N584" s="4" t="s">
        <v>47</v>
      </c>
      <c r="O584" s="6">
        <v>45247</v>
      </c>
      <c r="P584" s="4" t="s">
        <v>927</v>
      </c>
      <c r="Q584" s="4" t="s">
        <v>122</v>
      </c>
      <c r="R584" s="4" t="s">
        <v>36</v>
      </c>
      <c r="S584" s="4"/>
      <c r="T584" s="4"/>
      <c r="U584" s="4"/>
      <c r="V584" s="4" t="s">
        <v>1372</v>
      </c>
      <c r="W584" s="4"/>
      <c r="X584" s="4"/>
      <c r="Y584" s="4"/>
      <c r="Z584" s="4"/>
      <c r="AA584" s="4"/>
      <c r="AB584" s="4"/>
      <c r="AC584" s="4"/>
      <c r="AD584" s="4">
        <f t="shared" si="9"/>
        <v>18</v>
      </c>
    </row>
    <row r="585" spans="1:30" ht="27" thickBot="1" x14ac:dyDescent="0.3">
      <c r="A585" s="3">
        <v>45051.43886574074</v>
      </c>
      <c r="B585" s="4" t="s">
        <v>1123</v>
      </c>
      <c r="C585" s="4" t="s">
        <v>1123</v>
      </c>
      <c r="D585" s="31" t="s">
        <v>42</v>
      </c>
      <c r="E585" s="4" t="s">
        <v>1124</v>
      </c>
      <c r="F585" s="5">
        <v>620242299</v>
      </c>
      <c r="G585" s="4"/>
      <c r="H585" s="4" t="s">
        <v>1125</v>
      </c>
      <c r="I585" s="5">
        <v>20</v>
      </c>
      <c r="J585" s="4" t="s">
        <v>38</v>
      </c>
      <c r="K585" s="5">
        <v>35</v>
      </c>
      <c r="L585" s="4" t="s">
        <v>146</v>
      </c>
      <c r="M585" s="4" t="s">
        <v>1126</v>
      </c>
      <c r="N585" s="4" t="s">
        <v>47</v>
      </c>
      <c r="O585" s="6">
        <v>45056</v>
      </c>
      <c r="P585" s="4" t="s">
        <v>1127</v>
      </c>
      <c r="Q585" s="4" t="s">
        <v>1128</v>
      </c>
      <c r="R585" s="4" t="s">
        <v>36</v>
      </c>
      <c r="S585" s="4"/>
      <c r="T585" s="4"/>
      <c r="U585" s="4"/>
      <c r="V585" s="4" t="s">
        <v>1372</v>
      </c>
      <c r="W585" s="4"/>
      <c r="X585" s="4"/>
      <c r="Y585" s="4"/>
      <c r="Z585" s="4"/>
      <c r="AA585" s="4"/>
      <c r="AB585" s="4"/>
      <c r="AC585" s="4"/>
      <c r="AD585" s="4">
        <f t="shared" si="9"/>
        <v>18</v>
      </c>
    </row>
    <row r="586" spans="1:30" ht="27" thickBot="1" x14ac:dyDescent="0.3">
      <c r="A586" s="3">
        <v>45051.439131944448</v>
      </c>
      <c r="B586" s="4" t="s">
        <v>253</v>
      </c>
      <c r="C586" s="4" t="s">
        <v>633</v>
      </c>
      <c r="D586" s="31" t="s">
        <v>42</v>
      </c>
      <c r="E586" s="4" t="s">
        <v>1129</v>
      </c>
      <c r="F586" s="5">
        <v>622955525</v>
      </c>
      <c r="G586" s="4"/>
      <c r="H586" s="4" t="s">
        <v>1130</v>
      </c>
      <c r="I586" s="5">
        <v>30</v>
      </c>
      <c r="J586" s="4" t="s">
        <v>38</v>
      </c>
      <c r="K586" s="5">
        <v>10</v>
      </c>
      <c r="L586" s="4" t="s">
        <v>410</v>
      </c>
      <c r="M586" s="4" t="s">
        <v>36</v>
      </c>
      <c r="N586" s="4" t="s">
        <v>33</v>
      </c>
      <c r="O586" s="6">
        <v>45051</v>
      </c>
      <c r="P586" s="4"/>
      <c r="Q586" s="4" t="s">
        <v>636</v>
      </c>
      <c r="R586" s="4" t="s">
        <v>36</v>
      </c>
      <c r="S586" s="4" t="s">
        <v>59</v>
      </c>
      <c r="T586" s="5">
        <v>10</v>
      </c>
      <c r="U586" s="6">
        <v>45051</v>
      </c>
      <c r="V586" s="4" t="s">
        <v>1352</v>
      </c>
      <c r="W586" s="4" t="s">
        <v>809</v>
      </c>
      <c r="X586" s="4"/>
      <c r="Y586" s="4"/>
      <c r="Z586" s="4"/>
      <c r="AA586" s="4"/>
      <c r="AB586" s="4"/>
      <c r="AC586" s="4"/>
      <c r="AD586" s="4">
        <f t="shared" si="9"/>
        <v>18</v>
      </c>
    </row>
    <row r="587" spans="1:30" ht="39.75" thickBot="1" x14ac:dyDescent="0.3">
      <c r="A587" s="3">
        <v>45051.441388888888</v>
      </c>
      <c r="B587" s="4" t="s">
        <v>115</v>
      </c>
      <c r="C587" s="4" t="s">
        <v>116</v>
      </c>
      <c r="D587" s="31" t="s">
        <v>42</v>
      </c>
      <c r="E587" s="4" t="s">
        <v>1131</v>
      </c>
      <c r="F587" s="5">
        <v>621342558</v>
      </c>
      <c r="G587" s="4"/>
      <c r="H587" s="4" t="s">
        <v>925</v>
      </c>
      <c r="I587" s="5">
        <v>80</v>
      </c>
      <c r="J587" s="4" t="s">
        <v>38</v>
      </c>
      <c r="K587" s="5">
        <v>3</v>
      </c>
      <c r="L587" s="4" t="s">
        <v>119</v>
      </c>
      <c r="M587" s="4" t="s">
        <v>1044</v>
      </c>
      <c r="N587" s="4" t="s">
        <v>47</v>
      </c>
      <c r="O587" s="6">
        <v>45248</v>
      </c>
      <c r="P587" s="4" t="s">
        <v>927</v>
      </c>
      <c r="Q587" s="4" t="s">
        <v>122</v>
      </c>
      <c r="R587" s="4" t="s">
        <v>36</v>
      </c>
      <c r="S587" s="4"/>
      <c r="T587" s="4"/>
      <c r="U587" s="4"/>
      <c r="V587" s="4" t="s">
        <v>1372</v>
      </c>
      <c r="W587" s="4"/>
      <c r="X587" s="4"/>
      <c r="Y587" s="4"/>
      <c r="Z587" s="4"/>
      <c r="AA587" s="4"/>
      <c r="AB587" s="4"/>
      <c r="AC587" s="4"/>
      <c r="AD587" s="4">
        <f t="shared" si="9"/>
        <v>18</v>
      </c>
    </row>
    <row r="588" spans="1:30" ht="27" thickBot="1" x14ac:dyDescent="0.3">
      <c r="A588" s="3">
        <v>45051.443090277775</v>
      </c>
      <c r="B588" s="4" t="s">
        <v>1123</v>
      </c>
      <c r="C588" s="4" t="s">
        <v>1123</v>
      </c>
      <c r="D588" s="31" t="s">
        <v>42</v>
      </c>
      <c r="E588" s="4" t="s">
        <v>1132</v>
      </c>
      <c r="F588" s="5">
        <v>628858844</v>
      </c>
      <c r="G588" s="4"/>
      <c r="H588" s="4" t="s">
        <v>1133</v>
      </c>
      <c r="I588" s="5">
        <v>75</v>
      </c>
      <c r="J588" s="4" t="s">
        <v>38</v>
      </c>
      <c r="K588" s="5">
        <v>20</v>
      </c>
      <c r="L588" s="4" t="s">
        <v>120</v>
      </c>
      <c r="M588" s="4" t="s">
        <v>120</v>
      </c>
      <c r="N588" s="4" t="s">
        <v>33</v>
      </c>
      <c r="O588" s="6">
        <v>45056</v>
      </c>
      <c r="P588" s="4" t="s">
        <v>1134</v>
      </c>
      <c r="Q588" s="4" t="s">
        <v>1128</v>
      </c>
      <c r="R588" s="4" t="s">
        <v>36</v>
      </c>
      <c r="S588" s="4"/>
      <c r="T588" s="4"/>
      <c r="U588" s="4"/>
      <c r="V588" s="4" t="s">
        <v>1372</v>
      </c>
      <c r="W588" s="4"/>
      <c r="X588" s="4"/>
      <c r="Y588" s="4"/>
      <c r="Z588" s="4"/>
      <c r="AA588" s="4"/>
      <c r="AB588" s="4"/>
      <c r="AC588" s="4"/>
      <c r="AD588" s="4">
        <f t="shared" si="9"/>
        <v>18</v>
      </c>
    </row>
    <row r="589" spans="1:30" ht="27" thickBot="1" x14ac:dyDescent="0.3">
      <c r="A589" s="3">
        <v>45051.444745370369</v>
      </c>
      <c r="B589" s="4" t="s">
        <v>115</v>
      </c>
      <c r="C589" s="4" t="s">
        <v>116</v>
      </c>
      <c r="D589" s="31" t="s">
        <v>42</v>
      </c>
      <c r="E589" s="4" t="s">
        <v>1135</v>
      </c>
      <c r="F589" s="5">
        <v>612342558</v>
      </c>
      <c r="G589" s="4"/>
      <c r="H589" s="4" t="s">
        <v>925</v>
      </c>
      <c r="I589" s="5">
        <v>80</v>
      </c>
      <c r="J589" s="4" t="s">
        <v>38</v>
      </c>
      <c r="K589" s="5">
        <v>1</v>
      </c>
      <c r="L589" s="4" t="s">
        <v>119</v>
      </c>
      <c r="M589" s="4" t="s">
        <v>1044</v>
      </c>
      <c r="N589" s="4" t="s">
        <v>47</v>
      </c>
      <c r="O589" s="6">
        <v>45249</v>
      </c>
      <c r="P589" s="4" t="s">
        <v>1064</v>
      </c>
      <c r="Q589" s="4" t="s">
        <v>122</v>
      </c>
      <c r="R589" s="4" t="s">
        <v>36</v>
      </c>
      <c r="S589" s="4"/>
      <c r="T589" s="4"/>
      <c r="U589" s="4"/>
      <c r="V589" s="4" t="s">
        <v>1372</v>
      </c>
      <c r="W589" s="4"/>
      <c r="X589" s="4"/>
      <c r="Y589" s="4"/>
      <c r="Z589" s="4"/>
      <c r="AA589" s="4"/>
      <c r="AB589" s="4"/>
      <c r="AC589" s="4"/>
      <c r="AD589" s="4">
        <f t="shared" si="9"/>
        <v>18</v>
      </c>
    </row>
    <row r="590" spans="1:30" ht="39.75" thickBot="1" x14ac:dyDescent="0.3">
      <c r="A590" s="3">
        <v>45051.447326388887</v>
      </c>
      <c r="B590" s="4" t="s">
        <v>115</v>
      </c>
      <c r="C590" s="4" t="s">
        <v>116</v>
      </c>
      <c r="D590" s="31" t="s">
        <v>42</v>
      </c>
      <c r="E590" s="4" t="s">
        <v>1136</v>
      </c>
      <c r="F590" s="5">
        <v>621342558</v>
      </c>
      <c r="G590" s="4"/>
      <c r="H590" s="4" t="s">
        <v>925</v>
      </c>
      <c r="I590" s="5">
        <v>81</v>
      </c>
      <c r="J590" s="4" t="s">
        <v>38</v>
      </c>
      <c r="K590" s="5">
        <v>2</v>
      </c>
      <c r="L590" s="4" t="s">
        <v>119</v>
      </c>
      <c r="M590" s="4" t="s">
        <v>1044</v>
      </c>
      <c r="N590" s="4" t="s">
        <v>47</v>
      </c>
      <c r="O590" s="6">
        <v>45249</v>
      </c>
      <c r="P590" s="4" t="s">
        <v>927</v>
      </c>
      <c r="Q590" s="4" t="s">
        <v>122</v>
      </c>
      <c r="R590" s="4" t="s">
        <v>36</v>
      </c>
      <c r="S590" s="4"/>
      <c r="T590" s="4"/>
      <c r="U590" s="4"/>
      <c r="V590" s="4" t="s">
        <v>1372</v>
      </c>
      <c r="W590" s="4"/>
      <c r="X590" s="4"/>
      <c r="Y590" s="4"/>
      <c r="Z590" s="4"/>
      <c r="AA590" s="4"/>
      <c r="AB590" s="4"/>
      <c r="AC590" s="4"/>
      <c r="AD590" s="4">
        <f t="shared" si="9"/>
        <v>18</v>
      </c>
    </row>
    <row r="591" spans="1:30" ht="39.75" thickBot="1" x14ac:dyDescent="0.3">
      <c r="A591" s="3">
        <v>45051.450069444443</v>
      </c>
      <c r="B591" s="4" t="s">
        <v>115</v>
      </c>
      <c r="C591" s="4" t="s">
        <v>116</v>
      </c>
      <c r="D591" s="31" t="s">
        <v>42</v>
      </c>
      <c r="E591" s="4" t="s">
        <v>1137</v>
      </c>
      <c r="F591" s="5">
        <v>621342558</v>
      </c>
      <c r="G591" s="4"/>
      <c r="H591" s="4" t="s">
        <v>925</v>
      </c>
      <c r="I591" s="5">
        <v>81</v>
      </c>
      <c r="J591" s="4" t="s">
        <v>38</v>
      </c>
      <c r="K591" s="5">
        <v>1</v>
      </c>
      <c r="L591" s="4" t="s">
        <v>119</v>
      </c>
      <c r="M591" s="4" t="s">
        <v>1044</v>
      </c>
      <c r="N591" s="4" t="s">
        <v>47</v>
      </c>
      <c r="O591" s="6">
        <v>45249</v>
      </c>
      <c r="P591" s="4" t="s">
        <v>927</v>
      </c>
      <c r="Q591" s="4" t="s">
        <v>122</v>
      </c>
      <c r="R591" s="4" t="s">
        <v>36</v>
      </c>
      <c r="S591" s="4"/>
      <c r="T591" s="4"/>
      <c r="U591" s="4"/>
      <c r="V591" s="4" t="s">
        <v>1372</v>
      </c>
      <c r="W591" s="4"/>
      <c r="X591" s="4"/>
      <c r="Y591" s="4"/>
      <c r="Z591" s="4"/>
      <c r="AA591" s="4"/>
      <c r="AB591" s="4"/>
      <c r="AC591" s="4"/>
      <c r="AD591" s="4">
        <f t="shared" si="9"/>
        <v>18</v>
      </c>
    </row>
    <row r="592" spans="1:30" ht="39.75" thickBot="1" x14ac:dyDescent="0.3">
      <c r="A592" s="3">
        <v>45051.45244212963</v>
      </c>
      <c r="B592" s="4" t="s">
        <v>115</v>
      </c>
      <c r="C592" s="4" t="s">
        <v>116</v>
      </c>
      <c r="D592" s="31" t="s">
        <v>42</v>
      </c>
      <c r="E592" s="4" t="s">
        <v>1138</v>
      </c>
      <c r="F592" s="5">
        <v>621342558</v>
      </c>
      <c r="G592" s="4"/>
      <c r="H592" s="4" t="s">
        <v>925</v>
      </c>
      <c r="I592" s="5">
        <v>80</v>
      </c>
      <c r="J592" s="4" t="s">
        <v>38</v>
      </c>
      <c r="K592" s="5">
        <v>2</v>
      </c>
      <c r="L592" s="4" t="s">
        <v>119</v>
      </c>
      <c r="M592" s="4" t="s">
        <v>1044</v>
      </c>
      <c r="N592" s="4" t="s">
        <v>47</v>
      </c>
      <c r="O592" s="6">
        <v>45249</v>
      </c>
      <c r="P592" s="4" t="s">
        <v>927</v>
      </c>
      <c r="Q592" s="4" t="s">
        <v>122</v>
      </c>
      <c r="R592" s="4" t="s">
        <v>36</v>
      </c>
      <c r="S592" s="4"/>
      <c r="T592" s="4"/>
      <c r="U592" s="4"/>
      <c r="V592" s="4" t="s">
        <v>1372</v>
      </c>
      <c r="W592" s="4"/>
      <c r="X592" s="4"/>
      <c r="Y592" s="4"/>
      <c r="Z592" s="4"/>
      <c r="AA592" s="4"/>
      <c r="AB592" s="4"/>
      <c r="AC592" s="4"/>
      <c r="AD592" s="4">
        <f t="shared" si="9"/>
        <v>18</v>
      </c>
    </row>
    <row r="593" spans="1:30" ht="39.75" thickBot="1" x14ac:dyDescent="0.3">
      <c r="A593" s="3">
        <v>45051.455185185187</v>
      </c>
      <c r="B593" s="4" t="s">
        <v>115</v>
      </c>
      <c r="C593" s="4" t="s">
        <v>116</v>
      </c>
      <c r="D593" s="31" t="s">
        <v>42</v>
      </c>
      <c r="E593" s="4" t="s">
        <v>1139</v>
      </c>
      <c r="F593" s="5">
        <v>621342558</v>
      </c>
      <c r="G593" s="4"/>
      <c r="H593" s="4" t="s">
        <v>925</v>
      </c>
      <c r="I593" s="5">
        <v>80</v>
      </c>
      <c r="J593" s="4" t="s">
        <v>38</v>
      </c>
      <c r="K593" s="5">
        <v>2</v>
      </c>
      <c r="L593" s="4" t="s">
        <v>119</v>
      </c>
      <c r="M593" s="4" t="s">
        <v>1044</v>
      </c>
      <c r="N593" s="4" t="s">
        <v>47</v>
      </c>
      <c r="O593" s="6">
        <v>45249</v>
      </c>
      <c r="P593" s="4" t="s">
        <v>927</v>
      </c>
      <c r="Q593" s="4" t="s">
        <v>122</v>
      </c>
      <c r="R593" s="4" t="s">
        <v>36</v>
      </c>
      <c r="S593" s="4"/>
      <c r="T593" s="4"/>
      <c r="U593" s="4"/>
      <c r="V593" s="4" t="s">
        <v>1372</v>
      </c>
      <c r="W593" s="4"/>
      <c r="X593" s="4"/>
      <c r="Y593" s="4"/>
      <c r="Z593" s="4"/>
      <c r="AA593" s="4"/>
      <c r="AB593" s="4"/>
      <c r="AC593" s="4"/>
      <c r="AD593" s="4">
        <f t="shared" si="9"/>
        <v>18</v>
      </c>
    </row>
    <row r="594" spans="1:30" ht="39.75" thickBot="1" x14ac:dyDescent="0.3">
      <c r="A594" s="3">
        <v>45051.457997685182</v>
      </c>
      <c r="B594" s="4" t="s">
        <v>115</v>
      </c>
      <c r="C594" s="4" t="s">
        <v>116</v>
      </c>
      <c r="D594" s="31" t="s">
        <v>42</v>
      </c>
      <c r="E594" s="4" t="s">
        <v>1140</v>
      </c>
      <c r="F594" s="5">
        <v>621339792</v>
      </c>
      <c r="G594" s="4"/>
      <c r="H594" s="4" t="s">
        <v>925</v>
      </c>
      <c r="I594" s="5">
        <v>55</v>
      </c>
      <c r="J594" s="4" t="s">
        <v>38</v>
      </c>
      <c r="K594" s="5">
        <v>2</v>
      </c>
      <c r="L594" s="4" t="s">
        <v>119</v>
      </c>
      <c r="M594" s="4" t="s">
        <v>1044</v>
      </c>
      <c r="N594" s="4" t="s">
        <v>47</v>
      </c>
      <c r="O594" s="6">
        <v>45249</v>
      </c>
      <c r="P594" s="4" t="s">
        <v>927</v>
      </c>
      <c r="Q594" s="4" t="s">
        <v>122</v>
      </c>
      <c r="R594" s="4" t="s">
        <v>36</v>
      </c>
      <c r="S594" s="4"/>
      <c r="T594" s="4"/>
      <c r="U594" s="4"/>
      <c r="V594" s="4" t="s">
        <v>1372</v>
      </c>
      <c r="W594" s="4"/>
      <c r="X594" s="4"/>
      <c r="Y594" s="4"/>
      <c r="Z594" s="4"/>
      <c r="AA594" s="4"/>
      <c r="AB594" s="4"/>
      <c r="AC594" s="4"/>
      <c r="AD594" s="4">
        <f t="shared" si="9"/>
        <v>18</v>
      </c>
    </row>
    <row r="595" spans="1:30" ht="39.75" thickBot="1" x14ac:dyDescent="0.3">
      <c r="A595" s="3">
        <v>45051.461111111108</v>
      </c>
      <c r="B595" s="4" t="s">
        <v>115</v>
      </c>
      <c r="C595" s="4" t="s">
        <v>116</v>
      </c>
      <c r="D595" s="31" t="s">
        <v>42</v>
      </c>
      <c r="E595" s="4" t="s">
        <v>1073</v>
      </c>
      <c r="F595" s="5">
        <v>625833152</v>
      </c>
      <c r="G595" s="4"/>
      <c r="H595" s="4" t="s">
        <v>925</v>
      </c>
      <c r="I595" s="5">
        <v>66</v>
      </c>
      <c r="J595" s="4" t="s">
        <v>38</v>
      </c>
      <c r="K595" s="5">
        <v>2</v>
      </c>
      <c r="L595" s="4" t="s">
        <v>119</v>
      </c>
      <c r="M595" s="4" t="s">
        <v>1044</v>
      </c>
      <c r="N595" s="4" t="s">
        <v>47</v>
      </c>
      <c r="O595" s="6">
        <v>45249</v>
      </c>
      <c r="P595" s="4" t="s">
        <v>927</v>
      </c>
      <c r="Q595" s="4" t="s">
        <v>122</v>
      </c>
      <c r="R595" s="4" t="s">
        <v>36</v>
      </c>
      <c r="S595" s="4"/>
      <c r="T595" s="4"/>
      <c r="U595" s="4"/>
      <c r="V595" s="4" t="s">
        <v>1372</v>
      </c>
      <c r="W595" s="4"/>
      <c r="X595" s="4"/>
      <c r="Y595" s="4"/>
      <c r="Z595" s="4"/>
      <c r="AA595" s="4"/>
      <c r="AB595" s="4"/>
      <c r="AC595" s="4"/>
      <c r="AD595" s="4">
        <f t="shared" si="9"/>
        <v>18</v>
      </c>
    </row>
    <row r="596" spans="1:30" ht="39.75" thickBot="1" x14ac:dyDescent="0.3">
      <c r="A596" s="3">
        <v>45051.464548611111</v>
      </c>
      <c r="B596" s="4" t="s">
        <v>115</v>
      </c>
      <c r="C596" s="4" t="s">
        <v>116</v>
      </c>
      <c r="D596" s="31" t="s">
        <v>42</v>
      </c>
      <c r="E596" s="4" t="s">
        <v>1141</v>
      </c>
      <c r="F596" s="5">
        <v>623999100</v>
      </c>
      <c r="G596" s="4"/>
      <c r="H596" s="4" t="s">
        <v>925</v>
      </c>
      <c r="I596" s="5">
        <v>81</v>
      </c>
      <c r="J596" s="4" t="s">
        <v>38</v>
      </c>
      <c r="K596" s="5">
        <v>3</v>
      </c>
      <c r="L596" s="4" t="s">
        <v>119</v>
      </c>
      <c r="M596" s="4" t="s">
        <v>1044</v>
      </c>
      <c r="N596" s="4" t="s">
        <v>47</v>
      </c>
      <c r="O596" s="6">
        <v>45250</v>
      </c>
      <c r="P596" s="4" t="s">
        <v>927</v>
      </c>
      <c r="Q596" s="4" t="s">
        <v>122</v>
      </c>
      <c r="R596" s="4" t="s">
        <v>36</v>
      </c>
      <c r="S596" s="4"/>
      <c r="T596" s="4"/>
      <c r="U596" s="4"/>
      <c r="V596" s="4" t="s">
        <v>1372</v>
      </c>
      <c r="W596" s="4"/>
      <c r="X596" s="4"/>
      <c r="Y596" s="4"/>
      <c r="Z596" s="4"/>
      <c r="AA596" s="4"/>
      <c r="AB596" s="4"/>
      <c r="AC596" s="4"/>
      <c r="AD596" s="4">
        <f t="shared" si="9"/>
        <v>18</v>
      </c>
    </row>
    <row r="597" spans="1:30" ht="39.75" thickBot="1" x14ac:dyDescent="0.3">
      <c r="A597" s="3">
        <v>45051.475752314815</v>
      </c>
      <c r="B597" s="4" t="s">
        <v>1123</v>
      </c>
      <c r="C597" s="4" t="s">
        <v>1123</v>
      </c>
      <c r="D597" s="31" t="s">
        <v>27</v>
      </c>
      <c r="E597" s="4" t="s">
        <v>1142</v>
      </c>
      <c r="F597" s="5">
        <v>623659483</v>
      </c>
      <c r="G597" s="4"/>
      <c r="H597" s="4" t="s">
        <v>1133</v>
      </c>
      <c r="I597" s="5">
        <v>80</v>
      </c>
      <c r="J597" s="4" t="s">
        <v>101</v>
      </c>
      <c r="K597" s="5">
        <v>40</v>
      </c>
      <c r="L597" s="4" t="s">
        <v>1143</v>
      </c>
      <c r="M597" s="4" t="s">
        <v>1126</v>
      </c>
      <c r="N597" s="4" t="s">
        <v>33</v>
      </c>
      <c r="O597" s="6">
        <v>45057</v>
      </c>
      <c r="P597" s="4" t="s">
        <v>1127</v>
      </c>
      <c r="Q597" s="4" t="s">
        <v>1128</v>
      </c>
      <c r="R597" s="4" t="s">
        <v>36</v>
      </c>
      <c r="S597" s="4"/>
      <c r="T597" s="4"/>
      <c r="U597" s="4"/>
      <c r="V597" s="4" t="s">
        <v>1372</v>
      </c>
      <c r="W597" s="4"/>
      <c r="X597" s="4"/>
      <c r="Y597" s="4"/>
      <c r="Z597" s="4"/>
      <c r="AA597" s="4"/>
      <c r="AB597" s="4"/>
      <c r="AC597" s="4"/>
      <c r="AD597" s="4">
        <f t="shared" si="9"/>
        <v>18</v>
      </c>
    </row>
    <row r="598" spans="1:30" ht="27" thickBot="1" x14ac:dyDescent="0.3">
      <c r="A598" s="3">
        <v>45051.47896990741</v>
      </c>
      <c r="B598" s="4" t="s">
        <v>614</v>
      </c>
      <c r="C598" s="4" t="s">
        <v>614</v>
      </c>
      <c r="D598" s="31" t="s">
        <v>42</v>
      </c>
      <c r="E598" s="4" t="s">
        <v>1144</v>
      </c>
      <c r="F598" s="5">
        <v>621272756</v>
      </c>
      <c r="G598" s="4"/>
      <c r="H598" s="4" t="s">
        <v>352</v>
      </c>
      <c r="I598" s="5">
        <v>10</v>
      </c>
      <c r="J598" s="4" t="s">
        <v>38</v>
      </c>
      <c r="K598" s="5">
        <v>2</v>
      </c>
      <c r="L598" s="4" t="s">
        <v>93</v>
      </c>
      <c r="M598" s="4" t="s">
        <v>937</v>
      </c>
      <c r="N598" s="4" t="s">
        <v>33</v>
      </c>
      <c r="O598" s="6">
        <v>45052</v>
      </c>
      <c r="P598" s="4"/>
      <c r="Q598" s="4" t="s">
        <v>348</v>
      </c>
      <c r="R598" s="4" t="s">
        <v>36</v>
      </c>
      <c r="S598" s="4" t="s">
        <v>59</v>
      </c>
      <c r="T598" s="5">
        <v>2</v>
      </c>
      <c r="U598" s="6">
        <v>45054</v>
      </c>
      <c r="V598" s="4" t="s">
        <v>1353</v>
      </c>
      <c r="W598" s="10" t="s">
        <v>933</v>
      </c>
      <c r="X598" s="4"/>
      <c r="Y598" s="4"/>
      <c r="Z598" s="4"/>
      <c r="AA598" s="4"/>
      <c r="AB598" s="4"/>
      <c r="AC598" s="4"/>
      <c r="AD598" s="4">
        <f t="shared" si="9"/>
        <v>18</v>
      </c>
    </row>
    <row r="599" spans="1:30" ht="27" thickBot="1" x14ac:dyDescent="0.3">
      <c r="A599" s="3">
        <v>45051.479444444441</v>
      </c>
      <c r="B599" s="4" t="s">
        <v>1123</v>
      </c>
      <c r="C599" s="4" t="s">
        <v>1123</v>
      </c>
      <c r="D599" s="31" t="s">
        <v>42</v>
      </c>
      <c r="E599" s="4" t="s">
        <v>1145</v>
      </c>
      <c r="F599" s="5">
        <v>622307594</v>
      </c>
      <c r="G599" s="4"/>
      <c r="H599" s="4" t="s">
        <v>1125</v>
      </c>
      <c r="I599" s="5">
        <v>22</v>
      </c>
      <c r="J599" s="4" t="s">
        <v>38</v>
      </c>
      <c r="K599" s="5">
        <v>1</v>
      </c>
      <c r="L599" s="4" t="s">
        <v>349</v>
      </c>
      <c r="M599" s="4" t="s">
        <v>349</v>
      </c>
      <c r="N599" s="4" t="s">
        <v>41</v>
      </c>
      <c r="O599" s="6">
        <v>45059</v>
      </c>
      <c r="P599" s="4" t="s">
        <v>1134</v>
      </c>
      <c r="Q599" s="4" t="s">
        <v>1128</v>
      </c>
      <c r="R599" s="4" t="s">
        <v>67</v>
      </c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>
        <f t="shared" si="9"/>
        <v>18</v>
      </c>
    </row>
    <row r="600" spans="1:30" ht="39.75" thickBot="1" x14ac:dyDescent="0.3">
      <c r="A600" s="3">
        <v>45051.482407407406</v>
      </c>
      <c r="B600" s="4" t="s">
        <v>115</v>
      </c>
      <c r="C600" s="4" t="s">
        <v>116</v>
      </c>
      <c r="D600" s="31" t="s">
        <v>42</v>
      </c>
      <c r="E600" s="4" t="s">
        <v>1146</v>
      </c>
      <c r="F600" s="5">
        <v>620834175</v>
      </c>
      <c r="G600" s="4"/>
      <c r="H600" s="4" t="s">
        <v>925</v>
      </c>
      <c r="I600" s="5">
        <v>95</v>
      </c>
      <c r="J600" s="4" t="s">
        <v>38</v>
      </c>
      <c r="K600" s="5">
        <v>4</v>
      </c>
      <c r="L600" s="4" t="s">
        <v>119</v>
      </c>
      <c r="M600" s="4" t="s">
        <v>1044</v>
      </c>
      <c r="N600" s="4" t="s">
        <v>47</v>
      </c>
      <c r="O600" s="6">
        <v>45251</v>
      </c>
      <c r="P600" s="4" t="s">
        <v>927</v>
      </c>
      <c r="Q600" s="4" t="s">
        <v>122</v>
      </c>
      <c r="R600" s="4" t="s">
        <v>36</v>
      </c>
      <c r="S600" s="4" t="s">
        <v>59</v>
      </c>
      <c r="T600" s="5">
        <v>4</v>
      </c>
      <c r="U600" s="6">
        <v>45055</v>
      </c>
      <c r="V600" s="4" t="s">
        <v>1353</v>
      </c>
      <c r="W600" s="4" t="s">
        <v>928</v>
      </c>
      <c r="X600" s="4"/>
      <c r="Y600" s="4"/>
      <c r="Z600" s="4"/>
      <c r="AA600" s="4"/>
      <c r="AB600" s="4"/>
      <c r="AC600" s="4"/>
      <c r="AD600" s="4">
        <f t="shared" si="9"/>
        <v>18</v>
      </c>
    </row>
    <row r="601" spans="1:30" ht="27" thickBot="1" x14ac:dyDescent="0.3">
      <c r="A601" s="3">
        <v>45051.511770833335</v>
      </c>
      <c r="B601" s="4" t="s">
        <v>1769</v>
      </c>
      <c r="C601" s="4" t="s">
        <v>1117</v>
      </c>
      <c r="D601" s="31" t="s">
        <v>42</v>
      </c>
      <c r="E601" s="4" t="s">
        <v>1147</v>
      </c>
      <c r="F601" s="5">
        <v>628064799</v>
      </c>
      <c r="G601" s="5">
        <v>628064799</v>
      </c>
      <c r="H601" s="4" t="s">
        <v>1148</v>
      </c>
      <c r="I601" s="5">
        <v>20</v>
      </c>
      <c r="J601" s="4" t="s">
        <v>38</v>
      </c>
      <c r="K601" s="5">
        <v>5</v>
      </c>
      <c r="L601" s="4" t="s">
        <v>93</v>
      </c>
      <c r="M601" s="4" t="s">
        <v>93</v>
      </c>
      <c r="N601" s="4" t="s">
        <v>47</v>
      </c>
      <c r="O601" s="6">
        <v>45052</v>
      </c>
      <c r="P601" s="4" t="s">
        <v>574</v>
      </c>
      <c r="Q601" s="4" t="s">
        <v>232</v>
      </c>
      <c r="R601" s="4" t="s">
        <v>36</v>
      </c>
      <c r="S601" s="4" t="s">
        <v>59</v>
      </c>
      <c r="T601" s="5">
        <v>5</v>
      </c>
      <c r="U601" s="6">
        <v>45054</v>
      </c>
      <c r="V601" s="4" t="s">
        <v>1353</v>
      </c>
      <c r="W601" s="4" t="s">
        <v>1119</v>
      </c>
      <c r="X601" s="4"/>
      <c r="Y601" s="4"/>
      <c r="Z601" s="4"/>
      <c r="AA601" s="4"/>
      <c r="AB601" s="4"/>
      <c r="AC601" s="4"/>
      <c r="AD601" s="4">
        <f t="shared" si="9"/>
        <v>18</v>
      </c>
    </row>
    <row r="602" spans="1:30" ht="39.75" thickBot="1" x14ac:dyDescent="0.3">
      <c r="A602" s="3">
        <v>45051.644814814812</v>
      </c>
      <c r="B602" s="4" t="s">
        <v>552</v>
      </c>
      <c r="C602" s="4" t="s">
        <v>553</v>
      </c>
      <c r="D602" s="31" t="s">
        <v>42</v>
      </c>
      <c r="E602" s="4" t="s">
        <v>1149</v>
      </c>
      <c r="F602" s="5">
        <v>622553663</v>
      </c>
      <c r="G602" s="4"/>
      <c r="H602" s="4" t="s">
        <v>1150</v>
      </c>
      <c r="I602" s="5">
        <v>95</v>
      </c>
      <c r="J602" s="4" t="s">
        <v>38</v>
      </c>
      <c r="K602" s="5">
        <v>10</v>
      </c>
      <c r="L602" s="4" t="s">
        <v>1151</v>
      </c>
      <c r="M602" s="4" t="s">
        <v>1151</v>
      </c>
      <c r="N602" s="4" t="s">
        <v>47</v>
      </c>
      <c r="O602" s="6">
        <v>45053</v>
      </c>
      <c r="P602" s="4"/>
      <c r="Q602" s="4" t="s">
        <v>558</v>
      </c>
      <c r="R602" s="4" t="s">
        <v>36</v>
      </c>
      <c r="S602" s="4" t="s">
        <v>59</v>
      </c>
      <c r="T602" s="5">
        <v>10</v>
      </c>
      <c r="U602" s="6">
        <v>45054</v>
      </c>
      <c r="V602" s="4" t="s">
        <v>1353</v>
      </c>
      <c r="W602" s="4" t="s">
        <v>668</v>
      </c>
      <c r="X602" s="4"/>
      <c r="Y602" s="4"/>
      <c r="Z602" s="4"/>
      <c r="AA602" s="4"/>
      <c r="AB602" s="4"/>
      <c r="AC602" s="4"/>
      <c r="AD602" s="4">
        <f t="shared" si="9"/>
        <v>18</v>
      </c>
    </row>
    <row r="603" spans="1:30" ht="39.75" thickBot="1" x14ac:dyDescent="0.3">
      <c r="A603" s="3">
        <v>45051.647268518522</v>
      </c>
      <c r="B603" s="4" t="s">
        <v>552</v>
      </c>
      <c r="C603" s="4" t="s">
        <v>553</v>
      </c>
      <c r="D603" s="31" t="s">
        <v>42</v>
      </c>
      <c r="E603" s="4" t="s">
        <v>1152</v>
      </c>
      <c r="F603" s="5">
        <v>626110531</v>
      </c>
      <c r="G603" s="4"/>
      <c r="H603" s="4" t="s">
        <v>1153</v>
      </c>
      <c r="I603" s="5">
        <v>5</v>
      </c>
      <c r="J603" s="4" t="s">
        <v>38</v>
      </c>
      <c r="K603" s="5">
        <v>3</v>
      </c>
      <c r="L603" s="4" t="s">
        <v>93</v>
      </c>
      <c r="M603" s="4" t="s">
        <v>93</v>
      </c>
      <c r="N603" s="4" t="s">
        <v>47</v>
      </c>
      <c r="O603" s="6">
        <v>45052</v>
      </c>
      <c r="P603" s="4"/>
      <c r="Q603" s="4" t="s">
        <v>558</v>
      </c>
      <c r="R603" s="4" t="s">
        <v>36</v>
      </c>
      <c r="S603" s="4" t="s">
        <v>59</v>
      </c>
      <c r="T603" s="5">
        <v>3</v>
      </c>
      <c r="U603" s="6">
        <v>45054</v>
      </c>
      <c r="V603" s="4" t="s">
        <v>1353</v>
      </c>
      <c r="W603" s="4" t="s">
        <v>1154</v>
      </c>
      <c r="X603" s="4"/>
      <c r="Y603" s="4"/>
      <c r="Z603" s="4"/>
      <c r="AA603" s="4"/>
      <c r="AB603" s="4"/>
      <c r="AC603" s="4"/>
      <c r="AD603" s="4">
        <f t="shared" si="9"/>
        <v>18</v>
      </c>
    </row>
    <row r="604" spans="1:30" ht="27" thickBot="1" x14ac:dyDescent="0.3">
      <c r="A604" s="3">
        <v>45051.655891203707</v>
      </c>
      <c r="B604" s="4" t="s">
        <v>234</v>
      </c>
      <c r="C604" s="4" t="s">
        <v>235</v>
      </c>
      <c r="D604" s="31" t="s">
        <v>42</v>
      </c>
      <c r="E604" s="4" t="s">
        <v>1155</v>
      </c>
      <c r="F604" s="5">
        <v>621421610</v>
      </c>
      <c r="G604" s="4"/>
      <c r="H604" s="4" t="s">
        <v>237</v>
      </c>
      <c r="I604" s="5">
        <v>65</v>
      </c>
      <c r="J604" s="4" t="s">
        <v>38</v>
      </c>
      <c r="K604" s="5">
        <v>4</v>
      </c>
      <c r="L604" s="4" t="s">
        <v>314</v>
      </c>
      <c r="M604" s="4" t="s">
        <v>314</v>
      </c>
      <c r="N604" s="4" t="s">
        <v>47</v>
      </c>
      <c r="O604" s="6">
        <v>45052</v>
      </c>
      <c r="P604" s="4"/>
      <c r="Q604" s="4" t="s">
        <v>240</v>
      </c>
      <c r="R604" s="4" t="s">
        <v>36</v>
      </c>
      <c r="S604" s="4" t="s">
        <v>59</v>
      </c>
      <c r="T604" s="5">
        <v>4</v>
      </c>
      <c r="U604" s="6">
        <v>45055</v>
      </c>
      <c r="V604" s="4" t="s">
        <v>1353</v>
      </c>
      <c r="W604" s="4" t="s">
        <v>694</v>
      </c>
      <c r="X604" s="4"/>
      <c r="Y604" s="4"/>
      <c r="Z604" s="4"/>
      <c r="AA604" s="4"/>
      <c r="AB604" s="4"/>
      <c r="AC604" s="4"/>
      <c r="AD604" s="4">
        <f t="shared" si="9"/>
        <v>18</v>
      </c>
    </row>
    <row r="605" spans="1:30" ht="39.75" thickBot="1" x14ac:dyDescent="0.3">
      <c r="A605" s="3">
        <v>45051.697326388887</v>
      </c>
      <c r="B605" s="4" t="s">
        <v>1768</v>
      </c>
      <c r="C605" s="4" t="s">
        <v>158</v>
      </c>
      <c r="D605" s="31" t="s">
        <v>27</v>
      </c>
      <c r="E605" s="4" t="s">
        <v>1156</v>
      </c>
      <c r="F605" s="5">
        <v>629007465</v>
      </c>
      <c r="G605" s="5">
        <v>0</v>
      </c>
      <c r="H605" s="4" t="s">
        <v>160</v>
      </c>
      <c r="I605" s="5">
        <v>21</v>
      </c>
      <c r="J605" s="4" t="s">
        <v>101</v>
      </c>
      <c r="K605" s="5">
        <v>300</v>
      </c>
      <c r="L605" s="4" t="s">
        <v>161</v>
      </c>
      <c r="M605" s="4" t="s">
        <v>161</v>
      </c>
      <c r="N605" s="4" t="s">
        <v>47</v>
      </c>
      <c r="O605" s="6">
        <v>45061</v>
      </c>
      <c r="P605" s="4" t="s">
        <v>1157</v>
      </c>
      <c r="Q605" s="4" t="s">
        <v>130</v>
      </c>
      <c r="R605" s="4" t="s">
        <v>36</v>
      </c>
      <c r="S605" s="4"/>
      <c r="T605" s="4"/>
      <c r="U605" s="4"/>
      <c r="V605" s="4" t="s">
        <v>1372</v>
      </c>
      <c r="W605" s="4"/>
      <c r="X605" s="4"/>
      <c r="Y605" s="4"/>
      <c r="Z605" s="4"/>
      <c r="AA605" s="4"/>
      <c r="AB605" s="4"/>
      <c r="AC605" s="4"/>
      <c r="AD605" s="4">
        <f t="shared" si="9"/>
        <v>18</v>
      </c>
    </row>
    <row r="606" spans="1:30" ht="78" thickBot="1" x14ac:dyDescent="0.3">
      <c r="A606" s="3">
        <v>45051.702523148146</v>
      </c>
      <c r="B606" s="4" t="s">
        <v>1768</v>
      </c>
      <c r="C606" s="4" t="s">
        <v>158</v>
      </c>
      <c r="D606" s="31" t="s">
        <v>27</v>
      </c>
      <c r="E606" s="4" t="s">
        <v>1158</v>
      </c>
      <c r="F606" s="5">
        <v>624639206</v>
      </c>
      <c r="G606" s="5">
        <v>0</v>
      </c>
      <c r="H606" s="4" t="s">
        <v>584</v>
      </c>
      <c r="I606" s="5">
        <v>53</v>
      </c>
      <c r="J606" s="4" t="s">
        <v>101</v>
      </c>
      <c r="K606" s="5">
        <v>200</v>
      </c>
      <c r="L606" s="4" t="s">
        <v>161</v>
      </c>
      <c r="M606" s="4" t="s">
        <v>161</v>
      </c>
      <c r="N606" s="4" t="s">
        <v>47</v>
      </c>
      <c r="O606" s="6">
        <v>45061</v>
      </c>
      <c r="P606" s="4" t="s">
        <v>1159</v>
      </c>
      <c r="Q606" s="4" t="s">
        <v>130</v>
      </c>
      <c r="R606" s="4" t="s">
        <v>36</v>
      </c>
      <c r="S606" s="4"/>
      <c r="T606" s="4"/>
      <c r="U606" s="4"/>
      <c r="V606" s="4" t="s">
        <v>1372</v>
      </c>
      <c r="W606" s="4"/>
      <c r="X606" s="4"/>
      <c r="Y606" s="4"/>
      <c r="Z606" s="4"/>
      <c r="AA606" s="4"/>
      <c r="AB606" s="4"/>
      <c r="AC606" s="4"/>
      <c r="AD606" s="4">
        <f t="shared" si="9"/>
        <v>18</v>
      </c>
    </row>
    <row r="607" spans="1:30" ht="27" thickBot="1" x14ac:dyDescent="0.3">
      <c r="A607" s="3">
        <v>45051.898599537039</v>
      </c>
      <c r="B607" s="4" t="s">
        <v>234</v>
      </c>
      <c r="C607" s="4" t="s">
        <v>235</v>
      </c>
      <c r="D607" s="31" t="s">
        <v>42</v>
      </c>
      <c r="E607" s="4" t="s">
        <v>1160</v>
      </c>
      <c r="F607" s="5">
        <v>610299851</v>
      </c>
      <c r="G607" s="4"/>
      <c r="H607" s="4" t="s">
        <v>451</v>
      </c>
      <c r="I607" s="5">
        <v>75</v>
      </c>
      <c r="J607" s="4" t="s">
        <v>38</v>
      </c>
      <c r="K607" s="5">
        <v>10</v>
      </c>
      <c r="L607" s="4" t="s">
        <v>767</v>
      </c>
      <c r="M607" s="4" t="s">
        <v>767</v>
      </c>
      <c r="N607" s="4" t="s">
        <v>47</v>
      </c>
      <c r="O607" s="6">
        <v>45052</v>
      </c>
      <c r="P607" s="4"/>
      <c r="Q607" s="4" t="s">
        <v>240</v>
      </c>
      <c r="R607" s="4" t="s">
        <v>36</v>
      </c>
      <c r="S607" s="4" t="s">
        <v>59</v>
      </c>
      <c r="T607" s="5">
        <v>10</v>
      </c>
      <c r="U607" s="6">
        <v>45054</v>
      </c>
      <c r="V607" s="4" t="s">
        <v>1353</v>
      </c>
      <c r="W607" s="4" t="s">
        <v>1161</v>
      </c>
      <c r="X607" s="4"/>
      <c r="Y607" s="4"/>
      <c r="Z607" s="4"/>
      <c r="AA607" s="4"/>
      <c r="AB607" s="4"/>
      <c r="AC607" s="4"/>
      <c r="AD607" s="4">
        <f t="shared" si="9"/>
        <v>18</v>
      </c>
    </row>
    <row r="608" spans="1:30" ht="27" thickBot="1" x14ac:dyDescent="0.3">
      <c r="A608" s="3">
        <v>45052.445706018516</v>
      </c>
      <c r="B608" s="4" t="s">
        <v>391</v>
      </c>
      <c r="C608" s="4" t="s">
        <v>392</v>
      </c>
      <c r="D608" s="31" t="s">
        <v>42</v>
      </c>
      <c r="E608" s="4" t="s">
        <v>1162</v>
      </c>
      <c r="F608" s="5">
        <v>622041525</v>
      </c>
      <c r="G608" s="5">
        <v>622041525</v>
      </c>
      <c r="H608" s="4" t="s">
        <v>1163</v>
      </c>
      <c r="I608" s="5">
        <v>25</v>
      </c>
      <c r="J608" s="4" t="s">
        <v>38</v>
      </c>
      <c r="K608" s="5">
        <v>5</v>
      </c>
      <c r="L608" s="4" t="s">
        <v>120</v>
      </c>
      <c r="M608" s="4" t="s">
        <v>120</v>
      </c>
      <c r="N608" s="4" t="s">
        <v>33</v>
      </c>
      <c r="O608" s="6">
        <v>45051</v>
      </c>
      <c r="P608" s="4" t="s">
        <v>1164</v>
      </c>
      <c r="Q608" s="4" t="s">
        <v>397</v>
      </c>
      <c r="R608" s="4" t="s">
        <v>36</v>
      </c>
      <c r="S608" s="4" t="s">
        <v>59</v>
      </c>
      <c r="T608" s="5">
        <v>1</v>
      </c>
      <c r="U608" s="6">
        <v>45054</v>
      </c>
      <c r="V608" s="4" t="s">
        <v>1353</v>
      </c>
      <c r="W608" s="4" t="s">
        <v>1165</v>
      </c>
      <c r="X608" s="4"/>
      <c r="Y608" s="4"/>
      <c r="Z608" s="4"/>
      <c r="AA608" s="4"/>
      <c r="AB608" s="4"/>
      <c r="AC608" s="4"/>
      <c r="AD608" s="4">
        <f t="shared" si="9"/>
        <v>18</v>
      </c>
    </row>
    <row r="609" spans="1:30" ht="27" thickBot="1" x14ac:dyDescent="0.3">
      <c r="A609" s="3">
        <v>45052.449907407405</v>
      </c>
      <c r="B609" s="4" t="s">
        <v>391</v>
      </c>
      <c r="C609" s="4" t="s">
        <v>392</v>
      </c>
      <c r="D609" s="31" t="s">
        <v>42</v>
      </c>
      <c r="E609" s="4" t="s">
        <v>1166</v>
      </c>
      <c r="F609" s="5">
        <v>622699919</v>
      </c>
      <c r="G609" s="4"/>
      <c r="H609" s="4" t="s">
        <v>622</v>
      </c>
      <c r="I609" s="5">
        <v>15</v>
      </c>
      <c r="J609" s="4" t="s">
        <v>38</v>
      </c>
      <c r="K609" s="5">
        <v>5</v>
      </c>
      <c r="L609" s="4" t="s">
        <v>120</v>
      </c>
      <c r="M609" s="4" t="s">
        <v>120</v>
      </c>
      <c r="N609" s="4" t="s">
        <v>33</v>
      </c>
      <c r="O609" s="6">
        <v>45051</v>
      </c>
      <c r="P609" s="4" t="s">
        <v>1167</v>
      </c>
      <c r="Q609" s="4" t="s">
        <v>397</v>
      </c>
      <c r="R609" s="4" t="s">
        <v>36</v>
      </c>
      <c r="S609" s="4" t="s">
        <v>59</v>
      </c>
      <c r="T609" s="5">
        <v>5</v>
      </c>
      <c r="U609" s="6">
        <v>45054</v>
      </c>
      <c r="V609" s="4" t="s">
        <v>1353</v>
      </c>
      <c r="W609" s="4" t="s">
        <v>1168</v>
      </c>
      <c r="X609" s="4"/>
      <c r="Y609" s="4"/>
      <c r="Z609" s="4"/>
      <c r="AA609" s="4"/>
      <c r="AB609" s="4"/>
      <c r="AC609" s="4"/>
      <c r="AD609" s="4">
        <f t="shared" si="9"/>
        <v>18</v>
      </c>
    </row>
    <row r="610" spans="1:30" ht="27" thickBot="1" x14ac:dyDescent="0.3">
      <c r="A610" s="3">
        <v>45052.452569444446</v>
      </c>
      <c r="B610" s="4" t="s">
        <v>391</v>
      </c>
      <c r="C610" s="4" t="s">
        <v>392</v>
      </c>
      <c r="D610" s="31" t="s">
        <v>42</v>
      </c>
      <c r="E610" s="4" t="s">
        <v>1169</v>
      </c>
      <c r="F610" s="5">
        <v>621799324</v>
      </c>
      <c r="G610" s="5">
        <v>621799324</v>
      </c>
      <c r="H610" s="4" t="s">
        <v>622</v>
      </c>
      <c r="I610" s="5">
        <v>20</v>
      </c>
      <c r="J610" s="4" t="s">
        <v>38</v>
      </c>
      <c r="K610" s="5">
        <v>3</v>
      </c>
      <c r="L610" s="4" t="s">
        <v>1170</v>
      </c>
      <c r="M610" s="4" t="s">
        <v>120</v>
      </c>
      <c r="N610" s="4" t="s">
        <v>33</v>
      </c>
      <c r="O610" s="6">
        <v>45052</v>
      </c>
      <c r="P610" s="4" t="s">
        <v>1171</v>
      </c>
      <c r="Q610" s="4" t="s">
        <v>397</v>
      </c>
      <c r="R610" s="4" t="s">
        <v>36</v>
      </c>
      <c r="S610" s="4" t="s">
        <v>59</v>
      </c>
      <c r="T610" s="5">
        <v>3</v>
      </c>
      <c r="U610" s="6">
        <v>45054</v>
      </c>
      <c r="V610" s="4" t="s">
        <v>1353</v>
      </c>
      <c r="W610" s="4" t="s">
        <v>661</v>
      </c>
      <c r="X610" s="4"/>
      <c r="Y610" s="4"/>
      <c r="Z610" s="4"/>
      <c r="AA610" s="4"/>
      <c r="AB610" s="4"/>
      <c r="AC610" s="4"/>
      <c r="AD610" s="4">
        <f t="shared" si="9"/>
        <v>18</v>
      </c>
    </row>
    <row r="611" spans="1:30" ht="27" thickBot="1" x14ac:dyDescent="0.3">
      <c r="A611" s="3">
        <v>45052.454618055555</v>
      </c>
      <c r="B611" s="4" t="s">
        <v>241</v>
      </c>
      <c r="C611" s="4" t="s">
        <v>606</v>
      </c>
      <c r="D611" s="31" t="s">
        <v>42</v>
      </c>
      <c r="E611" s="4" t="s">
        <v>1172</v>
      </c>
      <c r="F611" s="5">
        <v>621164764</v>
      </c>
      <c r="G611" s="4"/>
      <c r="H611" s="4" t="s">
        <v>1173</v>
      </c>
      <c r="I611" s="5">
        <v>89</v>
      </c>
      <c r="J611" s="4" t="s">
        <v>38</v>
      </c>
      <c r="K611" s="5">
        <v>50</v>
      </c>
      <c r="L611" s="4" t="s">
        <v>1174</v>
      </c>
      <c r="M611" s="4" t="s">
        <v>147</v>
      </c>
      <c r="N611" s="4" t="s">
        <v>33</v>
      </c>
      <c r="O611" s="6">
        <v>45056</v>
      </c>
      <c r="P611" s="4" t="s">
        <v>706</v>
      </c>
      <c r="Q611" s="4" t="s">
        <v>247</v>
      </c>
      <c r="R611" s="4" t="s">
        <v>36</v>
      </c>
      <c r="S611" s="4" t="s">
        <v>59</v>
      </c>
      <c r="T611" s="5">
        <v>50</v>
      </c>
      <c r="U611" s="6">
        <v>45061</v>
      </c>
      <c r="V611" s="4" t="s">
        <v>1373</v>
      </c>
      <c r="W611" s="4" t="s">
        <v>1379</v>
      </c>
      <c r="X611" s="4"/>
      <c r="Y611" s="4"/>
      <c r="Z611" s="4"/>
      <c r="AA611" s="4"/>
      <c r="AB611" s="4"/>
      <c r="AC611" s="4"/>
      <c r="AD611" s="4">
        <f t="shared" si="9"/>
        <v>18</v>
      </c>
    </row>
    <row r="612" spans="1:30" ht="27" thickBot="1" x14ac:dyDescent="0.3">
      <c r="A612" s="3">
        <v>45052.455659722225</v>
      </c>
      <c r="B612" s="4" t="s">
        <v>391</v>
      </c>
      <c r="C612" s="4" t="s">
        <v>392</v>
      </c>
      <c r="D612" s="31" t="s">
        <v>42</v>
      </c>
      <c r="E612" s="4" t="s">
        <v>1175</v>
      </c>
      <c r="F612" s="5">
        <v>625207694</v>
      </c>
      <c r="G612" s="5">
        <v>625207694</v>
      </c>
      <c r="H612" s="4" t="s">
        <v>622</v>
      </c>
      <c r="I612" s="5">
        <v>7</v>
      </c>
      <c r="J612" s="4" t="s">
        <v>38</v>
      </c>
      <c r="K612" s="5">
        <v>1</v>
      </c>
      <c r="L612" s="4" t="s">
        <v>120</v>
      </c>
      <c r="M612" s="4" t="s">
        <v>120</v>
      </c>
      <c r="N612" s="4" t="s">
        <v>33</v>
      </c>
      <c r="O612" s="6">
        <v>45052</v>
      </c>
      <c r="P612" s="4" t="s">
        <v>1176</v>
      </c>
      <c r="Q612" s="4" t="s">
        <v>397</v>
      </c>
      <c r="R612" s="4" t="s">
        <v>36</v>
      </c>
      <c r="S612" s="4" t="s">
        <v>59</v>
      </c>
      <c r="T612" s="5">
        <v>1</v>
      </c>
      <c r="U612" s="6">
        <v>45054</v>
      </c>
      <c r="V612" s="4" t="s">
        <v>1353</v>
      </c>
      <c r="W612" s="4" t="s">
        <v>1165</v>
      </c>
      <c r="X612" s="4"/>
      <c r="Y612" s="4"/>
      <c r="Z612" s="4"/>
      <c r="AA612" s="4"/>
      <c r="AB612" s="4"/>
      <c r="AC612" s="4"/>
      <c r="AD612" s="4">
        <f t="shared" si="9"/>
        <v>18</v>
      </c>
    </row>
    <row r="613" spans="1:30" ht="27" thickBot="1" x14ac:dyDescent="0.3">
      <c r="A613" s="3">
        <v>45052.458043981482</v>
      </c>
      <c r="B613" s="4" t="s">
        <v>391</v>
      </c>
      <c r="C613" s="4" t="s">
        <v>392</v>
      </c>
      <c r="D613" s="31" t="s">
        <v>42</v>
      </c>
      <c r="E613" s="4" t="s">
        <v>1177</v>
      </c>
      <c r="F613" s="5">
        <v>627605696</v>
      </c>
      <c r="G613" s="5">
        <v>627605696</v>
      </c>
      <c r="H613" s="4" t="s">
        <v>576</v>
      </c>
      <c r="I613" s="5">
        <v>1</v>
      </c>
      <c r="J613" s="4" t="s">
        <v>38</v>
      </c>
      <c r="K613" s="5">
        <v>4</v>
      </c>
      <c r="L613" s="4" t="s">
        <v>120</v>
      </c>
      <c r="M613" s="4" t="s">
        <v>120</v>
      </c>
      <c r="N613" s="4" t="s">
        <v>33</v>
      </c>
      <c r="O613" s="6">
        <v>45052</v>
      </c>
      <c r="P613" s="4" t="s">
        <v>1178</v>
      </c>
      <c r="Q613" s="4" t="s">
        <v>397</v>
      </c>
      <c r="R613" s="4" t="s">
        <v>36</v>
      </c>
      <c r="S613" s="4" t="s">
        <v>59</v>
      </c>
      <c r="T613" s="5">
        <v>4</v>
      </c>
      <c r="U613" s="6">
        <v>45054</v>
      </c>
      <c r="V613" s="4" t="s">
        <v>1353</v>
      </c>
      <c r="W613" s="4" t="s">
        <v>661</v>
      </c>
      <c r="X613" s="4"/>
      <c r="Y613" s="4"/>
      <c r="Z613" s="4"/>
      <c r="AA613" s="4"/>
      <c r="AB613" s="4"/>
      <c r="AC613" s="4"/>
      <c r="AD613" s="4">
        <f t="shared" si="9"/>
        <v>18</v>
      </c>
    </row>
    <row r="614" spans="1:30" ht="39.75" thickBot="1" x14ac:dyDescent="0.3">
      <c r="A614" s="3">
        <v>45052.458993055552</v>
      </c>
      <c r="B614" s="4" t="s">
        <v>53</v>
      </c>
      <c r="C614" s="4" t="s">
        <v>53</v>
      </c>
      <c r="D614" s="31" t="s">
        <v>42</v>
      </c>
      <c r="E614" s="4" t="s">
        <v>1179</v>
      </c>
      <c r="F614" s="5">
        <v>623549373</v>
      </c>
      <c r="G614" s="4"/>
      <c r="H614" s="4" t="s">
        <v>62</v>
      </c>
      <c r="I614" s="5">
        <v>4</v>
      </c>
      <c r="J614" s="4" t="s">
        <v>38</v>
      </c>
      <c r="K614" s="5">
        <v>3</v>
      </c>
      <c r="L614" s="4" t="s">
        <v>1180</v>
      </c>
      <c r="M614" s="4" t="s">
        <v>1180</v>
      </c>
      <c r="N614" s="4" t="s">
        <v>57</v>
      </c>
      <c r="O614" s="6">
        <v>45054</v>
      </c>
      <c r="P614" s="4"/>
      <c r="Q614" s="4" t="s">
        <v>58</v>
      </c>
      <c r="R614" s="4" t="s">
        <v>252</v>
      </c>
      <c r="S614" s="4" t="s">
        <v>59</v>
      </c>
      <c r="T614" s="5">
        <v>3</v>
      </c>
      <c r="U614" s="6">
        <v>45055</v>
      </c>
      <c r="V614" s="4" t="s">
        <v>1353</v>
      </c>
      <c r="W614" s="4" t="s">
        <v>1287</v>
      </c>
      <c r="X614" s="4"/>
      <c r="Y614" s="4"/>
      <c r="Z614" s="4"/>
      <c r="AA614" s="4"/>
      <c r="AB614" s="4"/>
      <c r="AC614" s="4"/>
      <c r="AD614" s="4">
        <f t="shared" si="9"/>
        <v>18</v>
      </c>
    </row>
    <row r="615" spans="1:30" ht="27" thickBot="1" x14ac:dyDescent="0.3">
      <c r="A615" s="3">
        <v>45052.459178240744</v>
      </c>
      <c r="B615" s="4" t="s">
        <v>241</v>
      </c>
      <c r="C615" s="4" t="s">
        <v>606</v>
      </c>
      <c r="D615" s="31" t="s">
        <v>27</v>
      </c>
      <c r="E615" s="4" t="s">
        <v>1181</v>
      </c>
      <c r="F615" s="5">
        <v>622867383</v>
      </c>
      <c r="G615" s="4"/>
      <c r="H615" s="4" t="s">
        <v>727</v>
      </c>
      <c r="I615" s="5">
        <v>32</v>
      </c>
      <c r="J615" s="4" t="s">
        <v>101</v>
      </c>
      <c r="K615" s="5">
        <v>40</v>
      </c>
      <c r="L615" s="4" t="s">
        <v>723</v>
      </c>
      <c r="M615" s="4" t="s">
        <v>147</v>
      </c>
      <c r="N615" s="4" t="s">
        <v>47</v>
      </c>
      <c r="O615" s="6">
        <v>45073</v>
      </c>
      <c r="P615" s="4" t="s">
        <v>706</v>
      </c>
      <c r="Q615" s="4" t="s">
        <v>247</v>
      </c>
      <c r="R615" s="4" t="s">
        <v>36</v>
      </c>
      <c r="S615" s="4"/>
      <c r="T615" s="4"/>
      <c r="U615" s="4"/>
      <c r="V615" s="4" t="s">
        <v>1372</v>
      </c>
      <c r="W615" s="4"/>
      <c r="X615" s="4"/>
      <c r="Y615" s="4"/>
      <c r="Z615" s="4"/>
      <c r="AA615" s="4"/>
      <c r="AB615" s="4"/>
      <c r="AC615" s="4"/>
      <c r="AD615" s="4">
        <f t="shared" si="9"/>
        <v>18</v>
      </c>
    </row>
    <row r="616" spans="1:30" ht="27" thickBot="1" x14ac:dyDescent="0.3">
      <c r="A616" s="3">
        <v>45052.460613425923</v>
      </c>
      <c r="B616" s="4" t="s">
        <v>391</v>
      </c>
      <c r="C616" s="4" t="s">
        <v>392</v>
      </c>
      <c r="D616" s="31" t="s">
        <v>42</v>
      </c>
      <c r="E616" s="4" t="s">
        <v>1182</v>
      </c>
      <c r="F616" s="5">
        <v>620121512</v>
      </c>
      <c r="G616" s="5">
        <v>620121512</v>
      </c>
      <c r="H616" s="4" t="s">
        <v>622</v>
      </c>
      <c r="I616" s="5">
        <v>8</v>
      </c>
      <c r="J616" s="4" t="s">
        <v>38</v>
      </c>
      <c r="K616" s="5">
        <v>2</v>
      </c>
      <c r="L616" s="4" t="s">
        <v>120</v>
      </c>
      <c r="M616" s="4" t="s">
        <v>120</v>
      </c>
      <c r="N616" s="4" t="s">
        <v>33</v>
      </c>
      <c r="O616" s="6">
        <v>45052</v>
      </c>
      <c r="P616" s="4" t="s">
        <v>1183</v>
      </c>
      <c r="Q616" s="4" t="s">
        <v>397</v>
      </c>
      <c r="R616" s="4" t="s">
        <v>36</v>
      </c>
      <c r="S616" s="4" t="s">
        <v>59</v>
      </c>
      <c r="T616" s="5">
        <v>2</v>
      </c>
      <c r="U616" s="6">
        <v>45054</v>
      </c>
      <c r="V616" s="4" t="s">
        <v>1353</v>
      </c>
      <c r="W616" s="4" t="s">
        <v>1165</v>
      </c>
      <c r="X616" s="4"/>
      <c r="Y616" s="4"/>
      <c r="Z616" s="4"/>
      <c r="AA616" s="4"/>
      <c r="AB616" s="4"/>
      <c r="AC616" s="4"/>
      <c r="AD616" s="4">
        <f t="shared" si="9"/>
        <v>18</v>
      </c>
    </row>
    <row r="617" spans="1:30" ht="27" thickBot="1" x14ac:dyDescent="0.3">
      <c r="A617" s="3">
        <v>45052.462627314817</v>
      </c>
      <c r="B617" s="4" t="s">
        <v>391</v>
      </c>
      <c r="C617" s="4" t="s">
        <v>392</v>
      </c>
      <c r="D617" s="31" t="s">
        <v>42</v>
      </c>
      <c r="E617" s="4" t="s">
        <v>1184</v>
      </c>
      <c r="F617" s="5">
        <v>621814547</v>
      </c>
      <c r="G617" s="5">
        <v>621814547</v>
      </c>
      <c r="H617" s="4" t="s">
        <v>576</v>
      </c>
      <c r="I617" s="5">
        <v>1</v>
      </c>
      <c r="J617" s="4" t="s">
        <v>38</v>
      </c>
      <c r="K617" s="5">
        <v>1</v>
      </c>
      <c r="L617" s="4" t="s">
        <v>120</v>
      </c>
      <c r="M617" s="4" t="s">
        <v>120</v>
      </c>
      <c r="N617" s="4" t="s">
        <v>33</v>
      </c>
      <c r="O617" s="6">
        <v>45052</v>
      </c>
      <c r="P617" s="4" t="s">
        <v>1185</v>
      </c>
      <c r="Q617" s="4" t="s">
        <v>397</v>
      </c>
      <c r="R617" s="4" t="s">
        <v>36</v>
      </c>
      <c r="S617" s="4" t="s">
        <v>59</v>
      </c>
      <c r="T617" s="5">
        <v>1</v>
      </c>
      <c r="U617" s="6">
        <v>45054</v>
      </c>
      <c r="V617" s="4" t="s">
        <v>1353</v>
      </c>
      <c r="W617" s="4" t="s">
        <v>620</v>
      </c>
      <c r="X617" s="4"/>
      <c r="Y617" s="4"/>
      <c r="Z617" s="4"/>
      <c r="AA617" s="4"/>
      <c r="AB617" s="4"/>
      <c r="AC617" s="4"/>
      <c r="AD617" s="4">
        <f t="shared" si="9"/>
        <v>18</v>
      </c>
    </row>
    <row r="618" spans="1:30" ht="39.75" thickBot="1" x14ac:dyDescent="0.3">
      <c r="A618" s="3">
        <v>45052.524664351855</v>
      </c>
      <c r="B618" s="4" t="s">
        <v>79</v>
      </c>
      <c r="C618" s="4" t="s">
        <v>80</v>
      </c>
      <c r="D618" s="31" t="s">
        <v>42</v>
      </c>
      <c r="E618" s="4" t="s">
        <v>1186</v>
      </c>
      <c r="F618" s="5">
        <v>622666228</v>
      </c>
      <c r="G618" s="5">
        <v>0</v>
      </c>
      <c r="H618" s="4" t="s">
        <v>529</v>
      </c>
      <c r="I618" s="5">
        <v>5</v>
      </c>
      <c r="J618" s="4" t="s">
        <v>38</v>
      </c>
      <c r="K618" s="5">
        <v>1</v>
      </c>
      <c r="L618" s="4" t="s">
        <v>1187</v>
      </c>
      <c r="M618" s="4" t="s">
        <v>89</v>
      </c>
      <c r="N618" s="4" t="s">
        <v>33</v>
      </c>
      <c r="O618" s="6">
        <v>45052</v>
      </c>
      <c r="P618" s="4" t="s">
        <v>85</v>
      </c>
      <c r="Q618" s="4" t="s">
        <v>86</v>
      </c>
      <c r="R618" s="4" t="s">
        <v>36</v>
      </c>
      <c r="S618" s="4" t="s">
        <v>59</v>
      </c>
      <c r="T618" s="5">
        <v>1</v>
      </c>
      <c r="U618" s="6">
        <v>45054</v>
      </c>
      <c r="V618" s="4" t="s">
        <v>1353</v>
      </c>
      <c r="W618" s="4" t="s">
        <v>964</v>
      </c>
      <c r="X618" s="4"/>
      <c r="Y618" s="4"/>
      <c r="Z618" s="4"/>
      <c r="AA618" s="4"/>
      <c r="AB618" s="4"/>
      <c r="AC618" s="4"/>
      <c r="AD618" s="4">
        <f t="shared" si="9"/>
        <v>18</v>
      </c>
    </row>
    <row r="619" spans="1:30" ht="39.75" thickBot="1" x14ac:dyDescent="0.3">
      <c r="A619" s="3">
        <v>45052.5315625</v>
      </c>
      <c r="B619" s="4" t="s">
        <v>79</v>
      </c>
      <c r="C619" s="4" t="s">
        <v>80</v>
      </c>
      <c r="D619" s="31" t="s">
        <v>42</v>
      </c>
      <c r="E619" s="4" t="s">
        <v>1188</v>
      </c>
      <c r="F619" s="5">
        <v>624171386</v>
      </c>
      <c r="G619" s="5">
        <v>0</v>
      </c>
      <c r="H619" s="4" t="s">
        <v>365</v>
      </c>
      <c r="I619" s="5">
        <v>50</v>
      </c>
      <c r="J619" s="4" t="s">
        <v>38</v>
      </c>
      <c r="K619" s="5">
        <v>5</v>
      </c>
      <c r="L619" s="4" t="s">
        <v>223</v>
      </c>
      <c r="M619" s="4" t="s">
        <v>89</v>
      </c>
      <c r="N619" s="4" t="s">
        <v>57</v>
      </c>
      <c r="O619" s="6">
        <v>45053</v>
      </c>
      <c r="P619" s="4" t="s">
        <v>85</v>
      </c>
      <c r="Q619" s="4" t="s">
        <v>86</v>
      </c>
      <c r="R619" s="4" t="s">
        <v>36</v>
      </c>
      <c r="S619" s="4" t="s">
        <v>59</v>
      </c>
      <c r="T619" s="5">
        <v>5</v>
      </c>
      <c r="U619" s="6">
        <v>45054</v>
      </c>
      <c r="V619" s="4" t="s">
        <v>1353</v>
      </c>
      <c r="W619" s="4" t="s">
        <v>897</v>
      </c>
      <c r="X619" s="4"/>
      <c r="Y619" s="4"/>
      <c r="Z619" s="4"/>
      <c r="AA619" s="4"/>
      <c r="AB619" s="4"/>
      <c r="AC619" s="4"/>
      <c r="AD619" s="4">
        <f t="shared" si="9"/>
        <v>18</v>
      </c>
    </row>
    <row r="620" spans="1:30" ht="39.75" thickBot="1" x14ac:dyDescent="0.3">
      <c r="A620" s="3">
        <v>45052.559328703705</v>
      </c>
      <c r="B620" s="4" t="s">
        <v>79</v>
      </c>
      <c r="C620" s="4" t="s">
        <v>80</v>
      </c>
      <c r="D620" s="31" t="s">
        <v>42</v>
      </c>
      <c r="E620" s="4" t="s">
        <v>1189</v>
      </c>
      <c r="F620" s="5">
        <v>623878070</v>
      </c>
      <c r="G620" s="5">
        <v>0</v>
      </c>
      <c r="H620" s="4" t="s">
        <v>336</v>
      </c>
      <c r="I620" s="5">
        <v>45</v>
      </c>
      <c r="J620" s="4" t="s">
        <v>38</v>
      </c>
      <c r="K620" s="5">
        <v>2</v>
      </c>
      <c r="L620" s="4" t="s">
        <v>73</v>
      </c>
      <c r="M620" s="4" t="s">
        <v>89</v>
      </c>
      <c r="N620" s="4" t="s">
        <v>90</v>
      </c>
      <c r="O620" s="6">
        <v>45052</v>
      </c>
      <c r="P620" s="4" t="s">
        <v>85</v>
      </c>
      <c r="Q620" s="4" t="s">
        <v>86</v>
      </c>
      <c r="R620" s="4" t="s">
        <v>36</v>
      </c>
      <c r="S620" s="4" t="s">
        <v>59</v>
      </c>
      <c r="T620" s="5">
        <v>2</v>
      </c>
      <c r="U620" s="6">
        <v>45054</v>
      </c>
      <c r="V620" s="4" t="s">
        <v>1353</v>
      </c>
      <c r="W620" s="4" t="s">
        <v>1190</v>
      </c>
      <c r="X620" s="4"/>
      <c r="Y620" s="4"/>
      <c r="Z620" s="4"/>
      <c r="AA620" s="4"/>
      <c r="AB620" s="4"/>
      <c r="AC620" s="4"/>
      <c r="AD620" s="4">
        <f t="shared" si="9"/>
        <v>18</v>
      </c>
    </row>
    <row r="621" spans="1:30" ht="27" thickBot="1" x14ac:dyDescent="0.3">
      <c r="A621" s="3">
        <v>45052.566064814811</v>
      </c>
      <c r="B621" s="4" t="s">
        <v>391</v>
      </c>
      <c r="C621" s="4" t="s">
        <v>392</v>
      </c>
      <c r="D621" s="31" t="s">
        <v>42</v>
      </c>
      <c r="E621" s="4" t="s">
        <v>1191</v>
      </c>
      <c r="F621" s="5">
        <v>622746772</v>
      </c>
      <c r="G621" s="5">
        <v>622746772</v>
      </c>
      <c r="H621" s="4" t="s">
        <v>576</v>
      </c>
      <c r="I621" s="5">
        <v>1</v>
      </c>
      <c r="J621" s="4" t="s">
        <v>38</v>
      </c>
      <c r="K621" s="5">
        <v>3</v>
      </c>
      <c r="L621" s="4" t="s">
        <v>120</v>
      </c>
      <c r="M621" s="4" t="s">
        <v>120</v>
      </c>
      <c r="N621" s="4" t="s">
        <v>33</v>
      </c>
      <c r="O621" s="6">
        <v>45053</v>
      </c>
      <c r="P621" s="4" t="s">
        <v>1192</v>
      </c>
      <c r="Q621" s="4" t="s">
        <v>397</v>
      </c>
      <c r="R621" s="4" t="s">
        <v>36</v>
      </c>
      <c r="S621" s="4" t="s">
        <v>59</v>
      </c>
      <c r="T621" s="5">
        <v>3</v>
      </c>
      <c r="U621" s="6">
        <v>45054</v>
      </c>
      <c r="V621" s="4" t="s">
        <v>1353</v>
      </c>
      <c r="W621" s="4" t="s">
        <v>620</v>
      </c>
      <c r="X621" s="4"/>
      <c r="Y621" s="4"/>
      <c r="Z621" s="4"/>
      <c r="AA621" s="4"/>
      <c r="AB621" s="4"/>
      <c r="AC621" s="4"/>
      <c r="AD621" s="4">
        <f t="shared" si="9"/>
        <v>18</v>
      </c>
    </row>
    <row r="622" spans="1:30" ht="39.75" thickBot="1" x14ac:dyDescent="0.3">
      <c r="A622" s="3">
        <v>45053.477094907408</v>
      </c>
      <c r="B622" s="4" t="s">
        <v>115</v>
      </c>
      <c r="C622" s="4" t="s">
        <v>116</v>
      </c>
      <c r="D622" s="31" t="s">
        <v>42</v>
      </c>
      <c r="E622" s="4" t="s">
        <v>1193</v>
      </c>
      <c r="F622" s="5">
        <v>628321586</v>
      </c>
      <c r="G622" s="4"/>
      <c r="H622" s="4" t="s">
        <v>941</v>
      </c>
      <c r="I622" s="5">
        <v>7</v>
      </c>
      <c r="J622" s="4" t="s">
        <v>38</v>
      </c>
      <c r="K622" s="5">
        <v>1</v>
      </c>
      <c r="L622" s="4" t="s">
        <v>119</v>
      </c>
      <c r="M622" s="4" t="s">
        <v>1044</v>
      </c>
      <c r="N622" s="4" t="s">
        <v>47</v>
      </c>
      <c r="O622" s="6">
        <v>45242</v>
      </c>
      <c r="P622" s="4" t="s">
        <v>927</v>
      </c>
      <c r="Q622" s="4" t="s">
        <v>122</v>
      </c>
      <c r="R622" s="4" t="s">
        <v>36</v>
      </c>
      <c r="S622" s="4" t="s">
        <v>59</v>
      </c>
      <c r="T622" s="5">
        <v>1</v>
      </c>
      <c r="U622" s="6">
        <v>45055</v>
      </c>
      <c r="V622" s="4" t="s">
        <v>1353</v>
      </c>
      <c r="W622" s="4" t="s">
        <v>928</v>
      </c>
      <c r="X622" s="4"/>
      <c r="Y622" s="4"/>
      <c r="Z622" s="4"/>
      <c r="AA622" s="4"/>
      <c r="AB622" s="4"/>
      <c r="AC622" s="4"/>
      <c r="AD622" s="4">
        <f t="shared" si="9"/>
        <v>19</v>
      </c>
    </row>
    <row r="623" spans="1:30" ht="39.75" thickBot="1" x14ac:dyDescent="0.3">
      <c r="A623" s="3">
        <v>45053.481307870374</v>
      </c>
      <c r="B623" s="4" t="s">
        <v>115</v>
      </c>
      <c r="C623" s="4" t="s">
        <v>116</v>
      </c>
      <c r="D623" s="31" t="s">
        <v>42</v>
      </c>
      <c r="E623" s="4" t="s">
        <v>1194</v>
      </c>
      <c r="F623" s="5">
        <v>622024323</v>
      </c>
      <c r="G623" s="4"/>
      <c r="H623" s="4" t="s">
        <v>1195</v>
      </c>
      <c r="I623" s="5">
        <v>55</v>
      </c>
      <c r="J623" s="4" t="s">
        <v>38</v>
      </c>
      <c r="K623" s="5">
        <v>10</v>
      </c>
      <c r="L623" s="4" t="s">
        <v>119</v>
      </c>
      <c r="M623" s="4" t="s">
        <v>1044</v>
      </c>
      <c r="N623" s="4" t="s">
        <v>47</v>
      </c>
      <c r="O623" s="6">
        <v>45243</v>
      </c>
      <c r="P623" s="4" t="s">
        <v>927</v>
      </c>
      <c r="Q623" s="4" t="s">
        <v>122</v>
      </c>
      <c r="R623" s="4" t="s">
        <v>36</v>
      </c>
      <c r="S623" s="4" t="s">
        <v>59</v>
      </c>
      <c r="T623" s="5">
        <v>6</v>
      </c>
      <c r="U623" s="6">
        <v>45061</v>
      </c>
      <c r="V623" s="4" t="s">
        <v>1373</v>
      </c>
      <c r="W623" s="4" t="s">
        <v>1380</v>
      </c>
      <c r="X623" s="4"/>
      <c r="Y623" s="4"/>
      <c r="Z623" s="4"/>
      <c r="AA623" s="4"/>
      <c r="AB623" s="4"/>
      <c r="AC623" s="4"/>
      <c r="AD623" s="4">
        <f t="shared" si="9"/>
        <v>19</v>
      </c>
    </row>
    <row r="624" spans="1:30" ht="39.75" thickBot="1" x14ac:dyDescent="0.3">
      <c r="A624" s="3">
        <v>45053.484907407408</v>
      </c>
      <c r="B624" s="4" t="s">
        <v>115</v>
      </c>
      <c r="C624" s="4" t="s">
        <v>116</v>
      </c>
      <c r="D624" s="31" t="s">
        <v>42</v>
      </c>
      <c r="E624" s="4" t="s">
        <v>1196</v>
      </c>
      <c r="F624" s="5">
        <v>628728932</v>
      </c>
      <c r="G624" s="4"/>
      <c r="H624" s="4" t="s">
        <v>1195</v>
      </c>
      <c r="I624" s="5">
        <v>55</v>
      </c>
      <c r="J624" s="4" t="s">
        <v>38</v>
      </c>
      <c r="K624" s="5">
        <v>5</v>
      </c>
      <c r="L624" s="4" t="s">
        <v>119</v>
      </c>
      <c r="M624" s="4" t="s">
        <v>1044</v>
      </c>
      <c r="N624" s="4" t="s">
        <v>47</v>
      </c>
      <c r="O624" s="6">
        <v>45245</v>
      </c>
      <c r="P624" s="4" t="s">
        <v>927</v>
      </c>
      <c r="Q624" s="4" t="s">
        <v>122</v>
      </c>
      <c r="R624" s="4" t="s">
        <v>36</v>
      </c>
      <c r="S624" s="4" t="s">
        <v>59</v>
      </c>
      <c r="T624" s="5">
        <v>5</v>
      </c>
      <c r="U624" s="6">
        <v>45061</v>
      </c>
      <c r="V624" s="4" t="s">
        <v>1373</v>
      </c>
      <c r="W624" s="4" t="s">
        <v>1380</v>
      </c>
      <c r="X624" s="4"/>
      <c r="Y624" s="4"/>
      <c r="Z624" s="4"/>
      <c r="AA624" s="4"/>
      <c r="AB624" s="4"/>
      <c r="AC624" s="4"/>
      <c r="AD624" s="4">
        <f t="shared" si="9"/>
        <v>19</v>
      </c>
    </row>
    <row r="625" spans="1:30" ht="39.75" thickBot="1" x14ac:dyDescent="0.3">
      <c r="A625" s="3">
        <v>45053.488321759258</v>
      </c>
      <c r="B625" s="4" t="s">
        <v>115</v>
      </c>
      <c r="C625" s="4" t="s">
        <v>116</v>
      </c>
      <c r="D625" s="31" t="s">
        <v>42</v>
      </c>
      <c r="E625" s="4" t="s">
        <v>1197</v>
      </c>
      <c r="F625" s="5">
        <v>621885037</v>
      </c>
      <c r="G625" s="4"/>
      <c r="H625" s="4" t="s">
        <v>1195</v>
      </c>
      <c r="I625" s="5">
        <v>55</v>
      </c>
      <c r="J625" s="4" t="s">
        <v>38</v>
      </c>
      <c r="K625" s="5">
        <v>2</v>
      </c>
      <c r="L625" s="4" t="s">
        <v>119</v>
      </c>
      <c r="M625" s="4" t="s">
        <v>1044</v>
      </c>
      <c r="N625" s="4" t="s">
        <v>47</v>
      </c>
      <c r="O625" s="6">
        <v>45248</v>
      </c>
      <c r="P625" s="4" t="s">
        <v>927</v>
      </c>
      <c r="Q625" s="4" t="s">
        <v>122</v>
      </c>
      <c r="R625" s="4" t="s">
        <v>36</v>
      </c>
      <c r="S625" s="4"/>
      <c r="T625" s="4"/>
      <c r="U625" s="4"/>
      <c r="V625" s="4" t="s">
        <v>1372</v>
      </c>
      <c r="W625" s="4"/>
      <c r="X625" s="4"/>
      <c r="Y625" s="4"/>
      <c r="Z625" s="4"/>
      <c r="AA625" s="4"/>
      <c r="AB625" s="4"/>
      <c r="AC625" s="4"/>
      <c r="AD625" s="4">
        <f t="shared" si="9"/>
        <v>19</v>
      </c>
    </row>
    <row r="626" spans="1:30" ht="39.75" thickBot="1" x14ac:dyDescent="0.3">
      <c r="A626" s="3">
        <v>45053.491064814814</v>
      </c>
      <c r="B626" s="4" t="s">
        <v>115</v>
      </c>
      <c r="C626" s="4" t="s">
        <v>116</v>
      </c>
      <c r="D626" s="31" t="s">
        <v>42</v>
      </c>
      <c r="E626" s="4" t="s">
        <v>1198</v>
      </c>
      <c r="F626" s="5">
        <v>611183643</v>
      </c>
      <c r="G626" s="4"/>
      <c r="H626" s="4" t="s">
        <v>1195</v>
      </c>
      <c r="I626" s="5">
        <v>55</v>
      </c>
      <c r="J626" s="4" t="s">
        <v>38</v>
      </c>
      <c r="K626" s="5">
        <v>3</v>
      </c>
      <c r="L626" s="4" t="s">
        <v>119</v>
      </c>
      <c r="M626" s="4" t="s">
        <v>1044</v>
      </c>
      <c r="N626" s="4" t="s">
        <v>47</v>
      </c>
      <c r="O626" s="6">
        <v>45250</v>
      </c>
      <c r="P626" s="4" t="s">
        <v>927</v>
      </c>
      <c r="Q626" s="4" t="s">
        <v>122</v>
      </c>
      <c r="R626" s="4" t="s">
        <v>36</v>
      </c>
      <c r="S626" s="4" t="s">
        <v>59</v>
      </c>
      <c r="T626" s="5">
        <v>3</v>
      </c>
      <c r="U626" s="6">
        <v>45061</v>
      </c>
      <c r="V626" s="4" t="s">
        <v>1373</v>
      </c>
      <c r="W626" s="4" t="s">
        <v>1380</v>
      </c>
      <c r="X626" s="4"/>
      <c r="Y626" s="4"/>
      <c r="Z626" s="4"/>
      <c r="AA626" s="4"/>
      <c r="AB626" s="4"/>
      <c r="AC626" s="4"/>
      <c r="AD626" s="4">
        <f t="shared" si="9"/>
        <v>19</v>
      </c>
    </row>
    <row r="627" spans="1:30" ht="39.75" thickBot="1" x14ac:dyDescent="0.3">
      <c r="A627" s="3">
        <v>45053.495416666665</v>
      </c>
      <c r="B627" s="4" t="s">
        <v>115</v>
      </c>
      <c r="C627" s="4" t="s">
        <v>116</v>
      </c>
      <c r="D627" s="31" t="s">
        <v>42</v>
      </c>
      <c r="E627" s="4" t="s">
        <v>1199</v>
      </c>
      <c r="F627" s="5">
        <v>622212863</v>
      </c>
      <c r="G627" s="4"/>
      <c r="H627" s="4" t="s">
        <v>1195</v>
      </c>
      <c r="I627" s="5">
        <v>55</v>
      </c>
      <c r="J627" s="4" t="s">
        <v>38</v>
      </c>
      <c r="K627" s="5">
        <v>2</v>
      </c>
      <c r="L627" s="4" t="s">
        <v>119</v>
      </c>
      <c r="M627" s="4" t="s">
        <v>1044</v>
      </c>
      <c r="N627" s="4" t="s">
        <v>47</v>
      </c>
      <c r="O627" s="6">
        <v>45248</v>
      </c>
      <c r="P627" s="4" t="s">
        <v>927</v>
      </c>
      <c r="Q627" s="4" t="s">
        <v>122</v>
      </c>
      <c r="R627" s="4" t="s">
        <v>36</v>
      </c>
      <c r="S627" s="4"/>
      <c r="T627" s="4"/>
      <c r="U627" s="4"/>
      <c r="V627" s="4" t="s">
        <v>1372</v>
      </c>
      <c r="W627" s="4"/>
      <c r="X627" s="4"/>
      <c r="Y627" s="4"/>
      <c r="Z627" s="4"/>
      <c r="AA627" s="4"/>
      <c r="AB627" s="4"/>
      <c r="AC627" s="4"/>
      <c r="AD627" s="4">
        <f t="shared" si="9"/>
        <v>19</v>
      </c>
    </row>
    <row r="628" spans="1:30" ht="39.75" thickBot="1" x14ac:dyDescent="0.3">
      <c r="A628" s="3">
        <v>45053.498032407406</v>
      </c>
      <c r="B628" s="4" t="s">
        <v>115</v>
      </c>
      <c r="C628" s="4" t="s">
        <v>116</v>
      </c>
      <c r="D628" s="31" t="s">
        <v>42</v>
      </c>
      <c r="E628" s="4" t="s">
        <v>1200</v>
      </c>
      <c r="F628" s="5">
        <v>622121325</v>
      </c>
      <c r="G628" s="4"/>
      <c r="H628" s="4" t="s">
        <v>1195</v>
      </c>
      <c r="I628" s="5">
        <v>55</v>
      </c>
      <c r="J628" s="4" t="s">
        <v>38</v>
      </c>
      <c r="K628" s="5">
        <v>2</v>
      </c>
      <c r="L628" s="4" t="s">
        <v>119</v>
      </c>
      <c r="M628" s="4" t="s">
        <v>1044</v>
      </c>
      <c r="N628" s="4" t="s">
        <v>47</v>
      </c>
      <c r="O628" s="6">
        <v>45248</v>
      </c>
      <c r="P628" s="4" t="s">
        <v>927</v>
      </c>
      <c r="Q628" s="4" t="s">
        <v>122</v>
      </c>
      <c r="R628" s="4" t="s">
        <v>36</v>
      </c>
      <c r="S628" s="4"/>
      <c r="T628" s="4"/>
      <c r="U628" s="4"/>
      <c r="V628" s="4" t="s">
        <v>1372</v>
      </c>
      <c r="W628" s="4"/>
      <c r="X628" s="4"/>
      <c r="Y628" s="4"/>
      <c r="Z628" s="4"/>
      <c r="AA628" s="4"/>
      <c r="AB628" s="4"/>
      <c r="AC628" s="4"/>
      <c r="AD628" s="4">
        <f t="shared" si="9"/>
        <v>19</v>
      </c>
    </row>
    <row r="629" spans="1:30" ht="39.75" thickBot="1" x14ac:dyDescent="0.3">
      <c r="A629" s="3">
        <v>45053.501157407409</v>
      </c>
      <c r="B629" s="4" t="s">
        <v>115</v>
      </c>
      <c r="C629" s="4" t="s">
        <v>116</v>
      </c>
      <c r="D629" s="31" t="s">
        <v>42</v>
      </c>
      <c r="E629" s="4" t="s">
        <v>1201</v>
      </c>
      <c r="F629" s="5">
        <v>620041041</v>
      </c>
      <c r="G629" s="4"/>
      <c r="H629" s="4" t="s">
        <v>1195</v>
      </c>
      <c r="I629" s="5">
        <v>55</v>
      </c>
      <c r="J629" s="4" t="s">
        <v>38</v>
      </c>
      <c r="K629" s="5">
        <v>2</v>
      </c>
      <c r="L629" s="4" t="s">
        <v>119</v>
      </c>
      <c r="M629" s="4" t="s">
        <v>1044</v>
      </c>
      <c r="N629" s="4" t="s">
        <v>47</v>
      </c>
      <c r="O629" s="6">
        <v>45249</v>
      </c>
      <c r="P629" s="4" t="s">
        <v>927</v>
      </c>
      <c r="Q629" s="4" t="s">
        <v>122</v>
      </c>
      <c r="R629" s="4" t="s">
        <v>36</v>
      </c>
      <c r="S629" s="4"/>
      <c r="T629" s="4"/>
      <c r="U629" s="4"/>
      <c r="V629" s="4" t="s">
        <v>1372</v>
      </c>
      <c r="W629" s="4"/>
      <c r="X629" s="4"/>
      <c r="Y629" s="4"/>
      <c r="Z629" s="4"/>
      <c r="AA629" s="4"/>
      <c r="AB629" s="4"/>
      <c r="AC629" s="4"/>
      <c r="AD629" s="4">
        <f t="shared" si="9"/>
        <v>19</v>
      </c>
    </row>
    <row r="630" spans="1:30" ht="39.75" thickBot="1" x14ac:dyDescent="0.3">
      <c r="A630" s="3">
        <v>45053.503437500003</v>
      </c>
      <c r="B630" s="4" t="s">
        <v>115</v>
      </c>
      <c r="C630" s="4" t="s">
        <v>1069</v>
      </c>
      <c r="D630" s="31" t="s">
        <v>42</v>
      </c>
      <c r="E630" s="4" t="s">
        <v>1202</v>
      </c>
      <c r="F630" s="5">
        <v>622272148</v>
      </c>
      <c r="G630" s="4"/>
      <c r="H630" s="4" t="s">
        <v>1195</v>
      </c>
      <c r="I630" s="5">
        <v>55</v>
      </c>
      <c r="J630" s="4" t="s">
        <v>38</v>
      </c>
      <c r="K630" s="5">
        <v>2</v>
      </c>
      <c r="L630" s="4" t="s">
        <v>119</v>
      </c>
      <c r="M630" s="4" t="s">
        <v>1044</v>
      </c>
      <c r="N630" s="4" t="s">
        <v>47</v>
      </c>
      <c r="O630" s="6">
        <v>45249</v>
      </c>
      <c r="P630" s="4" t="s">
        <v>927</v>
      </c>
      <c r="Q630" s="4" t="s">
        <v>122</v>
      </c>
      <c r="R630" s="4" t="s">
        <v>36</v>
      </c>
      <c r="S630" s="4"/>
      <c r="T630" s="4"/>
      <c r="U630" s="4"/>
      <c r="V630" s="4" t="s">
        <v>1372</v>
      </c>
      <c r="W630" s="4"/>
      <c r="X630" s="4"/>
      <c r="Y630" s="4"/>
      <c r="Z630" s="4"/>
      <c r="AA630" s="4"/>
      <c r="AB630" s="4"/>
      <c r="AC630" s="4"/>
      <c r="AD630" s="4">
        <f t="shared" si="9"/>
        <v>19</v>
      </c>
    </row>
    <row r="631" spans="1:30" ht="39.75" thickBot="1" x14ac:dyDescent="0.3">
      <c r="A631" s="3">
        <v>45053.506111111114</v>
      </c>
      <c r="B631" s="4" t="s">
        <v>115</v>
      </c>
      <c r="C631" s="4" t="s">
        <v>116</v>
      </c>
      <c r="D631" s="31" t="s">
        <v>42</v>
      </c>
      <c r="E631" s="4" t="s">
        <v>1203</v>
      </c>
      <c r="F631" s="5">
        <v>628012595</v>
      </c>
      <c r="G631" s="4"/>
      <c r="H631" s="4" t="s">
        <v>1195</v>
      </c>
      <c r="I631" s="5">
        <v>55</v>
      </c>
      <c r="J631" s="4" t="s">
        <v>38</v>
      </c>
      <c r="K631" s="5">
        <v>2</v>
      </c>
      <c r="L631" s="4" t="s">
        <v>119</v>
      </c>
      <c r="M631" s="4" t="s">
        <v>1044</v>
      </c>
      <c r="N631" s="4" t="s">
        <v>47</v>
      </c>
      <c r="O631" s="6">
        <v>45250</v>
      </c>
      <c r="P631" s="4" t="s">
        <v>927</v>
      </c>
      <c r="Q631" s="4" t="s">
        <v>122</v>
      </c>
      <c r="R631" s="4" t="s">
        <v>36</v>
      </c>
      <c r="S631" s="4"/>
      <c r="T631" s="4"/>
      <c r="U631" s="4"/>
      <c r="V631" s="4" t="s">
        <v>1372</v>
      </c>
      <c r="W631" s="4"/>
      <c r="X631" s="4"/>
      <c r="Y631" s="4"/>
      <c r="Z631" s="4"/>
      <c r="AA631" s="4"/>
      <c r="AB631" s="4"/>
      <c r="AC631" s="4"/>
      <c r="AD631" s="4">
        <f t="shared" si="9"/>
        <v>19</v>
      </c>
    </row>
    <row r="632" spans="1:30" ht="27" thickBot="1" x14ac:dyDescent="0.3">
      <c r="A632" s="3">
        <v>45053.506851851853</v>
      </c>
      <c r="B632" s="4" t="s">
        <v>677</v>
      </c>
      <c r="C632" s="4" t="s">
        <v>678</v>
      </c>
      <c r="D632" s="31" t="s">
        <v>42</v>
      </c>
      <c r="E632" s="4" t="s">
        <v>1204</v>
      </c>
      <c r="F632" s="5">
        <v>622281242</v>
      </c>
      <c r="G632" s="4"/>
      <c r="H632" s="4" t="s">
        <v>953</v>
      </c>
      <c r="I632" s="5">
        <v>6</v>
      </c>
      <c r="J632" s="4" t="s">
        <v>38</v>
      </c>
      <c r="K632" s="5">
        <v>2</v>
      </c>
      <c r="L632" s="4" t="s">
        <v>73</v>
      </c>
      <c r="M632" s="4" t="s">
        <v>73</v>
      </c>
      <c r="N632" s="4" t="s">
        <v>57</v>
      </c>
      <c r="O632" s="6">
        <v>45081</v>
      </c>
      <c r="P632" s="4"/>
      <c r="Q632" s="4" t="s">
        <v>682</v>
      </c>
      <c r="R632" s="4" t="s">
        <v>36</v>
      </c>
      <c r="S632" s="4"/>
      <c r="T632" s="4"/>
      <c r="U632" s="4"/>
      <c r="V632" s="4" t="s">
        <v>1372</v>
      </c>
      <c r="W632" s="4" t="s">
        <v>1212</v>
      </c>
      <c r="X632" s="4"/>
      <c r="Y632" s="4"/>
      <c r="Z632" s="4"/>
      <c r="AA632" s="4"/>
      <c r="AB632" s="4"/>
      <c r="AC632" s="4"/>
      <c r="AD632" s="4">
        <f t="shared" si="9"/>
        <v>19</v>
      </c>
    </row>
    <row r="633" spans="1:30" ht="39.75" thickBot="1" x14ac:dyDescent="0.3">
      <c r="A633" s="3">
        <v>45053.509108796294</v>
      </c>
      <c r="B633" s="4" t="s">
        <v>115</v>
      </c>
      <c r="C633" s="4" t="s">
        <v>116</v>
      </c>
      <c r="D633" s="31" t="s">
        <v>42</v>
      </c>
      <c r="E633" s="4" t="s">
        <v>1205</v>
      </c>
      <c r="F633" s="5">
        <v>627845268</v>
      </c>
      <c r="G633" s="4"/>
      <c r="H633" s="4" t="s">
        <v>1195</v>
      </c>
      <c r="I633" s="5">
        <v>55</v>
      </c>
      <c r="J633" s="4" t="s">
        <v>38</v>
      </c>
      <c r="K633" s="5">
        <v>1</v>
      </c>
      <c r="L633" s="4" t="s">
        <v>119</v>
      </c>
      <c r="M633" s="4" t="s">
        <v>1044</v>
      </c>
      <c r="N633" s="4" t="s">
        <v>47</v>
      </c>
      <c r="O633" s="6">
        <v>45250</v>
      </c>
      <c r="P633" s="4" t="s">
        <v>927</v>
      </c>
      <c r="Q633" s="4" t="s">
        <v>122</v>
      </c>
      <c r="R633" s="4" t="s">
        <v>36</v>
      </c>
      <c r="S633" s="4"/>
      <c r="T633" s="4"/>
      <c r="U633" s="4"/>
      <c r="V633" s="4" t="s">
        <v>1372</v>
      </c>
      <c r="W633" s="4"/>
      <c r="X633" s="4"/>
      <c r="Y633" s="4"/>
      <c r="Z633" s="4"/>
      <c r="AA633" s="4"/>
      <c r="AB633" s="4"/>
      <c r="AC633" s="4"/>
      <c r="AD633" s="4">
        <f t="shared" si="9"/>
        <v>19</v>
      </c>
    </row>
    <row r="634" spans="1:30" ht="39.75" thickBot="1" x14ac:dyDescent="0.3">
      <c r="A634" s="3">
        <v>45053.512199074074</v>
      </c>
      <c r="B634" s="4" t="s">
        <v>115</v>
      </c>
      <c r="C634" s="4" t="s">
        <v>116</v>
      </c>
      <c r="D634" s="31" t="s">
        <v>42</v>
      </c>
      <c r="E634" s="4" t="s">
        <v>1206</v>
      </c>
      <c r="F634" s="5">
        <v>628706991</v>
      </c>
      <c r="G634" s="4"/>
      <c r="H634" s="4" t="s">
        <v>1195</v>
      </c>
      <c r="I634" s="5">
        <v>55</v>
      </c>
      <c r="J634" s="4" t="s">
        <v>38</v>
      </c>
      <c r="K634" s="5">
        <v>1</v>
      </c>
      <c r="L634" s="4" t="s">
        <v>119</v>
      </c>
      <c r="M634" s="4" t="s">
        <v>1044</v>
      </c>
      <c r="N634" s="4" t="s">
        <v>47</v>
      </c>
      <c r="O634" s="6">
        <v>45250</v>
      </c>
      <c r="P634" s="4" t="s">
        <v>927</v>
      </c>
      <c r="Q634" s="4" t="s">
        <v>122</v>
      </c>
      <c r="R634" s="4" t="s">
        <v>36</v>
      </c>
      <c r="S634" s="4"/>
      <c r="T634" s="4"/>
      <c r="U634" s="4"/>
      <c r="V634" s="4" t="s">
        <v>1372</v>
      </c>
      <c r="W634" s="4"/>
      <c r="X634" s="4"/>
      <c r="Y634" s="4"/>
      <c r="Z634" s="4"/>
      <c r="AA634" s="4"/>
      <c r="AB634" s="4"/>
      <c r="AC634" s="4"/>
      <c r="AD634" s="4">
        <f t="shared" si="9"/>
        <v>19</v>
      </c>
    </row>
    <row r="635" spans="1:30" ht="39.75" thickBot="1" x14ac:dyDescent="0.3">
      <c r="A635" s="3">
        <v>45053.514664351853</v>
      </c>
      <c r="B635" s="4" t="s">
        <v>115</v>
      </c>
      <c r="C635" s="4" t="s">
        <v>1069</v>
      </c>
      <c r="D635" s="31" t="s">
        <v>42</v>
      </c>
      <c r="E635" s="4" t="s">
        <v>1207</v>
      </c>
      <c r="F635" s="5">
        <v>629992689</v>
      </c>
      <c r="G635" s="4"/>
      <c r="H635" s="4" t="s">
        <v>1195</v>
      </c>
      <c r="I635" s="5">
        <v>55</v>
      </c>
      <c r="J635" s="4" t="s">
        <v>38</v>
      </c>
      <c r="K635" s="5">
        <v>1</v>
      </c>
      <c r="L635" s="4" t="s">
        <v>119</v>
      </c>
      <c r="M635" s="4" t="s">
        <v>1044</v>
      </c>
      <c r="N635" s="4" t="s">
        <v>47</v>
      </c>
      <c r="O635" s="6">
        <v>45251</v>
      </c>
      <c r="P635" s="4" t="s">
        <v>927</v>
      </c>
      <c r="Q635" s="4" t="s">
        <v>122</v>
      </c>
      <c r="R635" s="4" t="s">
        <v>36</v>
      </c>
      <c r="S635" s="4"/>
      <c r="T635" s="4"/>
      <c r="U635" s="4"/>
      <c r="V635" s="4" t="s">
        <v>1372</v>
      </c>
      <c r="W635" s="4"/>
      <c r="X635" s="4"/>
      <c r="Y635" s="4"/>
      <c r="Z635" s="4"/>
      <c r="AA635" s="4"/>
      <c r="AB635" s="4"/>
      <c r="AC635" s="4"/>
      <c r="AD635" s="4">
        <f t="shared" si="9"/>
        <v>19</v>
      </c>
    </row>
    <row r="636" spans="1:30" ht="39.75" thickBot="1" x14ac:dyDescent="0.3">
      <c r="A636" s="3">
        <v>45053.517384259256</v>
      </c>
      <c r="B636" s="4" t="s">
        <v>115</v>
      </c>
      <c r="C636" s="4" t="s">
        <v>1069</v>
      </c>
      <c r="D636" s="31" t="s">
        <v>42</v>
      </c>
      <c r="E636" s="4" t="s">
        <v>1678</v>
      </c>
      <c r="F636" s="5">
        <v>628069365</v>
      </c>
      <c r="G636" s="4"/>
      <c r="H636" s="4" t="s">
        <v>1195</v>
      </c>
      <c r="I636" s="5">
        <v>55</v>
      </c>
      <c r="J636" s="4" t="s">
        <v>38</v>
      </c>
      <c r="K636" s="5">
        <v>2</v>
      </c>
      <c r="L636" s="4" t="s">
        <v>119</v>
      </c>
      <c r="M636" s="4" t="s">
        <v>1044</v>
      </c>
      <c r="N636" s="4" t="s">
        <v>47</v>
      </c>
      <c r="O636" s="6">
        <v>45251</v>
      </c>
      <c r="P636" s="4" t="s">
        <v>927</v>
      </c>
      <c r="Q636" s="4" t="s">
        <v>122</v>
      </c>
      <c r="R636" s="4" t="s">
        <v>36</v>
      </c>
      <c r="S636" s="4" t="s">
        <v>59</v>
      </c>
      <c r="T636" s="5">
        <v>1</v>
      </c>
      <c r="U636" s="6">
        <v>45069</v>
      </c>
      <c r="V636" s="4" t="s">
        <v>1624</v>
      </c>
      <c r="W636" s="4" t="s">
        <v>928</v>
      </c>
      <c r="X636" s="4"/>
      <c r="Y636" s="4"/>
      <c r="Z636" s="4"/>
      <c r="AA636" s="4"/>
      <c r="AB636" s="4"/>
      <c r="AC636" s="4"/>
      <c r="AD636" s="4">
        <f t="shared" si="9"/>
        <v>19</v>
      </c>
    </row>
    <row r="637" spans="1:30" ht="27" thickBot="1" x14ac:dyDescent="0.3">
      <c r="A637" s="3">
        <v>45053.576018518521</v>
      </c>
      <c r="B637" s="4" t="s">
        <v>253</v>
      </c>
      <c r="C637" s="4" t="s">
        <v>1208</v>
      </c>
      <c r="D637" s="31" t="s">
        <v>42</v>
      </c>
      <c r="E637" s="4" t="s">
        <v>1209</v>
      </c>
      <c r="F637" s="5">
        <v>627389364</v>
      </c>
      <c r="G637" s="4"/>
      <c r="H637" s="4" t="s">
        <v>638</v>
      </c>
      <c r="I637" s="5">
        <v>10</v>
      </c>
      <c r="J637" s="4" t="s">
        <v>38</v>
      </c>
      <c r="K637" s="5">
        <v>10</v>
      </c>
      <c r="L637" s="4" t="s">
        <v>493</v>
      </c>
      <c r="M637" s="4" t="s">
        <v>36</v>
      </c>
      <c r="N637" s="4" t="s">
        <v>33</v>
      </c>
      <c r="O637" s="6">
        <v>45054</v>
      </c>
      <c r="P637" s="4"/>
      <c r="Q637" s="4" t="s">
        <v>636</v>
      </c>
      <c r="R637" s="4" t="s">
        <v>36</v>
      </c>
      <c r="S637" s="4" t="s">
        <v>59</v>
      </c>
      <c r="T637" s="5">
        <v>10</v>
      </c>
      <c r="U637" s="6">
        <v>45055</v>
      </c>
      <c r="V637" s="4" t="s">
        <v>1353</v>
      </c>
      <c r="W637" s="4" t="s">
        <v>1381</v>
      </c>
      <c r="X637" s="4"/>
      <c r="Y637" s="4"/>
      <c r="Z637" s="4"/>
      <c r="AA637" s="4"/>
      <c r="AB637" s="4"/>
      <c r="AC637" s="4"/>
      <c r="AD637" s="4">
        <f t="shared" si="9"/>
        <v>19</v>
      </c>
    </row>
    <row r="638" spans="1:30" ht="27" thickBot="1" x14ac:dyDescent="0.3">
      <c r="A638" s="3">
        <v>45053.586284722223</v>
      </c>
      <c r="B638" s="4" t="s">
        <v>253</v>
      </c>
      <c r="C638" s="4" t="s">
        <v>633</v>
      </c>
      <c r="D638" s="31" t="s">
        <v>42</v>
      </c>
      <c r="E638" s="4" t="s">
        <v>1210</v>
      </c>
      <c r="F638" s="5">
        <v>620453004</v>
      </c>
      <c r="G638" s="4"/>
      <c r="H638" s="4" t="s">
        <v>408</v>
      </c>
      <c r="I638" s="5">
        <v>15</v>
      </c>
      <c r="J638" s="4" t="s">
        <v>38</v>
      </c>
      <c r="K638" s="5">
        <v>5</v>
      </c>
      <c r="L638" s="4" t="s">
        <v>1211</v>
      </c>
      <c r="M638" s="4" t="s">
        <v>36</v>
      </c>
      <c r="N638" s="4" t="s">
        <v>33</v>
      </c>
      <c r="O638" s="6">
        <v>45054</v>
      </c>
      <c r="P638" s="4"/>
      <c r="Q638" s="4" t="s">
        <v>636</v>
      </c>
      <c r="R638" s="4" t="s">
        <v>36</v>
      </c>
      <c r="S638" s="4" t="s">
        <v>59</v>
      </c>
      <c r="T638" s="5">
        <v>5</v>
      </c>
      <c r="U638" s="6">
        <v>45054</v>
      </c>
      <c r="V638" s="4" t="s">
        <v>1353</v>
      </c>
      <c r="W638" s="4" t="s">
        <v>1382</v>
      </c>
      <c r="X638" s="4"/>
      <c r="Y638" s="4"/>
      <c r="Z638" s="4"/>
      <c r="AA638" s="4"/>
      <c r="AB638" s="4"/>
      <c r="AC638" s="4"/>
      <c r="AD638" s="4">
        <f t="shared" si="9"/>
        <v>19</v>
      </c>
    </row>
    <row r="639" spans="1:30" ht="27" thickBot="1" x14ac:dyDescent="0.3">
      <c r="A639" s="3">
        <v>45053.613252314812</v>
      </c>
      <c r="B639" s="4" t="s">
        <v>1770</v>
      </c>
      <c r="C639" s="4" t="s">
        <v>254</v>
      </c>
      <c r="D639" s="31" t="s">
        <v>42</v>
      </c>
      <c r="E639" s="4" t="s">
        <v>1213</v>
      </c>
      <c r="F639" s="5">
        <v>620354092</v>
      </c>
      <c r="G639" s="5">
        <v>620354092</v>
      </c>
      <c r="H639" s="4" t="s">
        <v>476</v>
      </c>
      <c r="I639" s="5">
        <v>3</v>
      </c>
      <c r="J639" s="4" t="s">
        <v>38</v>
      </c>
      <c r="K639" s="5">
        <v>2</v>
      </c>
      <c r="L639" s="4" t="s">
        <v>333</v>
      </c>
      <c r="M639" s="4" t="s">
        <v>333</v>
      </c>
      <c r="N639" s="4" t="s">
        <v>33</v>
      </c>
      <c r="O639" s="6">
        <v>45055</v>
      </c>
      <c r="P639" s="4"/>
      <c r="Q639" s="4" t="s">
        <v>405</v>
      </c>
      <c r="R639" s="4" t="s">
        <v>36</v>
      </c>
      <c r="S639" s="4" t="s">
        <v>59</v>
      </c>
      <c r="T639" s="5">
        <v>2</v>
      </c>
      <c r="U639" s="6">
        <v>45054</v>
      </c>
      <c r="V639" s="4" t="s">
        <v>1353</v>
      </c>
      <c r="W639" s="4" t="s">
        <v>747</v>
      </c>
      <c r="X639" s="4"/>
      <c r="Y639" s="4"/>
      <c r="Z639" s="4"/>
      <c r="AA639" s="4"/>
      <c r="AB639" s="4"/>
      <c r="AC639" s="4"/>
      <c r="AD639" s="4">
        <f t="shared" si="9"/>
        <v>19</v>
      </c>
    </row>
    <row r="640" spans="1:30" ht="27" thickBot="1" x14ac:dyDescent="0.3">
      <c r="A640" s="3">
        <v>45053.614988425928</v>
      </c>
      <c r="B640" s="4" t="s">
        <v>1770</v>
      </c>
      <c r="C640" s="4" t="s">
        <v>254</v>
      </c>
      <c r="D640" s="31" t="s">
        <v>42</v>
      </c>
      <c r="E640" s="4" t="s">
        <v>1214</v>
      </c>
      <c r="F640" s="5">
        <v>628999205</v>
      </c>
      <c r="G640" s="5">
        <v>628999205</v>
      </c>
      <c r="H640" s="4" t="s">
        <v>476</v>
      </c>
      <c r="I640" s="5">
        <v>2</v>
      </c>
      <c r="J640" s="4" t="s">
        <v>38</v>
      </c>
      <c r="K640" s="5">
        <v>1</v>
      </c>
      <c r="L640" s="4" t="s">
        <v>493</v>
      </c>
      <c r="M640" s="4" t="s">
        <v>493</v>
      </c>
      <c r="N640" s="4" t="s">
        <v>90</v>
      </c>
      <c r="O640" s="6">
        <v>45055</v>
      </c>
      <c r="P640" s="4"/>
      <c r="Q640" s="4" t="s">
        <v>405</v>
      </c>
      <c r="R640" s="4" t="s">
        <v>36</v>
      </c>
      <c r="S640" s="4" t="s">
        <v>59</v>
      </c>
      <c r="T640" s="5">
        <v>1</v>
      </c>
      <c r="U640" s="6">
        <v>45054</v>
      </c>
      <c r="V640" s="4" t="s">
        <v>1353</v>
      </c>
      <c r="W640" s="4" t="s">
        <v>747</v>
      </c>
      <c r="X640" s="4"/>
      <c r="Y640" s="4"/>
      <c r="Z640" s="4"/>
      <c r="AA640" s="4"/>
      <c r="AB640" s="4"/>
      <c r="AC640" s="4"/>
      <c r="AD640" s="4">
        <f t="shared" si="9"/>
        <v>19</v>
      </c>
    </row>
    <row r="641" spans="1:30" ht="27" thickBot="1" x14ac:dyDescent="0.3">
      <c r="A641" s="3">
        <v>45053.617604166669</v>
      </c>
      <c r="B641" s="4" t="s">
        <v>1770</v>
      </c>
      <c r="C641" s="4" t="s">
        <v>254</v>
      </c>
      <c r="D641" s="31" t="s">
        <v>42</v>
      </c>
      <c r="E641" s="4" t="s">
        <v>741</v>
      </c>
      <c r="F641" s="5">
        <v>622910884</v>
      </c>
      <c r="G641" s="5">
        <v>622910884</v>
      </c>
      <c r="H641" s="4" t="s">
        <v>476</v>
      </c>
      <c r="I641" s="5">
        <v>22</v>
      </c>
      <c r="J641" s="4" t="s">
        <v>38</v>
      </c>
      <c r="K641" s="5">
        <v>15</v>
      </c>
      <c r="L641" s="4" t="s">
        <v>73</v>
      </c>
      <c r="M641" s="4" t="s">
        <v>73</v>
      </c>
      <c r="N641" s="4" t="s">
        <v>41</v>
      </c>
      <c r="O641" s="6">
        <v>45056</v>
      </c>
      <c r="P641" s="4"/>
      <c r="Q641" s="4" t="s">
        <v>405</v>
      </c>
      <c r="R641" s="4" t="s">
        <v>36</v>
      </c>
      <c r="S641" s="4" t="s">
        <v>59</v>
      </c>
      <c r="T641" s="5">
        <v>15</v>
      </c>
      <c r="U641" s="6">
        <v>45054</v>
      </c>
      <c r="V641" s="4" t="s">
        <v>1353</v>
      </c>
      <c r="W641" s="10" t="s">
        <v>686</v>
      </c>
      <c r="X641" s="4"/>
      <c r="Y641" s="4"/>
      <c r="Z641" s="4"/>
      <c r="AA641" s="4"/>
      <c r="AB641" s="4"/>
      <c r="AC641" s="4"/>
      <c r="AD641" s="4">
        <f t="shared" si="9"/>
        <v>19</v>
      </c>
    </row>
    <row r="642" spans="1:30" ht="27" thickBot="1" x14ac:dyDescent="0.3">
      <c r="A642" s="3">
        <v>45053.620173611111</v>
      </c>
      <c r="B642" s="4" t="s">
        <v>1770</v>
      </c>
      <c r="C642" s="4" t="s">
        <v>254</v>
      </c>
      <c r="D642" s="31" t="s">
        <v>42</v>
      </c>
      <c r="E642" s="4" t="s">
        <v>1215</v>
      </c>
      <c r="F642" s="5">
        <v>628701511</v>
      </c>
      <c r="G642" s="5">
        <v>628701511</v>
      </c>
      <c r="H642" s="4" t="s">
        <v>476</v>
      </c>
      <c r="I642" s="5">
        <v>3</v>
      </c>
      <c r="J642" s="4" t="s">
        <v>30</v>
      </c>
      <c r="K642" s="5">
        <v>2</v>
      </c>
      <c r="L642" s="4" t="s">
        <v>512</v>
      </c>
      <c r="M642" s="4" t="s">
        <v>512</v>
      </c>
      <c r="N642" s="4" t="s">
        <v>33</v>
      </c>
      <c r="O642" s="6">
        <v>45055</v>
      </c>
      <c r="P642" s="4"/>
      <c r="Q642" s="4" t="s">
        <v>405</v>
      </c>
      <c r="R642" s="4" t="s">
        <v>36</v>
      </c>
      <c r="S642" s="4" t="s">
        <v>59</v>
      </c>
      <c r="T642" s="5">
        <v>2</v>
      </c>
      <c r="U642" s="6">
        <v>45054</v>
      </c>
      <c r="V642" s="4" t="s">
        <v>1353</v>
      </c>
      <c r="W642" s="10" t="s">
        <v>745</v>
      </c>
      <c r="X642" s="4"/>
      <c r="Y642" s="4"/>
      <c r="Z642" s="4"/>
      <c r="AA642" s="4"/>
      <c r="AB642" s="4"/>
      <c r="AC642" s="4"/>
      <c r="AD642" s="4">
        <f t="shared" si="9"/>
        <v>19</v>
      </c>
    </row>
    <row r="643" spans="1:30" ht="27" thickBot="1" x14ac:dyDescent="0.3">
      <c r="A643" s="3">
        <v>45053.622025462966</v>
      </c>
      <c r="B643" s="4" t="s">
        <v>1770</v>
      </c>
      <c r="C643" s="4" t="s">
        <v>254</v>
      </c>
      <c r="D643" s="31" t="s">
        <v>42</v>
      </c>
      <c r="E643" s="4" t="s">
        <v>1216</v>
      </c>
      <c r="F643" s="5">
        <v>620206275</v>
      </c>
      <c r="G643" s="5">
        <v>620206275</v>
      </c>
      <c r="H643" s="4" t="s">
        <v>476</v>
      </c>
      <c r="I643" s="5">
        <v>12</v>
      </c>
      <c r="J643" s="4" t="s">
        <v>38</v>
      </c>
      <c r="K643" s="5">
        <v>4</v>
      </c>
      <c r="L643" s="4" t="s">
        <v>568</v>
      </c>
      <c r="M643" s="4" t="s">
        <v>568</v>
      </c>
      <c r="N643" s="4" t="s">
        <v>90</v>
      </c>
      <c r="O643" s="6">
        <v>45056</v>
      </c>
      <c r="P643" s="4"/>
      <c r="Q643" s="4" t="s">
        <v>405</v>
      </c>
      <c r="R643" s="4" t="s">
        <v>36</v>
      </c>
      <c r="S643" s="4" t="s">
        <v>59</v>
      </c>
      <c r="T643" s="5">
        <v>4</v>
      </c>
      <c r="U643" s="6">
        <v>45054</v>
      </c>
      <c r="V643" s="4" t="s">
        <v>1353</v>
      </c>
      <c r="W643" s="10" t="s">
        <v>745</v>
      </c>
      <c r="X643" s="4"/>
      <c r="Y643" s="4"/>
      <c r="Z643" s="4"/>
      <c r="AA643" s="4"/>
      <c r="AB643" s="4"/>
      <c r="AC643" s="4"/>
      <c r="AD643" s="4">
        <f t="shared" ref="AD643:AD706" si="10">WEEKNUM(LEFT(A643,10))</f>
        <v>19</v>
      </c>
    </row>
    <row r="644" spans="1:30" ht="27" thickBot="1" x14ac:dyDescent="0.3">
      <c r="A644" s="3">
        <v>45053.624386574076</v>
      </c>
      <c r="B644" s="4" t="s">
        <v>1770</v>
      </c>
      <c r="C644" s="4" t="s">
        <v>254</v>
      </c>
      <c r="D644" s="31" t="s">
        <v>42</v>
      </c>
      <c r="E644" s="4" t="s">
        <v>1217</v>
      </c>
      <c r="F644" s="5">
        <v>629131395</v>
      </c>
      <c r="G644" s="5">
        <v>629131395</v>
      </c>
      <c r="H644" s="4" t="s">
        <v>476</v>
      </c>
      <c r="I644" s="5">
        <v>13</v>
      </c>
      <c r="J644" s="4" t="s">
        <v>38</v>
      </c>
      <c r="K644" s="5">
        <v>4</v>
      </c>
      <c r="L644" s="4" t="s">
        <v>1218</v>
      </c>
      <c r="M644" s="4" t="s">
        <v>1218</v>
      </c>
      <c r="N644" s="4" t="s">
        <v>33</v>
      </c>
      <c r="O644" s="6">
        <v>45056</v>
      </c>
      <c r="P644" s="4"/>
      <c r="Q644" s="4" t="s">
        <v>405</v>
      </c>
      <c r="R644" s="4" t="s">
        <v>36</v>
      </c>
      <c r="S644" s="4" t="s">
        <v>59</v>
      </c>
      <c r="T644" s="5">
        <v>4</v>
      </c>
      <c r="U644" s="6">
        <v>45054</v>
      </c>
      <c r="V644" s="4" t="s">
        <v>1353</v>
      </c>
      <c r="W644" s="4" t="s">
        <v>748</v>
      </c>
      <c r="X644" s="4"/>
      <c r="Y644" s="4"/>
      <c r="Z644" s="4"/>
      <c r="AA644" s="4"/>
      <c r="AB644" s="4"/>
      <c r="AC644" s="4"/>
      <c r="AD644" s="4">
        <f t="shared" si="10"/>
        <v>19</v>
      </c>
    </row>
    <row r="645" spans="1:30" ht="27" thickBot="1" x14ac:dyDescent="0.3">
      <c r="A645" s="3">
        <v>45053.628530092596</v>
      </c>
      <c r="B645" s="4" t="s">
        <v>1770</v>
      </c>
      <c r="C645" s="4" t="s">
        <v>254</v>
      </c>
      <c r="D645" s="31" t="s">
        <v>42</v>
      </c>
      <c r="E645" s="4" t="s">
        <v>683</v>
      </c>
      <c r="F645" s="5">
        <v>623400834</v>
      </c>
      <c r="G645" s="5">
        <v>623400834</v>
      </c>
      <c r="H645" s="4" t="s">
        <v>476</v>
      </c>
      <c r="I645" s="5">
        <v>13</v>
      </c>
      <c r="J645" s="4" t="s">
        <v>38</v>
      </c>
      <c r="K645" s="5">
        <v>5</v>
      </c>
      <c r="L645" s="4" t="s">
        <v>568</v>
      </c>
      <c r="M645" s="4" t="s">
        <v>568</v>
      </c>
      <c r="N645" s="4" t="s">
        <v>33</v>
      </c>
      <c r="O645" s="6">
        <v>45055</v>
      </c>
      <c r="P645" s="4"/>
      <c r="Q645" s="4" t="s">
        <v>405</v>
      </c>
      <c r="R645" s="4" t="s">
        <v>36</v>
      </c>
      <c r="S645" s="4" t="s">
        <v>59</v>
      </c>
      <c r="T645" s="5">
        <v>5</v>
      </c>
      <c r="U645" s="6">
        <v>45054</v>
      </c>
      <c r="V645" s="4" t="s">
        <v>1353</v>
      </c>
      <c r="W645" s="10" t="s">
        <v>745</v>
      </c>
      <c r="X645" s="4"/>
      <c r="Y645" s="4"/>
      <c r="Z645" s="4"/>
      <c r="AA645" s="4"/>
      <c r="AB645" s="4"/>
      <c r="AC645" s="4"/>
      <c r="AD645" s="4">
        <f t="shared" si="10"/>
        <v>19</v>
      </c>
    </row>
    <row r="646" spans="1:30" ht="27" thickBot="1" x14ac:dyDescent="0.3">
      <c r="A646" s="3">
        <v>45053.630358796298</v>
      </c>
      <c r="B646" s="4" t="s">
        <v>1770</v>
      </c>
      <c r="C646" s="4" t="s">
        <v>254</v>
      </c>
      <c r="D646" s="31" t="s">
        <v>42</v>
      </c>
      <c r="E646" s="4" t="s">
        <v>1219</v>
      </c>
      <c r="F646" s="5">
        <v>620399163</v>
      </c>
      <c r="G646" s="5">
        <v>620399163</v>
      </c>
      <c r="H646" s="4" t="s">
        <v>476</v>
      </c>
      <c r="I646" s="5">
        <v>12</v>
      </c>
      <c r="J646" s="4" t="s">
        <v>30</v>
      </c>
      <c r="K646" s="5">
        <v>1</v>
      </c>
      <c r="L646" s="4" t="s">
        <v>512</v>
      </c>
      <c r="M646" s="4" t="s">
        <v>512</v>
      </c>
      <c r="N646" s="4" t="s">
        <v>33</v>
      </c>
      <c r="O646" s="6">
        <v>45054</v>
      </c>
      <c r="P646" s="4"/>
      <c r="Q646" s="4" t="s">
        <v>405</v>
      </c>
      <c r="R646" s="4" t="s">
        <v>36</v>
      </c>
      <c r="S646" s="4" t="s">
        <v>59</v>
      </c>
      <c r="T646" s="5">
        <v>1</v>
      </c>
      <c r="U646" s="6">
        <v>45054</v>
      </c>
      <c r="V646" s="4" t="s">
        <v>1353</v>
      </c>
      <c r="W646" s="10" t="s">
        <v>686</v>
      </c>
      <c r="X646" s="4"/>
      <c r="Y646" s="4"/>
      <c r="Z646" s="4"/>
      <c r="AA646" s="4"/>
      <c r="AB646" s="4"/>
      <c r="AC646" s="4"/>
      <c r="AD646" s="4">
        <f t="shared" si="10"/>
        <v>19</v>
      </c>
    </row>
    <row r="647" spans="1:30" ht="27" thickBot="1" x14ac:dyDescent="0.3">
      <c r="A647" s="3">
        <v>45053.632094907407</v>
      </c>
      <c r="B647" s="4" t="s">
        <v>1770</v>
      </c>
      <c r="C647" s="4" t="s">
        <v>254</v>
      </c>
      <c r="D647" s="31" t="s">
        <v>42</v>
      </c>
      <c r="E647" s="4" t="s">
        <v>1220</v>
      </c>
      <c r="F647" s="5">
        <v>625558812</v>
      </c>
      <c r="G647" s="5">
        <v>624558812</v>
      </c>
      <c r="H647" s="4" t="s">
        <v>476</v>
      </c>
      <c r="I647" s="5">
        <v>2</v>
      </c>
      <c r="J647" s="4" t="s">
        <v>38</v>
      </c>
      <c r="K647" s="5">
        <v>1</v>
      </c>
      <c r="L647" s="4" t="s">
        <v>568</v>
      </c>
      <c r="M647" s="4" t="s">
        <v>568</v>
      </c>
      <c r="N647" s="4" t="s">
        <v>90</v>
      </c>
      <c r="O647" s="6">
        <v>45055</v>
      </c>
      <c r="P647" s="4"/>
      <c r="Q647" s="4" t="s">
        <v>405</v>
      </c>
      <c r="R647" s="4" t="s">
        <v>36</v>
      </c>
      <c r="S647" s="4" t="s">
        <v>59</v>
      </c>
      <c r="T647" s="5">
        <v>1</v>
      </c>
      <c r="U647" s="6">
        <v>45054</v>
      </c>
      <c r="V647" s="4" t="s">
        <v>1353</v>
      </c>
      <c r="W647" s="10" t="s">
        <v>686</v>
      </c>
      <c r="X647" s="4"/>
      <c r="Y647" s="4"/>
      <c r="Z647" s="4"/>
      <c r="AA647" s="4"/>
      <c r="AB647" s="4"/>
      <c r="AC647" s="4"/>
      <c r="AD647" s="4">
        <f t="shared" si="10"/>
        <v>19</v>
      </c>
    </row>
    <row r="648" spans="1:30" ht="27" thickBot="1" x14ac:dyDescent="0.3">
      <c r="A648" s="3">
        <v>45053.634247685186</v>
      </c>
      <c r="B648" s="4" t="s">
        <v>1770</v>
      </c>
      <c r="C648" s="4" t="s">
        <v>254</v>
      </c>
      <c r="D648" s="31" t="s">
        <v>42</v>
      </c>
      <c r="E648" s="4" t="s">
        <v>1221</v>
      </c>
      <c r="F648" s="5">
        <v>612662729</v>
      </c>
      <c r="G648" s="5">
        <v>612662729</v>
      </c>
      <c r="H648" s="4" t="s">
        <v>476</v>
      </c>
      <c r="I648" s="5">
        <v>23</v>
      </c>
      <c r="J648" s="4" t="s">
        <v>38</v>
      </c>
      <c r="K648" s="5">
        <v>5</v>
      </c>
      <c r="L648" s="4" t="s">
        <v>689</v>
      </c>
      <c r="M648" s="4" t="s">
        <v>688</v>
      </c>
      <c r="N648" s="4" t="s">
        <v>90</v>
      </c>
      <c r="O648" s="6">
        <v>45056</v>
      </c>
      <c r="P648" s="4"/>
      <c r="Q648" s="4" t="s">
        <v>405</v>
      </c>
      <c r="R648" s="4" t="s">
        <v>36</v>
      </c>
      <c r="S648" s="4" t="s">
        <v>59</v>
      </c>
      <c r="T648" s="5">
        <v>5</v>
      </c>
      <c r="U648" s="6">
        <v>45054</v>
      </c>
      <c r="V648" s="4" t="s">
        <v>1353</v>
      </c>
      <c r="W648" s="10" t="s">
        <v>745</v>
      </c>
      <c r="X648" s="4"/>
      <c r="Y648" s="4"/>
      <c r="Z648" s="4"/>
      <c r="AA648" s="4"/>
      <c r="AB648" s="4"/>
      <c r="AC648" s="4"/>
      <c r="AD648" s="4">
        <f t="shared" si="10"/>
        <v>19</v>
      </c>
    </row>
    <row r="649" spans="1:30" ht="27" thickBot="1" x14ac:dyDescent="0.3">
      <c r="A649" s="3">
        <v>45053.636550925927</v>
      </c>
      <c r="B649" s="4" t="s">
        <v>1770</v>
      </c>
      <c r="C649" s="4" t="s">
        <v>254</v>
      </c>
      <c r="D649" s="31" t="s">
        <v>42</v>
      </c>
      <c r="E649" s="4" t="s">
        <v>157</v>
      </c>
      <c r="F649" s="5">
        <v>620662729</v>
      </c>
      <c r="G649" s="5">
        <v>620662729</v>
      </c>
      <c r="H649" s="4" t="s">
        <v>476</v>
      </c>
      <c r="I649" s="5">
        <v>12</v>
      </c>
      <c r="J649" s="4" t="s">
        <v>38</v>
      </c>
      <c r="K649" s="5">
        <v>2</v>
      </c>
      <c r="L649" s="4" t="s">
        <v>1222</v>
      </c>
      <c r="M649" s="4" t="s">
        <v>1222</v>
      </c>
      <c r="N649" s="4" t="s">
        <v>57</v>
      </c>
      <c r="O649" s="6">
        <v>45056</v>
      </c>
      <c r="P649" s="4"/>
      <c r="Q649" s="4" t="s">
        <v>405</v>
      </c>
      <c r="R649" s="4" t="s">
        <v>252</v>
      </c>
      <c r="S649" s="4" t="s">
        <v>59</v>
      </c>
      <c r="T649" s="5">
        <v>2</v>
      </c>
      <c r="U649" s="6">
        <v>45054</v>
      </c>
      <c r="V649" s="4" t="s">
        <v>1353</v>
      </c>
      <c r="W649" s="10" t="s">
        <v>684</v>
      </c>
      <c r="X649" s="4"/>
      <c r="Y649" s="4"/>
      <c r="Z649" s="4"/>
      <c r="AA649" s="4"/>
      <c r="AB649" s="4"/>
      <c r="AC649" s="4"/>
      <c r="AD649" s="4">
        <f t="shared" si="10"/>
        <v>19</v>
      </c>
    </row>
    <row r="650" spans="1:30" ht="27" thickBot="1" x14ac:dyDescent="0.3">
      <c r="A650" s="3">
        <v>45053.757708333331</v>
      </c>
      <c r="B650" s="4" t="s">
        <v>677</v>
      </c>
      <c r="C650" s="4" t="s">
        <v>678</v>
      </c>
      <c r="D650" s="31" t="s">
        <v>42</v>
      </c>
      <c r="E650" s="4" t="s">
        <v>602</v>
      </c>
      <c r="F650" s="5">
        <v>621069779</v>
      </c>
      <c r="G650" s="4"/>
      <c r="H650" s="4" t="s">
        <v>953</v>
      </c>
      <c r="I650" s="5">
        <v>5</v>
      </c>
      <c r="J650" s="4" t="s">
        <v>38</v>
      </c>
      <c r="K650" s="5">
        <v>6</v>
      </c>
      <c r="L650" s="4" t="s">
        <v>1223</v>
      </c>
      <c r="M650" s="4" t="s">
        <v>1223</v>
      </c>
      <c r="N650" s="4" t="s">
        <v>90</v>
      </c>
      <c r="O650" s="6">
        <v>45056</v>
      </c>
      <c r="P650" s="4"/>
      <c r="Q650" s="4" t="s">
        <v>682</v>
      </c>
      <c r="R650" s="4" t="s">
        <v>36</v>
      </c>
      <c r="S650" s="4"/>
      <c r="T650" s="4"/>
      <c r="U650" s="4"/>
      <c r="V650" s="4" t="s">
        <v>1372</v>
      </c>
      <c r="W650" s="4"/>
      <c r="X650" s="4"/>
      <c r="Y650" s="4"/>
      <c r="Z650" s="4"/>
      <c r="AA650" s="4"/>
      <c r="AB650" s="4"/>
      <c r="AC650" s="4"/>
      <c r="AD650" s="4">
        <f t="shared" si="10"/>
        <v>19</v>
      </c>
    </row>
    <row r="651" spans="1:30" ht="39.75" thickBot="1" x14ac:dyDescent="0.3">
      <c r="A651" s="3">
        <v>45053.767569444448</v>
      </c>
      <c r="B651" s="4" t="s">
        <v>614</v>
      </c>
      <c r="C651" s="4" t="s">
        <v>614</v>
      </c>
      <c r="D651" s="31" t="s">
        <v>42</v>
      </c>
      <c r="E651" s="4" t="s">
        <v>1224</v>
      </c>
      <c r="F651" s="5">
        <v>628172348</v>
      </c>
      <c r="G651" s="4"/>
      <c r="H651" s="4" t="s">
        <v>346</v>
      </c>
      <c r="I651" s="5">
        <v>45</v>
      </c>
      <c r="J651" s="4" t="s">
        <v>38</v>
      </c>
      <c r="K651" s="5">
        <v>3</v>
      </c>
      <c r="L651" s="4" t="s">
        <v>937</v>
      </c>
      <c r="M651" s="4" t="s">
        <v>937</v>
      </c>
      <c r="N651" s="4" t="s">
        <v>33</v>
      </c>
      <c r="O651" s="6">
        <v>45054</v>
      </c>
      <c r="P651" s="4"/>
      <c r="Q651" s="4" t="s">
        <v>616</v>
      </c>
      <c r="R651" s="4" t="s">
        <v>36</v>
      </c>
      <c r="S651" s="4" t="s">
        <v>59</v>
      </c>
      <c r="T651" s="5">
        <v>3</v>
      </c>
      <c r="U651" s="6">
        <v>45054</v>
      </c>
      <c r="V651" s="4" t="s">
        <v>1353</v>
      </c>
      <c r="W651" s="10" t="s">
        <v>933</v>
      </c>
      <c r="X651" s="4"/>
      <c r="Y651" s="4"/>
      <c r="Z651" s="4"/>
      <c r="AA651" s="4"/>
      <c r="AB651" s="4"/>
      <c r="AC651" s="4"/>
      <c r="AD651" s="4">
        <f t="shared" si="10"/>
        <v>19</v>
      </c>
    </row>
    <row r="652" spans="1:30" ht="27" thickBot="1" x14ac:dyDescent="0.3">
      <c r="A652" s="3">
        <v>45053.786296296297</v>
      </c>
      <c r="B652" s="4" t="s">
        <v>677</v>
      </c>
      <c r="C652" s="4" t="s">
        <v>678</v>
      </c>
      <c r="D652" s="31" t="s">
        <v>42</v>
      </c>
      <c r="E652" s="8" t="s">
        <v>1225</v>
      </c>
      <c r="F652" s="5">
        <v>626086113</v>
      </c>
      <c r="G652" s="4"/>
      <c r="H652" s="4" t="s">
        <v>953</v>
      </c>
      <c r="I652" s="5">
        <v>10</v>
      </c>
      <c r="J652" s="4" t="s">
        <v>38</v>
      </c>
      <c r="K652" s="5">
        <v>6</v>
      </c>
      <c r="L652" s="4" t="s">
        <v>93</v>
      </c>
      <c r="M652" s="4" t="s">
        <v>323</v>
      </c>
      <c r="N652" s="4" t="s">
        <v>47</v>
      </c>
      <c r="O652" s="6">
        <v>45060</v>
      </c>
      <c r="P652" s="4"/>
      <c r="Q652" s="4" t="s">
        <v>682</v>
      </c>
      <c r="R652" s="4" t="s">
        <v>36</v>
      </c>
      <c r="S652" s="4" t="s">
        <v>59</v>
      </c>
      <c r="T652" s="5">
        <v>2</v>
      </c>
      <c r="U652" s="6">
        <v>45056</v>
      </c>
      <c r="V652" s="4" t="s">
        <v>1353</v>
      </c>
      <c r="W652" s="10" t="s">
        <v>1383</v>
      </c>
      <c r="X652" s="4"/>
      <c r="Y652" s="4"/>
      <c r="Z652" s="4"/>
      <c r="AA652" s="4"/>
      <c r="AB652" s="4"/>
      <c r="AC652" s="4"/>
      <c r="AD652" s="4">
        <f t="shared" si="10"/>
        <v>19</v>
      </c>
    </row>
    <row r="653" spans="1:30" ht="27" thickBot="1" x14ac:dyDescent="0.3">
      <c r="A653" s="3">
        <v>45053.788587962961</v>
      </c>
      <c r="B653" s="4" t="s">
        <v>677</v>
      </c>
      <c r="C653" s="4" t="s">
        <v>678</v>
      </c>
      <c r="D653" s="31" t="s">
        <v>42</v>
      </c>
      <c r="E653" s="4" t="s">
        <v>1226</v>
      </c>
      <c r="F653" s="5">
        <v>622886278</v>
      </c>
      <c r="G653" s="4"/>
      <c r="H653" s="4" t="s">
        <v>1227</v>
      </c>
      <c r="I653" s="5">
        <v>45</v>
      </c>
      <c r="J653" s="4" t="s">
        <v>38</v>
      </c>
      <c r="K653" s="5">
        <v>15</v>
      </c>
      <c r="L653" s="4" t="s">
        <v>93</v>
      </c>
      <c r="M653" s="4" t="s">
        <v>93</v>
      </c>
      <c r="N653" s="4" t="s">
        <v>47</v>
      </c>
      <c r="O653" s="6">
        <v>45066</v>
      </c>
      <c r="P653" s="4"/>
      <c r="Q653" s="4" t="s">
        <v>682</v>
      </c>
      <c r="R653" s="4" t="s">
        <v>36</v>
      </c>
      <c r="S653" s="4"/>
      <c r="T653" s="4"/>
      <c r="U653" s="4"/>
      <c r="V653" s="4" t="s">
        <v>1372</v>
      </c>
      <c r="W653" s="4"/>
      <c r="X653" s="4"/>
      <c r="Y653" s="4"/>
      <c r="Z653" s="4"/>
      <c r="AA653" s="4"/>
      <c r="AB653" s="4"/>
      <c r="AC653" s="4"/>
      <c r="AD653" s="4">
        <f t="shared" si="10"/>
        <v>19</v>
      </c>
    </row>
    <row r="654" spans="1:30" ht="27" thickBot="1" x14ac:dyDescent="0.3">
      <c r="A654" s="3">
        <v>45054.424560185187</v>
      </c>
      <c r="B654" s="4" t="s">
        <v>677</v>
      </c>
      <c r="C654" s="4" t="s">
        <v>678</v>
      </c>
      <c r="D654" s="31" t="s">
        <v>42</v>
      </c>
      <c r="E654" s="4" t="s">
        <v>1228</v>
      </c>
      <c r="F654" s="5">
        <v>624200806</v>
      </c>
      <c r="G654" s="4"/>
      <c r="H654" s="4" t="s">
        <v>953</v>
      </c>
      <c r="I654" s="5">
        <v>2</v>
      </c>
      <c r="J654" s="4" t="s">
        <v>38</v>
      </c>
      <c r="K654" s="5">
        <v>1</v>
      </c>
      <c r="L654" s="4" t="s">
        <v>93</v>
      </c>
      <c r="M654" s="4" t="s">
        <v>93</v>
      </c>
      <c r="N654" s="4" t="s">
        <v>47</v>
      </c>
      <c r="O654" s="6">
        <v>45056</v>
      </c>
      <c r="P654" s="4"/>
      <c r="Q654" s="4" t="s">
        <v>682</v>
      </c>
      <c r="R654" s="4" t="s">
        <v>36</v>
      </c>
      <c r="S654" s="4"/>
      <c r="T654" s="4"/>
      <c r="U654" s="4"/>
      <c r="V654" s="4" t="s">
        <v>1372</v>
      </c>
      <c r="W654" s="4"/>
      <c r="X654" s="4"/>
      <c r="Y654" s="4"/>
      <c r="Z654" s="4"/>
      <c r="AA654" s="4"/>
      <c r="AB654" s="4"/>
      <c r="AC654" s="4"/>
      <c r="AD654" s="4">
        <f t="shared" si="10"/>
        <v>19</v>
      </c>
    </row>
    <row r="655" spans="1:30" ht="27" thickBot="1" x14ac:dyDescent="0.3">
      <c r="A655" s="3">
        <v>45054.445983796293</v>
      </c>
      <c r="B655" s="4" t="s">
        <v>1004</v>
      </c>
      <c r="C655" s="4" t="s">
        <v>1005</v>
      </c>
      <c r="D655" s="31" t="s">
        <v>42</v>
      </c>
      <c r="E655" s="8" t="s">
        <v>1229</v>
      </c>
      <c r="F655" s="9">
        <v>621764700</v>
      </c>
      <c r="G655" s="8"/>
      <c r="H655" s="8" t="s">
        <v>1026</v>
      </c>
      <c r="I655" s="9">
        <v>22</v>
      </c>
      <c r="J655" s="8" t="s">
        <v>38</v>
      </c>
      <c r="K655" s="8">
        <v>8</v>
      </c>
      <c r="L655" s="8" t="s">
        <v>1007</v>
      </c>
      <c r="M655" s="8" t="s">
        <v>1007</v>
      </c>
      <c r="N655" s="8" t="s">
        <v>47</v>
      </c>
      <c r="O655" s="28">
        <v>45064</v>
      </c>
      <c r="P655" s="8"/>
      <c r="Q655" s="8" t="s">
        <v>1009</v>
      </c>
      <c r="R655" s="8" t="s">
        <v>36</v>
      </c>
      <c r="S655" s="8" t="s">
        <v>59</v>
      </c>
      <c r="T655" s="9">
        <v>1</v>
      </c>
      <c r="U655" s="28">
        <v>45058</v>
      </c>
      <c r="V655" s="8" t="s">
        <v>1353</v>
      </c>
      <c r="W655" s="8" t="s">
        <v>1384</v>
      </c>
      <c r="X655" s="8"/>
      <c r="Y655" s="8"/>
      <c r="Z655" s="8"/>
      <c r="AA655" s="8"/>
      <c r="AB655" s="8"/>
      <c r="AC655" s="8"/>
      <c r="AD655" s="4">
        <f t="shared" si="10"/>
        <v>19</v>
      </c>
    </row>
    <row r="656" spans="1:30" ht="27" thickBot="1" x14ac:dyDescent="0.3">
      <c r="A656" s="3">
        <v>45054.449120370373</v>
      </c>
      <c r="B656" s="4" t="s">
        <v>1004</v>
      </c>
      <c r="C656" s="4" t="s">
        <v>1005</v>
      </c>
      <c r="D656" s="31" t="s">
        <v>42</v>
      </c>
      <c r="E656" s="8" t="s">
        <v>1230</v>
      </c>
      <c r="F656" s="9">
        <v>628026939</v>
      </c>
      <c r="G656" s="8"/>
      <c r="H656" s="8" t="s">
        <v>1026</v>
      </c>
      <c r="I656" s="8">
        <v>5</v>
      </c>
      <c r="J656" s="8" t="s">
        <v>38</v>
      </c>
      <c r="K656" s="8">
        <v>1</v>
      </c>
      <c r="L656" s="8" t="s">
        <v>1011</v>
      </c>
      <c r="M656" s="8" t="s">
        <v>1011</v>
      </c>
      <c r="N656" s="8" t="s">
        <v>47</v>
      </c>
      <c r="O656" s="28">
        <v>45064</v>
      </c>
      <c r="P656" s="8"/>
      <c r="Q656" s="8" t="s">
        <v>1009</v>
      </c>
      <c r="R656" s="8" t="s">
        <v>36</v>
      </c>
      <c r="S656" s="8" t="s">
        <v>59</v>
      </c>
      <c r="T656" s="9">
        <v>1</v>
      </c>
      <c r="U656" s="28">
        <v>45058</v>
      </c>
      <c r="V656" s="8" t="s">
        <v>1353</v>
      </c>
      <c r="W656" s="8" t="s">
        <v>1384</v>
      </c>
      <c r="X656" s="8"/>
      <c r="Y656" s="8"/>
      <c r="Z656" s="8"/>
      <c r="AA656" s="8"/>
      <c r="AB656" s="8"/>
      <c r="AC656" s="8"/>
      <c r="AD656" s="4">
        <f t="shared" si="10"/>
        <v>19</v>
      </c>
    </row>
    <row r="657" spans="1:30" ht="27" thickBot="1" x14ac:dyDescent="0.3">
      <c r="A657" s="3">
        <v>45054.451284722221</v>
      </c>
      <c r="B657" s="4" t="s">
        <v>1004</v>
      </c>
      <c r="C657" s="4" t="s">
        <v>1005</v>
      </c>
      <c r="D657" s="31" t="s">
        <v>42</v>
      </c>
      <c r="E657" s="8" t="s">
        <v>1231</v>
      </c>
      <c r="F657" s="9">
        <v>622187998</v>
      </c>
      <c r="G657" s="8"/>
      <c r="H657" s="8" t="s">
        <v>1026</v>
      </c>
      <c r="I657" s="8">
        <v>5</v>
      </c>
      <c r="J657" s="8" t="s">
        <v>38</v>
      </c>
      <c r="K657" s="8">
        <v>2</v>
      </c>
      <c r="L657" s="8" t="s">
        <v>1007</v>
      </c>
      <c r="M657" s="8" t="s">
        <v>1007</v>
      </c>
      <c r="N657" s="8" t="s">
        <v>47</v>
      </c>
      <c r="O657" s="28">
        <v>45064</v>
      </c>
      <c r="P657" s="8"/>
      <c r="Q657" s="8" t="s">
        <v>1009</v>
      </c>
      <c r="R657" s="8" t="s">
        <v>36</v>
      </c>
      <c r="S657" s="8" t="s">
        <v>59</v>
      </c>
      <c r="T657" s="9">
        <v>2</v>
      </c>
      <c r="U657" s="28">
        <v>45058</v>
      </c>
      <c r="V657" s="8" t="s">
        <v>1353</v>
      </c>
      <c r="W657" s="8" t="s">
        <v>1384</v>
      </c>
      <c r="X657" s="8"/>
      <c r="Y657" s="8"/>
      <c r="Z657" s="8"/>
      <c r="AA657" s="8"/>
      <c r="AB657" s="8"/>
      <c r="AC657" s="8"/>
      <c r="AD657" s="4">
        <f t="shared" si="10"/>
        <v>19</v>
      </c>
    </row>
    <row r="658" spans="1:30" ht="27" thickBot="1" x14ac:dyDescent="0.3">
      <c r="A658" s="3">
        <v>45054.453379629631</v>
      </c>
      <c r="B658" s="4" t="s">
        <v>1004</v>
      </c>
      <c r="C658" s="4" t="s">
        <v>1005</v>
      </c>
      <c r="D658" s="31" t="s">
        <v>42</v>
      </c>
      <c r="E658" s="8" t="s">
        <v>166</v>
      </c>
      <c r="F658" s="9">
        <v>620977396</v>
      </c>
      <c r="G658" s="8"/>
      <c r="H658" s="8" t="s">
        <v>1017</v>
      </c>
      <c r="I658" s="9">
        <v>50</v>
      </c>
      <c r="J658" s="8" t="s">
        <v>38</v>
      </c>
      <c r="K658" s="8">
        <v>6</v>
      </c>
      <c r="L658" s="8" t="s">
        <v>1232</v>
      </c>
      <c r="M658" s="8" t="s">
        <v>1232</v>
      </c>
      <c r="N658" s="8" t="s">
        <v>47</v>
      </c>
      <c r="O658" s="28">
        <v>45064</v>
      </c>
      <c r="P658" s="8"/>
      <c r="Q658" s="8" t="s">
        <v>1009</v>
      </c>
      <c r="R658" s="8" t="s">
        <v>36</v>
      </c>
      <c r="S658" s="8"/>
      <c r="T658" s="8"/>
      <c r="U658" s="8"/>
      <c r="V658" s="8" t="s">
        <v>1372</v>
      </c>
      <c r="W658" s="8"/>
      <c r="X658" s="8"/>
      <c r="Y658" s="8"/>
      <c r="Z658" s="8"/>
      <c r="AA658" s="8"/>
      <c r="AB658" s="8"/>
      <c r="AC658" s="8"/>
      <c r="AD658" s="4">
        <f t="shared" si="10"/>
        <v>19</v>
      </c>
    </row>
    <row r="659" spans="1:30" ht="27" thickBot="1" x14ac:dyDescent="0.3">
      <c r="A659" s="3">
        <v>45054.455763888887</v>
      </c>
      <c r="B659" s="4" t="s">
        <v>1004</v>
      </c>
      <c r="C659" s="4" t="s">
        <v>1005</v>
      </c>
      <c r="D659" s="31" t="s">
        <v>42</v>
      </c>
      <c r="E659" s="8" t="s">
        <v>1233</v>
      </c>
      <c r="F659" s="9">
        <v>628279776</v>
      </c>
      <c r="G659" s="8"/>
      <c r="H659" s="8" t="s">
        <v>1026</v>
      </c>
      <c r="I659" s="8">
        <v>8</v>
      </c>
      <c r="J659" s="8" t="s">
        <v>38</v>
      </c>
      <c r="K659" s="9">
        <v>13</v>
      </c>
      <c r="L659" s="8" t="s">
        <v>1007</v>
      </c>
      <c r="M659" s="8" t="s">
        <v>1007</v>
      </c>
      <c r="N659" s="8" t="s">
        <v>47</v>
      </c>
      <c r="O659" s="28">
        <v>45068</v>
      </c>
      <c r="P659" s="8"/>
      <c r="Q659" s="8" t="s">
        <v>1009</v>
      </c>
      <c r="R659" s="8" t="s">
        <v>36</v>
      </c>
      <c r="S659" s="8"/>
      <c r="T659" s="8"/>
      <c r="U659" s="8"/>
      <c r="V659" s="8" t="s">
        <v>1372</v>
      </c>
      <c r="W659" s="8"/>
      <c r="X659" s="8"/>
      <c r="Y659" s="8"/>
      <c r="Z659" s="8"/>
      <c r="AA659" s="8"/>
      <c r="AB659" s="8"/>
      <c r="AC659" s="8"/>
      <c r="AD659" s="4">
        <f t="shared" si="10"/>
        <v>19</v>
      </c>
    </row>
    <row r="660" spans="1:30" ht="27" thickBot="1" x14ac:dyDescent="0.3">
      <c r="A660" s="3">
        <v>45054.458240740743</v>
      </c>
      <c r="B660" s="4" t="s">
        <v>1004</v>
      </c>
      <c r="C660" s="4" t="s">
        <v>1005</v>
      </c>
      <c r="D660" s="31" t="s">
        <v>27</v>
      </c>
      <c r="E660" s="8" t="s">
        <v>1234</v>
      </c>
      <c r="F660" s="9">
        <v>628411307</v>
      </c>
      <c r="G660" s="8"/>
      <c r="H660" s="8" t="s">
        <v>1017</v>
      </c>
      <c r="I660" s="9">
        <v>58</v>
      </c>
      <c r="J660" s="8" t="s">
        <v>38</v>
      </c>
      <c r="K660" s="9">
        <v>40</v>
      </c>
      <c r="L660" s="8" t="s">
        <v>1235</v>
      </c>
      <c r="M660" s="8" t="s">
        <v>1235</v>
      </c>
      <c r="N660" s="8" t="s">
        <v>47</v>
      </c>
      <c r="O660" s="28">
        <v>45061</v>
      </c>
      <c r="P660" s="8"/>
      <c r="Q660" s="8" t="s">
        <v>1009</v>
      </c>
      <c r="R660" s="8" t="s">
        <v>36</v>
      </c>
      <c r="S660" s="8"/>
      <c r="T660" s="8"/>
      <c r="U660" s="8"/>
      <c r="V660" s="8" t="s">
        <v>1372</v>
      </c>
      <c r="W660" s="8"/>
      <c r="X660" s="8"/>
      <c r="Y660" s="8"/>
      <c r="Z660" s="8"/>
      <c r="AA660" s="8"/>
      <c r="AB660" s="8"/>
      <c r="AC660" s="8"/>
      <c r="AD660" s="4">
        <f t="shared" si="10"/>
        <v>19</v>
      </c>
    </row>
    <row r="661" spans="1:30" ht="27" thickBot="1" x14ac:dyDescent="0.3">
      <c r="A661" s="3">
        <v>45054.460532407407</v>
      </c>
      <c r="B661" s="4" t="s">
        <v>1004</v>
      </c>
      <c r="C661" s="4" t="s">
        <v>1005</v>
      </c>
      <c r="D661" s="31" t="s">
        <v>42</v>
      </c>
      <c r="E661" s="8" t="s">
        <v>1236</v>
      </c>
      <c r="F661" s="9">
        <v>628597304</v>
      </c>
      <c r="G661" s="8"/>
      <c r="H661" s="8" t="s">
        <v>1026</v>
      </c>
      <c r="I661" s="9">
        <v>28</v>
      </c>
      <c r="J661" s="8" t="s">
        <v>38</v>
      </c>
      <c r="K661" s="8">
        <v>5</v>
      </c>
      <c r="L661" s="8" t="s">
        <v>1022</v>
      </c>
      <c r="M661" s="8" t="s">
        <v>1022</v>
      </c>
      <c r="N661" s="8" t="s">
        <v>57</v>
      </c>
      <c r="O661" s="28">
        <v>45087</v>
      </c>
      <c r="P661" s="8"/>
      <c r="Q661" s="8" t="s">
        <v>1009</v>
      </c>
      <c r="R661" s="8" t="s">
        <v>36</v>
      </c>
      <c r="S661" s="8"/>
      <c r="T661" s="8"/>
      <c r="U661" s="8"/>
      <c r="V661" s="8" t="s">
        <v>1372</v>
      </c>
      <c r="W661" s="8"/>
      <c r="X661" s="8"/>
      <c r="Y661" s="8"/>
      <c r="Z661" s="8"/>
      <c r="AA661" s="8"/>
      <c r="AB661" s="8"/>
      <c r="AC661" s="8"/>
      <c r="AD661" s="4">
        <f t="shared" si="10"/>
        <v>19</v>
      </c>
    </row>
    <row r="662" spans="1:30" ht="27" thickBot="1" x14ac:dyDescent="0.3">
      <c r="A662" s="3">
        <v>45054.464305555557</v>
      </c>
      <c r="B662" s="4" t="s">
        <v>1004</v>
      </c>
      <c r="C662" s="4" t="s">
        <v>1005</v>
      </c>
      <c r="D662" s="31" t="s">
        <v>27</v>
      </c>
      <c r="E662" s="4" t="s">
        <v>1046</v>
      </c>
      <c r="F662" s="5">
        <v>628855982</v>
      </c>
      <c r="G662" s="4"/>
      <c r="H662" s="4" t="s">
        <v>1026</v>
      </c>
      <c r="I662" s="4">
        <v>6</v>
      </c>
      <c r="J662" s="4" t="s">
        <v>38</v>
      </c>
      <c r="K662" s="5">
        <v>20</v>
      </c>
      <c r="L662" s="4" t="s">
        <v>644</v>
      </c>
      <c r="M662" s="4" t="s">
        <v>644</v>
      </c>
      <c r="N662" s="4" t="s">
        <v>47</v>
      </c>
      <c r="O662" s="6">
        <v>45066</v>
      </c>
      <c r="P662" s="4"/>
      <c r="Q662" s="4" t="s">
        <v>1009</v>
      </c>
      <c r="R662" s="4" t="s">
        <v>36</v>
      </c>
      <c r="S662" s="4"/>
      <c r="T662" s="4"/>
      <c r="U662" s="4"/>
      <c r="V662" s="4" t="s">
        <v>1372</v>
      </c>
      <c r="W662" s="4"/>
      <c r="X662" s="4"/>
      <c r="Y662" s="4"/>
      <c r="Z662" s="4"/>
      <c r="AA662" s="4"/>
      <c r="AB662" s="4"/>
      <c r="AC662" s="4"/>
      <c r="AD662" s="4">
        <f t="shared" si="10"/>
        <v>19</v>
      </c>
    </row>
    <row r="663" spans="1:30" ht="27" thickBot="1" x14ac:dyDescent="0.3">
      <c r="A663" s="3">
        <v>45054.468761574077</v>
      </c>
      <c r="B663" s="4" t="s">
        <v>1004</v>
      </c>
      <c r="C663" s="4" t="s">
        <v>1005</v>
      </c>
      <c r="D663" s="31" t="s">
        <v>42</v>
      </c>
      <c r="E663" s="8" t="s">
        <v>1237</v>
      </c>
      <c r="F663" s="9">
        <v>621704756</v>
      </c>
      <c r="G663" s="8"/>
      <c r="H663" s="8" t="s">
        <v>1026</v>
      </c>
      <c r="I663" s="8">
        <v>6</v>
      </c>
      <c r="J663" s="8" t="s">
        <v>38</v>
      </c>
      <c r="K663" s="9">
        <v>14</v>
      </c>
      <c r="L663" s="8" t="s">
        <v>1238</v>
      </c>
      <c r="M663" s="8" t="s">
        <v>1238</v>
      </c>
      <c r="N663" s="8" t="s">
        <v>33</v>
      </c>
      <c r="O663" s="28">
        <v>45066</v>
      </c>
      <c r="P663" s="8"/>
      <c r="Q663" s="8" t="s">
        <v>1009</v>
      </c>
      <c r="R663" s="8" t="s">
        <v>36</v>
      </c>
      <c r="S663" s="8"/>
      <c r="T663" s="8"/>
      <c r="U663" s="8"/>
      <c r="V663" s="8" t="s">
        <v>1372</v>
      </c>
      <c r="W663" s="8"/>
      <c r="X663" s="8"/>
      <c r="Y663" s="8"/>
      <c r="Z663" s="8"/>
      <c r="AA663" s="8"/>
      <c r="AB663" s="8"/>
      <c r="AC663" s="8"/>
      <c r="AD663" s="4">
        <f t="shared" si="10"/>
        <v>19</v>
      </c>
    </row>
    <row r="664" spans="1:30" ht="27" thickBot="1" x14ac:dyDescent="0.3">
      <c r="A664" s="3">
        <v>45054.48505787037</v>
      </c>
      <c r="B664" s="4" t="s">
        <v>1769</v>
      </c>
      <c r="C664" s="4" t="s">
        <v>225</v>
      </c>
      <c r="D664" s="31" t="s">
        <v>42</v>
      </c>
      <c r="E664" s="4" t="s">
        <v>1239</v>
      </c>
      <c r="F664" s="5">
        <v>623216655</v>
      </c>
      <c r="G664" s="5">
        <v>623216655</v>
      </c>
      <c r="H664" s="4" t="s">
        <v>1115</v>
      </c>
      <c r="I664" s="5">
        <v>3</v>
      </c>
      <c r="J664" s="4" t="s">
        <v>38</v>
      </c>
      <c r="K664" s="5">
        <v>3</v>
      </c>
      <c r="L664" s="4" t="s">
        <v>93</v>
      </c>
      <c r="M664" s="4" t="s">
        <v>93</v>
      </c>
      <c r="N664" s="4" t="s">
        <v>47</v>
      </c>
      <c r="O664" s="6">
        <v>45054</v>
      </c>
      <c r="P664" s="4" t="s">
        <v>660</v>
      </c>
      <c r="Q664" s="4" t="s">
        <v>232</v>
      </c>
      <c r="R664" s="4" t="s">
        <v>36</v>
      </c>
      <c r="S664" s="4" t="s">
        <v>59</v>
      </c>
      <c r="T664" s="5">
        <v>3</v>
      </c>
      <c r="U664" s="6">
        <v>45054</v>
      </c>
      <c r="V664" s="4" t="s">
        <v>1353</v>
      </c>
      <c r="W664" s="4" t="s">
        <v>1116</v>
      </c>
      <c r="X664" s="4"/>
      <c r="Y664" s="4"/>
      <c r="Z664" s="4"/>
      <c r="AA664" s="4"/>
      <c r="AB664" s="4"/>
      <c r="AC664" s="4"/>
      <c r="AD664" s="4">
        <f t="shared" si="10"/>
        <v>19</v>
      </c>
    </row>
    <row r="665" spans="1:30" ht="27" thickBot="1" x14ac:dyDescent="0.3">
      <c r="A665" s="3">
        <v>45054.505590277775</v>
      </c>
      <c r="B665" s="4" t="s">
        <v>1771</v>
      </c>
      <c r="C665" s="4" t="s">
        <v>496</v>
      </c>
      <c r="D665" s="31" t="s">
        <v>42</v>
      </c>
      <c r="E665" s="4" t="s">
        <v>1240</v>
      </c>
      <c r="F665" s="5">
        <v>628279428</v>
      </c>
      <c r="G665" s="5">
        <v>628279428</v>
      </c>
      <c r="H665" s="4" t="s">
        <v>525</v>
      </c>
      <c r="I665" s="5">
        <v>6</v>
      </c>
      <c r="J665" s="4" t="s">
        <v>38</v>
      </c>
      <c r="K665" s="5">
        <v>2</v>
      </c>
      <c r="L665" s="4" t="s">
        <v>982</v>
      </c>
      <c r="M665" s="4" t="s">
        <v>546</v>
      </c>
      <c r="N665" s="4" t="s">
        <v>90</v>
      </c>
      <c r="O665" s="6">
        <v>45054</v>
      </c>
      <c r="P665" s="4" t="s">
        <v>523</v>
      </c>
      <c r="Q665" s="4" t="s">
        <v>500</v>
      </c>
      <c r="R665" s="4" t="s">
        <v>36</v>
      </c>
      <c r="S665" s="4" t="s">
        <v>59</v>
      </c>
      <c r="T665" s="5">
        <v>2</v>
      </c>
      <c r="U665" s="6">
        <v>45055</v>
      </c>
      <c r="V665" s="4" t="s">
        <v>1353</v>
      </c>
      <c r="W665" s="4" t="s">
        <v>918</v>
      </c>
      <c r="X665" s="4"/>
      <c r="Y665" s="4"/>
      <c r="Z665" s="4"/>
      <c r="AA665" s="4"/>
      <c r="AB665" s="4"/>
      <c r="AC665" s="4"/>
      <c r="AD665" s="4">
        <f t="shared" si="10"/>
        <v>19</v>
      </c>
    </row>
    <row r="666" spans="1:30" ht="27" thickBot="1" x14ac:dyDescent="0.3">
      <c r="A666" s="3">
        <v>45054.50744212963</v>
      </c>
      <c r="B666" s="4" t="s">
        <v>1770</v>
      </c>
      <c r="C666" s="4" t="s">
        <v>254</v>
      </c>
      <c r="D666" s="31" t="s">
        <v>42</v>
      </c>
      <c r="E666" s="4" t="s">
        <v>1241</v>
      </c>
      <c r="F666" s="5">
        <v>623521622</v>
      </c>
      <c r="G666" s="5">
        <v>623521622</v>
      </c>
      <c r="H666" s="4" t="s">
        <v>476</v>
      </c>
      <c r="I666" s="5">
        <v>3</v>
      </c>
      <c r="J666" s="4" t="s">
        <v>38</v>
      </c>
      <c r="K666" s="5">
        <v>2</v>
      </c>
      <c r="L666" s="4" t="s">
        <v>333</v>
      </c>
      <c r="M666" s="4" t="s">
        <v>333</v>
      </c>
      <c r="N666" s="4" t="s">
        <v>33</v>
      </c>
      <c r="O666" s="6">
        <v>45055</v>
      </c>
      <c r="P666" s="4"/>
      <c r="Q666" s="4" t="s">
        <v>405</v>
      </c>
      <c r="R666" s="4" t="s">
        <v>36</v>
      </c>
      <c r="S666" s="4" t="s">
        <v>59</v>
      </c>
      <c r="T666" s="5">
        <v>2</v>
      </c>
      <c r="U666" s="6">
        <v>45054</v>
      </c>
      <c r="V666" s="4" t="s">
        <v>1353</v>
      </c>
      <c r="W666" s="10" t="s">
        <v>745</v>
      </c>
      <c r="X666" s="4"/>
      <c r="Y666" s="4"/>
      <c r="Z666" s="4"/>
      <c r="AA666" s="4"/>
      <c r="AB666" s="4"/>
      <c r="AC666" s="4"/>
      <c r="AD666" s="4">
        <f t="shared" si="10"/>
        <v>19</v>
      </c>
    </row>
    <row r="667" spans="1:30" ht="27" thickBot="1" x14ac:dyDescent="0.3">
      <c r="A667" s="3">
        <v>45054.525509259256</v>
      </c>
      <c r="B667" s="4" t="s">
        <v>1772</v>
      </c>
      <c r="C667" s="4" t="s">
        <v>1243</v>
      </c>
      <c r="D667" s="31" t="s">
        <v>42</v>
      </c>
      <c r="E667" s="4" t="s">
        <v>1244</v>
      </c>
      <c r="F667" s="5">
        <v>622833959</v>
      </c>
      <c r="G667" s="4"/>
      <c r="H667" s="4" t="s">
        <v>45</v>
      </c>
      <c r="I667" s="5">
        <v>4</v>
      </c>
      <c r="J667" s="4" t="s">
        <v>101</v>
      </c>
      <c r="K667" s="5">
        <v>3</v>
      </c>
      <c r="L667" s="4" t="s">
        <v>395</v>
      </c>
      <c r="M667" s="4" t="s">
        <v>1245</v>
      </c>
      <c r="N667" s="4" t="s">
        <v>47</v>
      </c>
      <c r="O667" s="6">
        <v>45054</v>
      </c>
      <c r="P667" s="4"/>
      <c r="Q667" s="4" t="s">
        <v>1246</v>
      </c>
      <c r="R667" s="4" t="s">
        <v>36</v>
      </c>
      <c r="S667" s="4" t="s">
        <v>59</v>
      </c>
      <c r="T667" s="5">
        <v>3</v>
      </c>
      <c r="U667" s="6">
        <v>45055</v>
      </c>
      <c r="V667" s="4" t="s">
        <v>1353</v>
      </c>
      <c r="W667" s="4" t="s">
        <v>1247</v>
      </c>
      <c r="X667" s="4"/>
      <c r="Y667" s="4"/>
      <c r="Z667" s="4"/>
      <c r="AA667" s="4"/>
      <c r="AB667" s="4"/>
      <c r="AC667" s="4"/>
      <c r="AD667" s="4">
        <f t="shared" si="10"/>
        <v>19</v>
      </c>
    </row>
    <row r="668" spans="1:30" ht="27" thickBot="1" x14ac:dyDescent="0.3">
      <c r="A668" s="3">
        <v>45054.528564814813</v>
      </c>
      <c r="B668" s="4" t="s">
        <v>1772</v>
      </c>
      <c r="C668" s="4" t="s">
        <v>1248</v>
      </c>
      <c r="D668" s="31" t="s">
        <v>42</v>
      </c>
      <c r="E668" s="4" t="s">
        <v>1249</v>
      </c>
      <c r="F668" s="5">
        <v>623833959</v>
      </c>
      <c r="G668" s="4"/>
      <c r="H668" s="4" t="s">
        <v>45</v>
      </c>
      <c r="I668" s="5">
        <v>5</v>
      </c>
      <c r="J668" s="4" t="s">
        <v>38</v>
      </c>
      <c r="K668" s="5">
        <v>3</v>
      </c>
      <c r="L668" s="4" t="s">
        <v>93</v>
      </c>
      <c r="M668" s="4" t="s">
        <v>36</v>
      </c>
      <c r="N668" s="4" t="s">
        <v>47</v>
      </c>
      <c r="O668" s="6">
        <v>45054</v>
      </c>
      <c r="P668" s="4"/>
      <c r="Q668" s="4" t="s">
        <v>1246</v>
      </c>
      <c r="R668" s="4" t="s">
        <v>36</v>
      </c>
      <c r="S668" s="4" t="s">
        <v>59</v>
      </c>
      <c r="T668" s="5">
        <v>3</v>
      </c>
      <c r="U668" s="6">
        <v>45055</v>
      </c>
      <c r="V668" s="4" t="s">
        <v>1353</v>
      </c>
      <c r="W668" s="4" t="s">
        <v>1247</v>
      </c>
      <c r="X668" s="4"/>
      <c r="Y668" s="4"/>
      <c r="Z668" s="4"/>
      <c r="AA668" s="4"/>
      <c r="AB668" s="4"/>
      <c r="AC668" s="4"/>
      <c r="AD668" s="4">
        <f t="shared" si="10"/>
        <v>19</v>
      </c>
    </row>
    <row r="669" spans="1:30" ht="27" thickBot="1" x14ac:dyDescent="0.3">
      <c r="A669" s="3">
        <v>45054.531770833331</v>
      </c>
      <c r="B669" s="4" t="s">
        <v>1772</v>
      </c>
      <c r="C669" s="4" t="s">
        <v>1250</v>
      </c>
      <c r="D669" s="31" t="s">
        <v>42</v>
      </c>
      <c r="E669" s="4" t="s">
        <v>1251</v>
      </c>
      <c r="F669" s="5">
        <v>628691529</v>
      </c>
      <c r="G669" s="4"/>
      <c r="H669" s="4" t="s">
        <v>45</v>
      </c>
      <c r="I669" s="5">
        <v>3</v>
      </c>
      <c r="J669" s="4" t="s">
        <v>38</v>
      </c>
      <c r="K669" s="5">
        <v>1</v>
      </c>
      <c r="L669" s="4" t="s">
        <v>1252</v>
      </c>
      <c r="M669" s="4" t="s">
        <v>1253</v>
      </c>
      <c r="N669" s="4" t="s">
        <v>57</v>
      </c>
      <c r="O669" s="6">
        <v>45053</v>
      </c>
      <c r="P669" s="4"/>
      <c r="Q669" s="4" t="s">
        <v>1246</v>
      </c>
      <c r="R669" s="4" t="s">
        <v>1254</v>
      </c>
      <c r="S669" s="4" t="s">
        <v>59</v>
      </c>
      <c r="T669" s="5">
        <v>1</v>
      </c>
      <c r="U669" s="6">
        <v>45055</v>
      </c>
      <c r="V669" s="4" t="s">
        <v>1353</v>
      </c>
      <c r="W669" s="4" t="s">
        <v>1247</v>
      </c>
      <c r="X669" s="4"/>
      <c r="Y669" s="4"/>
      <c r="Z669" s="4"/>
      <c r="AA669" s="4"/>
      <c r="AB669" s="4"/>
      <c r="AC669" s="4"/>
      <c r="AD669" s="4">
        <f t="shared" si="10"/>
        <v>19</v>
      </c>
    </row>
    <row r="670" spans="1:30" ht="27" thickBot="1" x14ac:dyDescent="0.3">
      <c r="A670" s="3">
        <v>45054.533055555556</v>
      </c>
      <c r="B670" s="4" t="s">
        <v>391</v>
      </c>
      <c r="C670" s="4" t="s">
        <v>392</v>
      </c>
      <c r="D670" s="31" t="s">
        <v>42</v>
      </c>
      <c r="E670" s="4" t="s">
        <v>1255</v>
      </c>
      <c r="F670" s="5">
        <v>622315811</v>
      </c>
      <c r="G670" s="5">
        <v>622315811</v>
      </c>
      <c r="H670" s="4" t="s">
        <v>447</v>
      </c>
      <c r="I670" s="5">
        <v>25</v>
      </c>
      <c r="J670" s="4" t="s">
        <v>38</v>
      </c>
      <c r="K670" s="5">
        <v>10</v>
      </c>
      <c r="L670" s="4" t="s">
        <v>120</v>
      </c>
      <c r="M670" s="4" t="s">
        <v>120</v>
      </c>
      <c r="N670" s="4" t="s">
        <v>33</v>
      </c>
      <c r="O670" s="6">
        <v>45054</v>
      </c>
      <c r="P670" s="4" t="s">
        <v>1256</v>
      </c>
      <c r="Q670" s="4" t="s">
        <v>397</v>
      </c>
      <c r="R670" s="4" t="s">
        <v>36</v>
      </c>
      <c r="S670" s="4" t="s">
        <v>59</v>
      </c>
      <c r="T670" s="5">
        <v>10</v>
      </c>
      <c r="U670" s="6">
        <v>45054</v>
      </c>
      <c r="V670" s="4" t="s">
        <v>1353</v>
      </c>
      <c r="W670" s="4" t="s">
        <v>620</v>
      </c>
      <c r="X670" s="4"/>
      <c r="Y670" s="4"/>
      <c r="Z670" s="4"/>
      <c r="AA670" s="4"/>
      <c r="AB670" s="4"/>
      <c r="AC670" s="4"/>
      <c r="AD670" s="4">
        <f t="shared" si="10"/>
        <v>19</v>
      </c>
    </row>
    <row r="671" spans="1:30" ht="27" thickBot="1" x14ac:dyDescent="0.3">
      <c r="A671" s="3">
        <v>45054.544490740744</v>
      </c>
      <c r="B671" s="4" t="s">
        <v>241</v>
      </c>
      <c r="C671" s="4" t="s">
        <v>606</v>
      </c>
      <c r="D671" s="31" t="s">
        <v>42</v>
      </c>
      <c r="E671" s="4" t="s">
        <v>1257</v>
      </c>
      <c r="F671" s="5">
        <v>622450474</v>
      </c>
      <c r="G671" s="4"/>
      <c r="H671" s="4" t="s">
        <v>825</v>
      </c>
      <c r="I671" s="5">
        <v>82</v>
      </c>
      <c r="J671" s="4" t="s">
        <v>101</v>
      </c>
      <c r="K671" s="5">
        <v>7</v>
      </c>
      <c r="L671" s="4" t="s">
        <v>909</v>
      </c>
      <c r="M671" s="4" t="s">
        <v>246</v>
      </c>
      <c r="N671" s="4" t="s">
        <v>33</v>
      </c>
      <c r="O671" s="6">
        <v>45077</v>
      </c>
      <c r="P671" s="4" t="s">
        <v>706</v>
      </c>
      <c r="Q671" s="4" t="s">
        <v>247</v>
      </c>
      <c r="R671" s="4" t="s">
        <v>36</v>
      </c>
      <c r="S671" s="4"/>
      <c r="T671" s="4"/>
      <c r="U671" s="4"/>
      <c r="V671" s="4" t="s">
        <v>1372</v>
      </c>
      <c r="W671" s="4"/>
      <c r="X671" s="4"/>
      <c r="Y671" s="4"/>
      <c r="Z671" s="4"/>
      <c r="AA671" s="4"/>
      <c r="AB671" s="4"/>
      <c r="AC671" s="4"/>
      <c r="AD671" s="4">
        <f t="shared" si="10"/>
        <v>19</v>
      </c>
    </row>
    <row r="672" spans="1:30" ht="27" thickBot="1" x14ac:dyDescent="0.3">
      <c r="A672" s="3">
        <v>45054.552233796298</v>
      </c>
      <c r="B672" s="4" t="s">
        <v>241</v>
      </c>
      <c r="C672" s="4" t="s">
        <v>606</v>
      </c>
      <c r="D672" s="31" t="s">
        <v>42</v>
      </c>
      <c r="E672" s="4" t="s">
        <v>1258</v>
      </c>
      <c r="F672" s="5">
        <v>628915770</v>
      </c>
      <c r="G672" s="4"/>
      <c r="H672" s="4" t="s">
        <v>825</v>
      </c>
      <c r="I672" s="5">
        <v>82</v>
      </c>
      <c r="J672" s="4" t="s">
        <v>101</v>
      </c>
      <c r="K672" s="5">
        <v>4</v>
      </c>
      <c r="L672" s="4" t="s">
        <v>723</v>
      </c>
      <c r="M672" s="4" t="s">
        <v>147</v>
      </c>
      <c r="N672" s="4" t="s">
        <v>47</v>
      </c>
      <c r="O672" s="6">
        <v>45095</v>
      </c>
      <c r="P672" s="4" t="s">
        <v>706</v>
      </c>
      <c r="Q672" s="4" t="s">
        <v>247</v>
      </c>
      <c r="R672" s="4" t="s">
        <v>36</v>
      </c>
      <c r="S672" s="4"/>
      <c r="T672" s="4"/>
      <c r="U672" s="4"/>
      <c r="V672" s="4" t="s">
        <v>1372</v>
      </c>
      <c r="W672" s="4"/>
      <c r="X672" s="4"/>
      <c r="Y672" s="4"/>
      <c r="Z672" s="4"/>
      <c r="AA672" s="4"/>
      <c r="AB672" s="4"/>
      <c r="AC672" s="4"/>
      <c r="AD672" s="4">
        <f t="shared" si="10"/>
        <v>19</v>
      </c>
    </row>
    <row r="673" spans="1:30" ht="27" thickBot="1" x14ac:dyDescent="0.3">
      <c r="A673" s="3">
        <v>45054.553831018522</v>
      </c>
      <c r="B673" s="4" t="s">
        <v>241</v>
      </c>
      <c r="C673" s="4" t="s">
        <v>606</v>
      </c>
      <c r="D673" s="31" t="s">
        <v>42</v>
      </c>
      <c r="E673" s="4" t="s">
        <v>1259</v>
      </c>
      <c r="F673" s="5">
        <v>622881583</v>
      </c>
      <c r="G673" s="4"/>
      <c r="H673" s="4" t="s">
        <v>825</v>
      </c>
      <c r="I673" s="5">
        <v>77</v>
      </c>
      <c r="J673" s="4" t="s">
        <v>101</v>
      </c>
      <c r="K673" s="5">
        <v>6</v>
      </c>
      <c r="L673" s="4" t="s">
        <v>723</v>
      </c>
      <c r="M673" s="4" t="s">
        <v>147</v>
      </c>
      <c r="N673" s="4" t="s">
        <v>47</v>
      </c>
      <c r="O673" s="6">
        <v>45106</v>
      </c>
      <c r="P673" s="4" t="s">
        <v>713</v>
      </c>
      <c r="Q673" s="4" t="s">
        <v>247</v>
      </c>
      <c r="R673" s="4" t="s">
        <v>36</v>
      </c>
      <c r="S673" s="4"/>
      <c r="T673" s="4"/>
      <c r="U673" s="4"/>
      <c r="V673" s="4" t="s">
        <v>1372</v>
      </c>
      <c r="W673" s="4"/>
      <c r="X673" s="4"/>
      <c r="Y673" s="4"/>
      <c r="Z673" s="4"/>
      <c r="AA673" s="4"/>
      <c r="AB673" s="4"/>
      <c r="AC673" s="4"/>
      <c r="AD673" s="4">
        <f t="shared" si="10"/>
        <v>19</v>
      </c>
    </row>
    <row r="674" spans="1:30" ht="27" thickBot="1" x14ac:dyDescent="0.3">
      <c r="A674" s="3">
        <v>45054.555879629632</v>
      </c>
      <c r="B674" s="4" t="s">
        <v>241</v>
      </c>
      <c r="C674" s="4" t="s">
        <v>606</v>
      </c>
      <c r="D674" s="31" t="s">
        <v>27</v>
      </c>
      <c r="E674" s="4" t="s">
        <v>1260</v>
      </c>
      <c r="F674" s="5">
        <v>620838058</v>
      </c>
      <c r="G674" s="4"/>
      <c r="H674" s="4" t="s">
        <v>825</v>
      </c>
      <c r="I674" s="5">
        <v>91</v>
      </c>
      <c r="J674" s="4" t="s">
        <v>38</v>
      </c>
      <c r="K674" s="5">
        <v>30</v>
      </c>
      <c r="L674" s="4" t="s">
        <v>1261</v>
      </c>
      <c r="M674" s="4" t="s">
        <v>1262</v>
      </c>
      <c r="N674" s="4" t="s">
        <v>33</v>
      </c>
      <c r="O674" s="6">
        <v>45071</v>
      </c>
      <c r="P674" s="4" t="s">
        <v>706</v>
      </c>
      <c r="Q674" s="4" t="s">
        <v>247</v>
      </c>
      <c r="R674" s="4" t="s">
        <v>36</v>
      </c>
      <c r="S674" s="4"/>
      <c r="T674" s="4"/>
      <c r="U674" s="4"/>
      <c r="V674" s="4" t="s">
        <v>1372</v>
      </c>
      <c r="W674" s="4"/>
      <c r="X674" s="4"/>
      <c r="Y674" s="4"/>
      <c r="Z674" s="4"/>
      <c r="AA674" s="4"/>
      <c r="AB674" s="4"/>
      <c r="AC674" s="4"/>
      <c r="AD674" s="4">
        <f t="shared" si="10"/>
        <v>19</v>
      </c>
    </row>
    <row r="675" spans="1:30" ht="39.75" thickBot="1" x14ac:dyDescent="0.3">
      <c r="A675" s="3">
        <v>45054.594571759262</v>
      </c>
      <c r="B675" s="4" t="s">
        <v>79</v>
      </c>
      <c r="C675" s="4" t="s">
        <v>80</v>
      </c>
      <c r="D675" s="31" t="s">
        <v>42</v>
      </c>
      <c r="E675" s="4" t="s">
        <v>1263</v>
      </c>
      <c r="F675" s="5">
        <v>628390161</v>
      </c>
      <c r="G675" s="5">
        <v>0</v>
      </c>
      <c r="H675" s="4" t="s">
        <v>365</v>
      </c>
      <c r="I675" s="5">
        <v>80</v>
      </c>
      <c r="J675" s="4" t="s">
        <v>38</v>
      </c>
      <c r="K675" s="5">
        <v>4</v>
      </c>
      <c r="L675" s="4" t="s">
        <v>73</v>
      </c>
      <c r="M675" s="4" t="s">
        <v>89</v>
      </c>
      <c r="N675" s="4" t="s">
        <v>90</v>
      </c>
      <c r="O675" s="6">
        <v>45054</v>
      </c>
      <c r="P675" s="4" t="s">
        <v>85</v>
      </c>
      <c r="Q675" s="4" t="s">
        <v>86</v>
      </c>
      <c r="R675" s="4" t="s">
        <v>36</v>
      </c>
      <c r="S675" s="4" t="s">
        <v>59</v>
      </c>
      <c r="T675" s="5">
        <v>2</v>
      </c>
      <c r="U675" s="6">
        <v>45061</v>
      </c>
      <c r="V675" s="4" t="s">
        <v>1373</v>
      </c>
      <c r="W675" s="4" t="s">
        <v>743</v>
      </c>
      <c r="X675" s="4"/>
      <c r="Y675" s="4"/>
      <c r="Z675" s="4"/>
      <c r="AA675" s="4"/>
      <c r="AB675" s="4"/>
      <c r="AC675" s="4"/>
      <c r="AD675" s="4">
        <f t="shared" si="10"/>
        <v>19</v>
      </c>
    </row>
    <row r="676" spans="1:30" ht="39.75" thickBot="1" x14ac:dyDescent="0.3">
      <c r="A676" s="3">
        <v>45054.624918981484</v>
      </c>
      <c r="B676" s="4" t="s">
        <v>79</v>
      </c>
      <c r="C676" s="4" t="s">
        <v>80</v>
      </c>
      <c r="D676" s="31" t="s">
        <v>27</v>
      </c>
      <c r="E676" s="4" t="s">
        <v>1264</v>
      </c>
      <c r="F676" s="5">
        <v>628451165</v>
      </c>
      <c r="G676" s="5">
        <v>0</v>
      </c>
      <c r="H676" s="4" t="s">
        <v>332</v>
      </c>
      <c r="I676" s="5">
        <v>185</v>
      </c>
      <c r="J676" s="4" t="s">
        <v>38</v>
      </c>
      <c r="K676" s="5">
        <v>3</v>
      </c>
      <c r="L676" s="4" t="s">
        <v>674</v>
      </c>
      <c r="M676" s="4" t="s">
        <v>89</v>
      </c>
      <c r="N676" s="4" t="s">
        <v>57</v>
      </c>
      <c r="O676" s="6">
        <v>45058</v>
      </c>
      <c r="P676" s="4" t="s">
        <v>967</v>
      </c>
      <c r="Q676" s="4" t="s">
        <v>86</v>
      </c>
      <c r="R676" s="4" t="s">
        <v>36</v>
      </c>
      <c r="S676" s="4"/>
      <c r="T676" s="4"/>
      <c r="U676" s="4"/>
      <c r="V676" s="4" t="s">
        <v>1372</v>
      </c>
      <c r="W676" s="4"/>
      <c r="X676" s="4"/>
      <c r="Y676" s="4"/>
      <c r="Z676" s="4"/>
      <c r="AA676" s="4"/>
      <c r="AB676" s="4"/>
      <c r="AC676" s="4"/>
      <c r="AD676" s="4">
        <f t="shared" si="10"/>
        <v>19</v>
      </c>
    </row>
    <row r="677" spans="1:30" ht="27" thickBot="1" x14ac:dyDescent="0.3">
      <c r="A677" s="3">
        <v>45054.626655092594</v>
      </c>
      <c r="B677" s="4" t="s">
        <v>241</v>
      </c>
      <c r="C677" s="4" t="s">
        <v>606</v>
      </c>
      <c r="D677" s="31" t="s">
        <v>27</v>
      </c>
      <c r="E677" s="4" t="s">
        <v>1265</v>
      </c>
      <c r="F677" s="5">
        <v>623769003</v>
      </c>
      <c r="G677" s="4"/>
      <c r="H677" s="4" t="s">
        <v>825</v>
      </c>
      <c r="I677" s="5">
        <v>81</v>
      </c>
      <c r="J677" s="4" t="s">
        <v>101</v>
      </c>
      <c r="K677" s="5">
        <v>65</v>
      </c>
      <c r="L677" s="4" t="s">
        <v>1266</v>
      </c>
      <c r="M677" s="4" t="s">
        <v>147</v>
      </c>
      <c r="N677" s="4" t="s">
        <v>47</v>
      </c>
      <c r="O677" s="6">
        <v>45086</v>
      </c>
      <c r="P677" s="4" t="s">
        <v>713</v>
      </c>
      <c r="Q677" s="4" t="s">
        <v>247</v>
      </c>
      <c r="R677" s="4" t="s">
        <v>36</v>
      </c>
      <c r="S677" s="4"/>
      <c r="T677" s="4"/>
      <c r="U677" s="4"/>
      <c r="V677" s="4" t="s">
        <v>1372</v>
      </c>
      <c r="W677" s="4"/>
      <c r="X677" s="4"/>
      <c r="Y677" s="4"/>
      <c r="Z677" s="4"/>
      <c r="AA677" s="4"/>
      <c r="AB677" s="4"/>
      <c r="AC677" s="4"/>
      <c r="AD677" s="4">
        <f t="shared" si="10"/>
        <v>19</v>
      </c>
    </row>
    <row r="678" spans="1:30" ht="27" thickBot="1" x14ac:dyDescent="0.3">
      <c r="A678" s="3">
        <v>45054.628425925926</v>
      </c>
      <c r="B678" s="4" t="s">
        <v>241</v>
      </c>
      <c r="C678" s="4" t="s">
        <v>606</v>
      </c>
      <c r="D678" s="31" t="s">
        <v>42</v>
      </c>
      <c r="E678" s="4" t="s">
        <v>1258</v>
      </c>
      <c r="F678" s="5">
        <v>621176656</v>
      </c>
      <c r="G678" s="4"/>
      <c r="H678" s="4" t="s">
        <v>825</v>
      </c>
      <c r="I678" s="5">
        <v>76</v>
      </c>
      <c r="J678" s="4" t="s">
        <v>101</v>
      </c>
      <c r="K678" s="5">
        <v>12</v>
      </c>
      <c r="L678" s="4" t="s">
        <v>832</v>
      </c>
      <c r="M678" s="4" t="s">
        <v>246</v>
      </c>
      <c r="N678" s="4" t="s">
        <v>47</v>
      </c>
      <c r="O678" s="6">
        <v>45092</v>
      </c>
      <c r="P678" s="4" t="s">
        <v>706</v>
      </c>
      <c r="Q678" s="4" t="s">
        <v>247</v>
      </c>
      <c r="R678" s="4" t="s">
        <v>36</v>
      </c>
      <c r="S678" s="4"/>
      <c r="T678" s="4"/>
      <c r="U678" s="4"/>
      <c r="V678" s="4" t="s">
        <v>1372</v>
      </c>
      <c r="W678" s="4"/>
      <c r="X678" s="4"/>
      <c r="Y678" s="4"/>
      <c r="Z678" s="4"/>
      <c r="AA678" s="4"/>
      <c r="AB678" s="4"/>
      <c r="AC678" s="4"/>
      <c r="AD678" s="4">
        <f t="shared" si="10"/>
        <v>19</v>
      </c>
    </row>
    <row r="679" spans="1:30" ht="27" thickBot="1" x14ac:dyDescent="0.3">
      <c r="A679" s="3">
        <v>45054.630370370367</v>
      </c>
      <c r="B679" s="4" t="s">
        <v>241</v>
      </c>
      <c r="C679" s="4" t="s">
        <v>606</v>
      </c>
      <c r="D679" s="31" t="s">
        <v>42</v>
      </c>
      <c r="E679" s="4" t="s">
        <v>1267</v>
      </c>
      <c r="F679" s="5">
        <v>621050965</v>
      </c>
      <c r="G679" s="4"/>
      <c r="H679" s="4" t="s">
        <v>825</v>
      </c>
      <c r="I679" s="5">
        <v>81</v>
      </c>
      <c r="J679" s="4" t="s">
        <v>101</v>
      </c>
      <c r="K679" s="5">
        <v>12</v>
      </c>
      <c r="L679" s="4" t="s">
        <v>723</v>
      </c>
      <c r="M679" s="4" t="s">
        <v>147</v>
      </c>
      <c r="N679" s="4" t="s">
        <v>47</v>
      </c>
      <c r="O679" s="6">
        <v>45102</v>
      </c>
      <c r="P679" s="4" t="s">
        <v>706</v>
      </c>
      <c r="Q679" s="4" t="s">
        <v>247</v>
      </c>
      <c r="R679" s="4" t="s">
        <v>36</v>
      </c>
      <c r="S679" s="4"/>
      <c r="T679" s="4"/>
      <c r="U679" s="4"/>
      <c r="V679" s="4" t="s">
        <v>1372</v>
      </c>
      <c r="W679" s="4"/>
      <c r="X679" s="4"/>
      <c r="Y679" s="4"/>
      <c r="Z679" s="4"/>
      <c r="AA679" s="4"/>
      <c r="AB679" s="4"/>
      <c r="AC679" s="4"/>
      <c r="AD679" s="4">
        <f t="shared" si="10"/>
        <v>19</v>
      </c>
    </row>
    <row r="680" spans="1:30" ht="27" thickBot="1" x14ac:dyDescent="0.3">
      <c r="A680" s="3">
        <v>45054.632256944446</v>
      </c>
      <c r="B680" s="4" t="s">
        <v>241</v>
      </c>
      <c r="C680" s="4" t="s">
        <v>606</v>
      </c>
      <c r="D680" s="31" t="s">
        <v>42</v>
      </c>
      <c r="E680" s="4" t="s">
        <v>1268</v>
      </c>
      <c r="F680" s="5">
        <v>622625760</v>
      </c>
      <c r="G680" s="4"/>
      <c r="H680" s="4" t="s">
        <v>825</v>
      </c>
      <c r="I680" s="5">
        <v>81</v>
      </c>
      <c r="J680" s="4" t="s">
        <v>101</v>
      </c>
      <c r="K680" s="5">
        <v>11</v>
      </c>
      <c r="L680" s="4" t="s">
        <v>909</v>
      </c>
      <c r="M680" s="4" t="s">
        <v>246</v>
      </c>
      <c r="N680" s="4" t="s">
        <v>33</v>
      </c>
      <c r="O680" s="6">
        <v>45078</v>
      </c>
      <c r="P680" s="4" t="s">
        <v>706</v>
      </c>
      <c r="Q680" s="4" t="s">
        <v>247</v>
      </c>
      <c r="R680" s="4" t="s">
        <v>36</v>
      </c>
      <c r="S680" s="4"/>
      <c r="T680" s="4"/>
      <c r="U680" s="4"/>
      <c r="V680" s="4" t="s">
        <v>1372</v>
      </c>
      <c r="W680" s="4"/>
      <c r="X680" s="4"/>
      <c r="Y680" s="4"/>
      <c r="Z680" s="4"/>
      <c r="AA680" s="4"/>
      <c r="AB680" s="4"/>
      <c r="AC680" s="4"/>
      <c r="AD680" s="4">
        <f t="shared" si="10"/>
        <v>19</v>
      </c>
    </row>
    <row r="681" spans="1:30" ht="27" thickBot="1" x14ac:dyDescent="0.3">
      <c r="A681" s="3">
        <v>45054.653067129628</v>
      </c>
      <c r="B681" s="4" t="s">
        <v>241</v>
      </c>
      <c r="C681" s="4" t="s">
        <v>606</v>
      </c>
      <c r="D681" s="31" t="s">
        <v>27</v>
      </c>
      <c r="E681" s="4" t="s">
        <v>1269</v>
      </c>
      <c r="F681" s="5">
        <v>628869695</v>
      </c>
      <c r="G681" s="4"/>
      <c r="H681" s="4" t="s">
        <v>244</v>
      </c>
      <c r="I681" s="5">
        <v>135</v>
      </c>
      <c r="J681" s="4" t="s">
        <v>38</v>
      </c>
      <c r="K681" s="5">
        <v>175</v>
      </c>
      <c r="L681" s="4" t="s">
        <v>1270</v>
      </c>
      <c r="M681" s="4" t="s">
        <v>246</v>
      </c>
      <c r="N681" s="4" t="s">
        <v>47</v>
      </c>
      <c r="O681" s="6">
        <v>45107</v>
      </c>
      <c r="P681" s="4" t="s">
        <v>706</v>
      </c>
      <c r="Q681" s="4" t="s">
        <v>247</v>
      </c>
      <c r="R681" s="4" t="s">
        <v>36</v>
      </c>
      <c r="S681" s="4"/>
      <c r="T681" s="4"/>
      <c r="U681" s="4"/>
      <c r="V681" s="4" t="s">
        <v>1372</v>
      </c>
      <c r="W681" s="4"/>
      <c r="X681" s="4"/>
      <c r="Y681" s="4"/>
      <c r="Z681" s="4"/>
      <c r="AA681" s="4"/>
      <c r="AB681" s="4"/>
      <c r="AC681" s="4"/>
      <c r="AD681" s="4">
        <f t="shared" si="10"/>
        <v>19</v>
      </c>
    </row>
    <row r="682" spans="1:30" ht="27" thickBot="1" x14ac:dyDescent="0.3">
      <c r="A682" s="3">
        <v>45054.664456018516</v>
      </c>
      <c r="B682" s="4" t="s">
        <v>241</v>
      </c>
      <c r="C682" s="4" t="s">
        <v>606</v>
      </c>
      <c r="D682" s="31" t="s">
        <v>27</v>
      </c>
      <c r="E682" s="4" t="s">
        <v>1258</v>
      </c>
      <c r="F682" s="5">
        <v>628002236</v>
      </c>
      <c r="G682" s="4"/>
      <c r="H682" s="4" t="s">
        <v>244</v>
      </c>
      <c r="I682" s="5">
        <v>142</v>
      </c>
      <c r="J682" s="4" t="s">
        <v>101</v>
      </c>
      <c r="K682" s="5">
        <v>42</v>
      </c>
      <c r="L682" s="4" t="s">
        <v>723</v>
      </c>
      <c r="M682" s="4" t="s">
        <v>147</v>
      </c>
      <c r="N682" s="4" t="s">
        <v>47</v>
      </c>
      <c r="O682" s="6">
        <v>45092</v>
      </c>
      <c r="P682" s="4" t="s">
        <v>706</v>
      </c>
      <c r="Q682" s="4" t="s">
        <v>247</v>
      </c>
      <c r="R682" s="4" t="s">
        <v>36</v>
      </c>
      <c r="S682" s="4"/>
      <c r="T682" s="4"/>
      <c r="U682" s="4"/>
      <c r="V682" s="4" t="s">
        <v>1372</v>
      </c>
      <c r="W682" s="4"/>
      <c r="X682" s="4"/>
      <c r="Y682" s="4"/>
      <c r="Z682" s="4"/>
      <c r="AA682" s="4"/>
      <c r="AB682" s="4"/>
      <c r="AC682" s="4"/>
      <c r="AD682" s="4">
        <f t="shared" si="10"/>
        <v>19</v>
      </c>
    </row>
    <row r="683" spans="1:30" ht="27" thickBot="1" x14ac:dyDescent="0.3">
      <c r="A683" s="3">
        <v>45054.666550925926</v>
      </c>
      <c r="B683" s="4" t="s">
        <v>241</v>
      </c>
      <c r="C683" s="4" t="s">
        <v>606</v>
      </c>
      <c r="D683" s="31" t="s">
        <v>27</v>
      </c>
      <c r="E683" s="4" t="s">
        <v>1271</v>
      </c>
      <c r="F683" s="5">
        <v>625599201</v>
      </c>
      <c r="G683" s="4"/>
      <c r="H683" s="4" t="s">
        <v>244</v>
      </c>
      <c r="I683" s="5">
        <v>129</v>
      </c>
      <c r="J683" s="4" t="s">
        <v>101</v>
      </c>
      <c r="K683" s="5">
        <v>142</v>
      </c>
      <c r="L683" s="4" t="s">
        <v>1272</v>
      </c>
      <c r="M683" s="4" t="s">
        <v>147</v>
      </c>
      <c r="N683" s="4" t="s">
        <v>47</v>
      </c>
      <c r="O683" s="6">
        <v>45107</v>
      </c>
      <c r="P683" s="4" t="s">
        <v>706</v>
      </c>
      <c r="Q683" s="4" t="s">
        <v>247</v>
      </c>
      <c r="R683" s="4" t="s">
        <v>36</v>
      </c>
      <c r="S683" s="4"/>
      <c r="T683" s="4"/>
      <c r="U683" s="4"/>
      <c r="V683" s="4" t="s">
        <v>1372</v>
      </c>
      <c r="W683" s="4"/>
      <c r="X683" s="4"/>
      <c r="Y683" s="4"/>
      <c r="Z683" s="4"/>
      <c r="AA683" s="4"/>
      <c r="AB683" s="4"/>
      <c r="AC683" s="4"/>
      <c r="AD683" s="4">
        <f t="shared" si="10"/>
        <v>19</v>
      </c>
    </row>
    <row r="684" spans="1:30" ht="27" thickBot="1" x14ac:dyDescent="0.3">
      <c r="A684" s="3">
        <v>45054.668541666666</v>
      </c>
      <c r="B684" s="4" t="s">
        <v>241</v>
      </c>
      <c r="C684" s="4" t="s">
        <v>606</v>
      </c>
      <c r="D684" s="31" t="s">
        <v>27</v>
      </c>
      <c r="E684" s="4" t="s">
        <v>707</v>
      </c>
      <c r="F684" s="5">
        <v>628065705</v>
      </c>
      <c r="G684" s="4"/>
      <c r="H684" s="4" t="s">
        <v>244</v>
      </c>
      <c r="I684" s="5">
        <v>129</v>
      </c>
      <c r="J684" s="4" t="s">
        <v>101</v>
      </c>
      <c r="K684" s="5">
        <v>108</v>
      </c>
      <c r="L684" s="4" t="s">
        <v>1273</v>
      </c>
      <c r="M684" s="4" t="s">
        <v>246</v>
      </c>
      <c r="N684" s="4" t="s">
        <v>33</v>
      </c>
      <c r="O684" s="6">
        <v>45077</v>
      </c>
      <c r="P684" s="4" t="s">
        <v>706</v>
      </c>
      <c r="Q684" s="4" t="s">
        <v>247</v>
      </c>
      <c r="R684" s="4" t="s">
        <v>36</v>
      </c>
      <c r="S684" s="4"/>
      <c r="T684" s="4"/>
      <c r="U684" s="4"/>
      <c r="V684" s="4" t="s">
        <v>1372</v>
      </c>
      <c r="W684" s="4"/>
      <c r="X684" s="4"/>
      <c r="Y684" s="4"/>
      <c r="Z684" s="4"/>
      <c r="AA684" s="4"/>
      <c r="AB684" s="4"/>
      <c r="AC684" s="4"/>
      <c r="AD684" s="4">
        <f t="shared" si="10"/>
        <v>19</v>
      </c>
    </row>
    <row r="685" spans="1:30" ht="27" thickBot="1" x14ac:dyDescent="0.3">
      <c r="A685" s="3">
        <v>45054.675682870373</v>
      </c>
      <c r="B685" s="4" t="s">
        <v>241</v>
      </c>
      <c r="C685" s="4" t="s">
        <v>606</v>
      </c>
      <c r="D685" s="31" t="s">
        <v>27</v>
      </c>
      <c r="E685" s="4" t="s">
        <v>707</v>
      </c>
      <c r="F685" s="5">
        <v>621397695</v>
      </c>
      <c r="G685" s="4"/>
      <c r="H685" s="4" t="s">
        <v>244</v>
      </c>
      <c r="I685" s="5">
        <v>132</v>
      </c>
      <c r="J685" s="4" t="s">
        <v>101</v>
      </c>
      <c r="K685" s="5">
        <v>80</v>
      </c>
      <c r="L685" s="4" t="s">
        <v>1274</v>
      </c>
      <c r="M685" s="4" t="s">
        <v>1262</v>
      </c>
      <c r="N685" s="4" t="s">
        <v>33</v>
      </c>
      <c r="O685" s="6">
        <v>45074</v>
      </c>
      <c r="P685" s="4" t="s">
        <v>706</v>
      </c>
      <c r="Q685" s="4" t="s">
        <v>247</v>
      </c>
      <c r="R685" s="4" t="s">
        <v>36</v>
      </c>
      <c r="S685" s="4"/>
      <c r="T685" s="4"/>
      <c r="U685" s="4"/>
      <c r="V685" s="4" t="s">
        <v>1372</v>
      </c>
      <c r="W685" s="4"/>
      <c r="X685" s="4"/>
      <c r="Y685" s="4"/>
      <c r="Z685" s="4"/>
      <c r="AA685" s="4"/>
      <c r="AB685" s="4"/>
      <c r="AC685" s="4"/>
      <c r="AD685" s="4">
        <f t="shared" si="10"/>
        <v>19</v>
      </c>
    </row>
    <row r="686" spans="1:30" ht="27" thickBot="1" x14ac:dyDescent="0.3">
      <c r="A686" s="3">
        <v>45054.678564814814</v>
      </c>
      <c r="B686" s="4" t="s">
        <v>241</v>
      </c>
      <c r="C686" s="4" t="s">
        <v>606</v>
      </c>
      <c r="D686" s="31" t="s">
        <v>27</v>
      </c>
      <c r="E686" s="4" t="s">
        <v>1275</v>
      </c>
      <c r="F686" s="5">
        <v>622349493</v>
      </c>
      <c r="G686" s="4"/>
      <c r="H686" s="4" t="s">
        <v>244</v>
      </c>
      <c r="I686" s="5">
        <v>122</v>
      </c>
      <c r="J686" s="4" t="s">
        <v>101</v>
      </c>
      <c r="K686" s="5">
        <v>45</v>
      </c>
      <c r="L686" s="4" t="s">
        <v>723</v>
      </c>
      <c r="M686" s="4" t="s">
        <v>147</v>
      </c>
      <c r="N686" s="4" t="s">
        <v>47</v>
      </c>
      <c r="O686" s="6">
        <v>45107</v>
      </c>
      <c r="P686" s="4" t="s">
        <v>706</v>
      </c>
      <c r="Q686" s="4" t="s">
        <v>247</v>
      </c>
      <c r="R686" s="4" t="s">
        <v>36</v>
      </c>
      <c r="S686" s="4"/>
      <c r="T686" s="4"/>
      <c r="U686" s="4"/>
      <c r="V686" s="4" t="s">
        <v>1372</v>
      </c>
      <c r="W686" s="4"/>
      <c r="X686" s="4"/>
      <c r="Y686" s="4"/>
      <c r="Z686" s="4"/>
      <c r="AA686" s="4"/>
      <c r="AB686" s="4"/>
      <c r="AC686" s="4"/>
      <c r="AD686" s="4">
        <f t="shared" si="10"/>
        <v>19</v>
      </c>
    </row>
    <row r="687" spans="1:30" ht="39.75" thickBot="1" x14ac:dyDescent="0.3">
      <c r="A687" s="3">
        <v>45054.705416666664</v>
      </c>
      <c r="B687" s="4" t="s">
        <v>1769</v>
      </c>
      <c r="C687" s="4" t="s">
        <v>225</v>
      </c>
      <c r="D687" s="31" t="s">
        <v>42</v>
      </c>
      <c r="E687" s="4" t="s">
        <v>1276</v>
      </c>
      <c r="F687" s="5">
        <v>628987227</v>
      </c>
      <c r="G687" s="5">
        <v>628987227</v>
      </c>
      <c r="H687" s="4" t="s">
        <v>1115</v>
      </c>
      <c r="I687" s="5">
        <v>27</v>
      </c>
      <c r="J687" s="4" t="s">
        <v>38</v>
      </c>
      <c r="K687" s="5">
        <v>4</v>
      </c>
      <c r="L687" s="4" t="s">
        <v>93</v>
      </c>
      <c r="M687" s="4" t="s">
        <v>93</v>
      </c>
      <c r="N687" s="4" t="s">
        <v>47</v>
      </c>
      <c r="O687" s="6">
        <v>45045</v>
      </c>
      <c r="P687" s="4" t="s">
        <v>574</v>
      </c>
      <c r="Q687" s="4" t="s">
        <v>232</v>
      </c>
      <c r="R687" s="4" t="s">
        <v>36</v>
      </c>
      <c r="S687" s="4" t="s">
        <v>59</v>
      </c>
      <c r="T687" s="5">
        <v>4</v>
      </c>
      <c r="U687" s="6">
        <v>45054</v>
      </c>
      <c r="V687" s="4" t="s">
        <v>1353</v>
      </c>
      <c r="W687" s="4" t="s">
        <v>1116</v>
      </c>
      <c r="X687" s="4"/>
      <c r="Y687" s="4"/>
      <c r="Z687" s="4"/>
      <c r="AA687" s="4"/>
      <c r="AB687" s="4"/>
      <c r="AC687" s="4"/>
      <c r="AD687" s="4">
        <f t="shared" si="10"/>
        <v>19</v>
      </c>
    </row>
    <row r="688" spans="1:30" ht="27" thickBot="1" x14ac:dyDescent="0.3">
      <c r="A688" s="3">
        <v>45054.712534722225</v>
      </c>
      <c r="B688" s="4" t="s">
        <v>677</v>
      </c>
      <c r="C688" s="4" t="s">
        <v>678</v>
      </c>
      <c r="D688" s="31" t="s">
        <v>42</v>
      </c>
      <c r="E688" s="4" t="s">
        <v>1277</v>
      </c>
      <c r="F688" s="5">
        <v>623857302</v>
      </c>
      <c r="G688" s="4"/>
      <c r="H688" s="4" t="s">
        <v>953</v>
      </c>
      <c r="I688" s="5">
        <v>3</v>
      </c>
      <c r="J688" s="4" t="s">
        <v>38</v>
      </c>
      <c r="K688" s="5">
        <v>1</v>
      </c>
      <c r="L688" s="4" t="s">
        <v>1278</v>
      </c>
      <c r="M688" s="4" t="s">
        <v>1278</v>
      </c>
      <c r="N688" s="4" t="s">
        <v>47</v>
      </c>
      <c r="O688" s="6">
        <v>45059</v>
      </c>
      <c r="P688" s="4"/>
      <c r="Q688" s="4" t="s">
        <v>682</v>
      </c>
      <c r="R688" s="4" t="s">
        <v>36</v>
      </c>
      <c r="S688" s="4"/>
      <c r="T688" s="4"/>
      <c r="U688" s="4"/>
      <c r="V688" s="4" t="s">
        <v>1372</v>
      </c>
      <c r="W688" s="4"/>
      <c r="X688" s="4"/>
      <c r="Y688" s="4"/>
      <c r="Z688" s="4"/>
      <c r="AA688" s="4"/>
      <c r="AB688" s="4"/>
      <c r="AC688" s="4"/>
      <c r="AD688" s="4">
        <f t="shared" si="10"/>
        <v>19</v>
      </c>
    </row>
    <row r="689" spans="1:30" ht="39.75" thickBot="1" x14ac:dyDescent="0.3">
      <c r="A689" s="3">
        <v>45055.408564814818</v>
      </c>
      <c r="B689" s="4" t="s">
        <v>1769</v>
      </c>
      <c r="C689" s="4" t="s">
        <v>1117</v>
      </c>
      <c r="D689" s="31" t="s">
        <v>42</v>
      </c>
      <c r="E689" s="4" t="s">
        <v>1276</v>
      </c>
      <c r="F689" s="5">
        <v>628987227</v>
      </c>
      <c r="G689" s="5">
        <v>628987227</v>
      </c>
      <c r="H689" s="4" t="s">
        <v>1115</v>
      </c>
      <c r="I689" s="5">
        <v>27</v>
      </c>
      <c r="J689" s="4" t="s">
        <v>38</v>
      </c>
      <c r="K689" s="5">
        <v>4</v>
      </c>
      <c r="L689" s="4" t="s">
        <v>93</v>
      </c>
      <c r="M689" s="4" t="s">
        <v>93</v>
      </c>
      <c r="N689" s="4" t="s">
        <v>47</v>
      </c>
      <c r="O689" s="6">
        <v>45045</v>
      </c>
      <c r="P689" s="4" t="s">
        <v>660</v>
      </c>
      <c r="Q689" s="4" t="s">
        <v>232</v>
      </c>
      <c r="R689" s="4" t="s">
        <v>36</v>
      </c>
      <c r="S689" s="4"/>
      <c r="T689" s="4"/>
      <c r="U689" s="4"/>
      <c r="V689" s="4" t="s">
        <v>1372</v>
      </c>
      <c r="W689" s="4"/>
      <c r="X689" s="4"/>
      <c r="Y689" s="4"/>
      <c r="Z689" s="4"/>
      <c r="AA689" s="4"/>
      <c r="AB689" s="4"/>
      <c r="AC689" s="4"/>
      <c r="AD689" s="4">
        <f t="shared" si="10"/>
        <v>19</v>
      </c>
    </row>
    <row r="690" spans="1:30" ht="39.75" thickBot="1" x14ac:dyDescent="0.3">
      <c r="A690" s="3">
        <v>45055.491620370369</v>
      </c>
      <c r="B690" s="4" t="s">
        <v>1086</v>
      </c>
      <c r="C690" s="4" t="s">
        <v>1279</v>
      </c>
      <c r="D690" s="31" t="s">
        <v>42</v>
      </c>
      <c r="E690" s="8" t="s">
        <v>1280</v>
      </c>
      <c r="F690" s="5">
        <v>612211215</v>
      </c>
      <c r="G690" s="4"/>
      <c r="H690" s="4" t="s">
        <v>1281</v>
      </c>
      <c r="I690" s="5">
        <v>35</v>
      </c>
      <c r="J690" s="4" t="s">
        <v>38</v>
      </c>
      <c r="K690" s="5">
        <v>25</v>
      </c>
      <c r="L690" s="4" t="s">
        <v>1282</v>
      </c>
      <c r="M690" s="4" t="s">
        <v>32</v>
      </c>
      <c r="N690" s="4" t="s">
        <v>47</v>
      </c>
      <c r="O690" s="5" t="s">
        <v>1283</v>
      </c>
      <c r="P690" s="4" t="s">
        <v>1284</v>
      </c>
      <c r="Q690" s="4" t="s">
        <v>1090</v>
      </c>
      <c r="R690" s="4" t="s">
        <v>252</v>
      </c>
      <c r="S690" s="4" t="s">
        <v>59</v>
      </c>
      <c r="T690" s="5">
        <v>5</v>
      </c>
      <c r="U690" s="6">
        <v>45069</v>
      </c>
      <c r="V690" s="4" t="s">
        <v>1624</v>
      </c>
      <c r="W690" s="4" t="s">
        <v>1623</v>
      </c>
      <c r="X690" s="4"/>
      <c r="Y690" s="4"/>
      <c r="Z690" s="4"/>
      <c r="AA690" s="4"/>
      <c r="AB690" s="4"/>
      <c r="AC690" s="4"/>
      <c r="AD690" s="4">
        <f t="shared" si="10"/>
        <v>19</v>
      </c>
    </row>
    <row r="691" spans="1:30" ht="27" thickBot="1" x14ac:dyDescent="0.3">
      <c r="A691" s="3">
        <v>45055.491770833331</v>
      </c>
      <c r="B691" s="4" t="s">
        <v>53</v>
      </c>
      <c r="C691" s="4" t="s">
        <v>53</v>
      </c>
      <c r="D691" s="31" t="s">
        <v>42</v>
      </c>
      <c r="E691" s="4" t="s">
        <v>1285</v>
      </c>
      <c r="F691" s="5">
        <v>622530068</v>
      </c>
      <c r="G691" s="4"/>
      <c r="H691" s="4" t="s">
        <v>62</v>
      </c>
      <c r="I691" s="5">
        <v>3</v>
      </c>
      <c r="J691" s="4" t="s">
        <v>38</v>
      </c>
      <c r="K691" s="5">
        <v>2</v>
      </c>
      <c r="L691" s="4" t="s">
        <v>1286</v>
      </c>
      <c r="M691" s="4" t="s">
        <v>1286</v>
      </c>
      <c r="N691" s="4" t="s">
        <v>57</v>
      </c>
      <c r="O691" s="6">
        <v>45055</v>
      </c>
      <c r="P691" s="4"/>
      <c r="Q691" s="4" t="s">
        <v>58</v>
      </c>
      <c r="R691" s="4" t="s">
        <v>252</v>
      </c>
      <c r="S691" s="4" t="s">
        <v>59</v>
      </c>
      <c r="T691" s="5">
        <v>2</v>
      </c>
      <c r="U691" s="6">
        <v>45055</v>
      </c>
      <c r="V691" s="4" t="s">
        <v>1353</v>
      </c>
      <c r="W691" s="4" t="s">
        <v>1287</v>
      </c>
      <c r="X691" s="4"/>
      <c r="Y691" s="4"/>
      <c r="Z691" s="4"/>
      <c r="AA691" s="4"/>
      <c r="AB691" s="4"/>
      <c r="AC691" s="4"/>
      <c r="AD691" s="4">
        <f t="shared" si="10"/>
        <v>19</v>
      </c>
    </row>
    <row r="692" spans="1:30" ht="65.25" thickBot="1" x14ac:dyDescent="0.3">
      <c r="A692" s="3">
        <v>45055.501689814817</v>
      </c>
      <c r="B692" s="4" t="s">
        <v>1086</v>
      </c>
      <c r="C692" s="4" t="s">
        <v>1279</v>
      </c>
      <c r="D692" s="31" t="s">
        <v>42</v>
      </c>
      <c r="E692" s="8" t="s">
        <v>1288</v>
      </c>
      <c r="F692" s="5">
        <v>623808267</v>
      </c>
      <c r="G692" s="4"/>
      <c r="H692" s="4" t="s">
        <v>1281</v>
      </c>
      <c r="I692" s="5">
        <v>42</v>
      </c>
      <c r="J692" s="4" t="s">
        <v>38</v>
      </c>
      <c r="K692" s="5">
        <v>6</v>
      </c>
      <c r="L692" s="4" t="s">
        <v>1289</v>
      </c>
      <c r="M692" s="4" t="s">
        <v>1290</v>
      </c>
      <c r="N692" s="4" t="s">
        <v>47</v>
      </c>
      <c r="O692" s="6">
        <v>45057</v>
      </c>
      <c r="P692" s="4" t="s">
        <v>1291</v>
      </c>
      <c r="Q692" s="4" t="s">
        <v>1090</v>
      </c>
      <c r="R692" s="4" t="s">
        <v>36</v>
      </c>
      <c r="S692" s="4" t="s">
        <v>59</v>
      </c>
      <c r="T692" s="5">
        <v>4</v>
      </c>
      <c r="U692" s="6">
        <v>45055</v>
      </c>
      <c r="V692" s="4" t="s">
        <v>1353</v>
      </c>
      <c r="W692" s="4" t="s">
        <v>1623</v>
      </c>
      <c r="X692" s="4"/>
      <c r="Y692" s="4"/>
      <c r="Z692" s="4"/>
      <c r="AA692" s="4"/>
      <c r="AB692" s="4"/>
      <c r="AC692" s="4"/>
      <c r="AD692" s="4">
        <f t="shared" si="10"/>
        <v>19</v>
      </c>
    </row>
    <row r="693" spans="1:30" ht="65.25" thickBot="1" x14ac:dyDescent="0.3">
      <c r="A693" s="3">
        <v>45055.524131944447</v>
      </c>
      <c r="B693" s="4" t="s">
        <v>25</v>
      </c>
      <c r="C693" s="4" t="s">
        <v>957</v>
      </c>
      <c r="D693" s="31" t="s">
        <v>27</v>
      </c>
      <c r="E693" s="4"/>
      <c r="F693" s="5">
        <v>622222621</v>
      </c>
      <c r="G693" s="4"/>
      <c r="H693" s="4" t="s">
        <v>45</v>
      </c>
      <c r="I693" s="5">
        <v>90</v>
      </c>
      <c r="J693" s="4" t="s">
        <v>38</v>
      </c>
      <c r="K693" s="5">
        <v>5</v>
      </c>
      <c r="L693" s="4" t="s">
        <v>50</v>
      </c>
      <c r="M693" s="4" t="s">
        <v>32</v>
      </c>
      <c r="N693" s="4" t="s">
        <v>33</v>
      </c>
      <c r="O693" s="6">
        <v>45062</v>
      </c>
      <c r="P693" s="4" t="s">
        <v>34</v>
      </c>
      <c r="Q693" s="4" t="s">
        <v>35</v>
      </c>
      <c r="R693" s="4" t="s">
        <v>36</v>
      </c>
      <c r="S693" s="4" t="s">
        <v>59</v>
      </c>
      <c r="T693" s="5">
        <v>5</v>
      </c>
      <c r="U693" s="6">
        <v>45055</v>
      </c>
      <c r="V693" s="4" t="s">
        <v>1353</v>
      </c>
      <c r="W693" s="4" t="s">
        <v>737</v>
      </c>
      <c r="X693" s="4"/>
      <c r="Y693" s="4"/>
      <c r="Z693" s="4"/>
      <c r="AA693" s="4"/>
      <c r="AB693" s="4"/>
      <c r="AC693" s="4"/>
      <c r="AD693" s="4">
        <f t="shared" si="10"/>
        <v>19</v>
      </c>
    </row>
    <row r="694" spans="1:30" ht="39.75" thickBot="1" x14ac:dyDescent="0.3">
      <c r="A694" s="3">
        <v>45055.525324074071</v>
      </c>
      <c r="B694" s="4" t="s">
        <v>552</v>
      </c>
      <c r="C694" s="4" t="s">
        <v>553</v>
      </c>
      <c r="D694" s="31" t="s">
        <v>42</v>
      </c>
      <c r="E694" s="4" t="s">
        <v>1292</v>
      </c>
      <c r="F694" s="5">
        <v>629349941</v>
      </c>
      <c r="G694" s="4"/>
      <c r="H694" s="4" t="s">
        <v>1293</v>
      </c>
      <c r="I694" s="5">
        <v>35</v>
      </c>
      <c r="J694" s="4" t="s">
        <v>38</v>
      </c>
      <c r="K694" s="5">
        <v>2</v>
      </c>
      <c r="L694" s="4" t="s">
        <v>1294</v>
      </c>
      <c r="M694" s="4" t="s">
        <v>1294</v>
      </c>
      <c r="N694" s="4" t="s">
        <v>33</v>
      </c>
      <c r="O694" s="6">
        <v>45056</v>
      </c>
      <c r="P694" s="4" t="s">
        <v>1295</v>
      </c>
      <c r="Q694" s="4" t="s">
        <v>558</v>
      </c>
      <c r="R694" s="4" t="s">
        <v>36</v>
      </c>
      <c r="S694" s="4" t="s">
        <v>59</v>
      </c>
      <c r="T694" s="5">
        <v>2</v>
      </c>
      <c r="U694" s="6">
        <v>45056</v>
      </c>
      <c r="V694" s="4" t="s">
        <v>1353</v>
      </c>
      <c r="W694" s="4" t="s">
        <v>1154</v>
      </c>
      <c r="X694" s="4"/>
      <c r="Y694" s="4"/>
      <c r="Z694" s="4"/>
      <c r="AA694" s="4"/>
      <c r="AB694" s="4"/>
      <c r="AC694" s="4"/>
      <c r="AD694" s="4">
        <f t="shared" si="10"/>
        <v>19</v>
      </c>
    </row>
    <row r="695" spans="1:30" ht="39.75" thickBot="1" x14ac:dyDescent="0.3">
      <c r="A695" s="3">
        <v>45055.526493055557</v>
      </c>
      <c r="B695" s="4" t="s">
        <v>115</v>
      </c>
      <c r="C695" s="4" t="s">
        <v>116</v>
      </c>
      <c r="D695" s="31" t="s">
        <v>42</v>
      </c>
      <c r="E695" s="4" t="s">
        <v>1296</v>
      </c>
      <c r="F695" s="5">
        <v>622105151</v>
      </c>
      <c r="G695" s="4"/>
      <c r="H695" s="4" t="s">
        <v>1195</v>
      </c>
      <c r="I695" s="5">
        <v>66</v>
      </c>
      <c r="J695" s="4" t="s">
        <v>38</v>
      </c>
      <c r="K695" s="5">
        <v>1</v>
      </c>
      <c r="L695" s="4" t="s">
        <v>119</v>
      </c>
      <c r="M695" s="4" t="s">
        <v>1044</v>
      </c>
      <c r="N695" s="4" t="s">
        <v>47</v>
      </c>
      <c r="O695" s="6">
        <v>45251</v>
      </c>
      <c r="P695" s="4" t="s">
        <v>927</v>
      </c>
      <c r="Q695" s="4" t="s">
        <v>122</v>
      </c>
      <c r="R695" s="4" t="s">
        <v>36</v>
      </c>
      <c r="S695" s="4"/>
      <c r="T695" s="4"/>
      <c r="U695" s="4"/>
      <c r="V695" s="4" t="s">
        <v>1372</v>
      </c>
      <c r="W695" s="4"/>
      <c r="X695" s="4"/>
      <c r="Y695" s="4"/>
      <c r="Z695" s="4"/>
      <c r="AA695" s="4"/>
      <c r="AB695" s="4"/>
      <c r="AC695" s="4"/>
      <c r="AD695" s="4">
        <f t="shared" si="10"/>
        <v>19</v>
      </c>
    </row>
    <row r="696" spans="1:30" ht="27" thickBot="1" x14ac:dyDescent="0.3">
      <c r="A696" s="3">
        <v>45055.527824074074</v>
      </c>
      <c r="B696" s="4" t="s">
        <v>241</v>
      </c>
      <c r="C696" s="4" t="s">
        <v>606</v>
      </c>
      <c r="D696" s="31" t="s">
        <v>27</v>
      </c>
      <c r="E696" s="4" t="s">
        <v>1297</v>
      </c>
      <c r="F696" s="5">
        <v>624659122</v>
      </c>
      <c r="G696" s="4"/>
      <c r="H696" s="4" t="s">
        <v>244</v>
      </c>
      <c r="I696" s="5">
        <v>142</v>
      </c>
      <c r="J696" s="4" t="s">
        <v>101</v>
      </c>
      <c r="K696" s="5">
        <v>23</v>
      </c>
      <c r="L696" s="4" t="s">
        <v>1298</v>
      </c>
      <c r="M696" s="4" t="s">
        <v>246</v>
      </c>
      <c r="N696" s="4" t="s">
        <v>47</v>
      </c>
      <c r="O696" s="6">
        <v>45102</v>
      </c>
      <c r="P696" s="4" t="s">
        <v>715</v>
      </c>
      <c r="Q696" s="4" t="s">
        <v>247</v>
      </c>
      <c r="R696" s="4" t="s">
        <v>36</v>
      </c>
      <c r="S696" s="4"/>
      <c r="T696" s="4"/>
      <c r="U696" s="4"/>
      <c r="V696" s="4" t="s">
        <v>1372</v>
      </c>
      <c r="W696" s="4"/>
      <c r="X696" s="4"/>
      <c r="Y696" s="4"/>
      <c r="Z696" s="4"/>
      <c r="AA696" s="4"/>
      <c r="AB696" s="4"/>
      <c r="AC696" s="4"/>
      <c r="AD696" s="4">
        <f t="shared" si="10"/>
        <v>19</v>
      </c>
    </row>
    <row r="697" spans="1:30" ht="39.75" thickBot="1" x14ac:dyDescent="0.3">
      <c r="A697" s="3">
        <v>45055.528611111113</v>
      </c>
      <c r="B697" s="4" t="s">
        <v>115</v>
      </c>
      <c r="C697" s="4" t="s">
        <v>116</v>
      </c>
      <c r="D697" s="31" t="s">
        <v>42</v>
      </c>
      <c r="E697" s="4" t="s">
        <v>1146</v>
      </c>
      <c r="F697" s="5">
        <v>628690163</v>
      </c>
      <c r="G697" s="4"/>
      <c r="H697" s="4" t="s">
        <v>1195</v>
      </c>
      <c r="I697" s="5">
        <v>55</v>
      </c>
      <c r="J697" s="4" t="s">
        <v>38</v>
      </c>
      <c r="K697" s="5">
        <v>2</v>
      </c>
      <c r="L697" s="4" t="s">
        <v>119</v>
      </c>
      <c r="M697" s="4" t="s">
        <v>1044</v>
      </c>
      <c r="N697" s="4" t="s">
        <v>47</v>
      </c>
      <c r="O697" s="6">
        <v>45251</v>
      </c>
      <c r="P697" s="4" t="s">
        <v>927</v>
      </c>
      <c r="Q697" s="4" t="s">
        <v>122</v>
      </c>
      <c r="R697" s="4" t="s">
        <v>36</v>
      </c>
      <c r="S697" s="4"/>
      <c r="T697" s="4"/>
      <c r="U697" s="4"/>
      <c r="V697" s="4" t="s">
        <v>1372</v>
      </c>
      <c r="W697" s="4"/>
      <c r="X697" s="4"/>
      <c r="Y697" s="4"/>
      <c r="Z697" s="4"/>
      <c r="AA697" s="4"/>
      <c r="AB697" s="4"/>
      <c r="AC697" s="4"/>
      <c r="AD697" s="4">
        <f t="shared" si="10"/>
        <v>19</v>
      </c>
    </row>
    <row r="698" spans="1:30" ht="39.75" thickBot="1" x14ac:dyDescent="0.3">
      <c r="A698" s="3">
        <v>45055.531145833331</v>
      </c>
      <c r="B698" s="4" t="s">
        <v>115</v>
      </c>
      <c r="C698" s="4" t="s">
        <v>116</v>
      </c>
      <c r="D698" s="31" t="s">
        <v>42</v>
      </c>
      <c r="E698" s="4" t="s">
        <v>1299</v>
      </c>
      <c r="F698" s="5">
        <v>628019595</v>
      </c>
      <c r="G698" s="4"/>
      <c r="H698" s="4" t="s">
        <v>1195</v>
      </c>
      <c r="I698" s="5">
        <v>55</v>
      </c>
      <c r="J698" s="4" t="s">
        <v>38</v>
      </c>
      <c r="K698" s="5">
        <v>1</v>
      </c>
      <c r="L698" s="4" t="s">
        <v>119</v>
      </c>
      <c r="M698" s="4" t="s">
        <v>1044</v>
      </c>
      <c r="N698" s="4" t="s">
        <v>47</v>
      </c>
      <c r="O698" s="6">
        <v>45251</v>
      </c>
      <c r="P698" s="4" t="s">
        <v>927</v>
      </c>
      <c r="Q698" s="4" t="s">
        <v>122</v>
      </c>
      <c r="R698" s="4" t="s">
        <v>36</v>
      </c>
      <c r="S698" s="4"/>
      <c r="T698" s="4"/>
      <c r="U698" s="4"/>
      <c r="V698" s="4" t="s">
        <v>1372</v>
      </c>
      <c r="W698" s="4"/>
      <c r="X698" s="4"/>
      <c r="Y698" s="4"/>
      <c r="Z698" s="4"/>
      <c r="AA698" s="4"/>
      <c r="AB698" s="4"/>
      <c r="AC698" s="4"/>
      <c r="AD698" s="4">
        <f t="shared" si="10"/>
        <v>19</v>
      </c>
    </row>
    <row r="699" spans="1:30" ht="27" thickBot="1" x14ac:dyDescent="0.3">
      <c r="A699" s="3">
        <v>45055.532361111109</v>
      </c>
      <c r="B699" s="4" t="s">
        <v>241</v>
      </c>
      <c r="C699" s="4" t="s">
        <v>606</v>
      </c>
      <c r="D699" s="31" t="s">
        <v>27</v>
      </c>
      <c r="E699" s="4" t="s">
        <v>1300</v>
      </c>
      <c r="F699" s="5">
        <v>624326467</v>
      </c>
      <c r="G699" s="4"/>
      <c r="H699" s="4" t="s">
        <v>244</v>
      </c>
      <c r="I699" s="5">
        <v>105</v>
      </c>
      <c r="J699" s="4" t="s">
        <v>101</v>
      </c>
      <c r="K699" s="5">
        <v>50</v>
      </c>
      <c r="L699" s="4" t="s">
        <v>723</v>
      </c>
      <c r="M699" s="4" t="s">
        <v>147</v>
      </c>
      <c r="N699" s="4" t="s">
        <v>47</v>
      </c>
      <c r="O699" s="6">
        <v>45074</v>
      </c>
      <c r="P699" s="4" t="s">
        <v>713</v>
      </c>
      <c r="Q699" s="4" t="s">
        <v>247</v>
      </c>
      <c r="R699" s="4" t="s">
        <v>36</v>
      </c>
      <c r="S699" s="4"/>
      <c r="T699" s="4"/>
      <c r="U699" s="4"/>
      <c r="V699" s="4" t="s">
        <v>1372</v>
      </c>
      <c r="W699" s="4"/>
      <c r="X699" s="4"/>
      <c r="Y699" s="4"/>
      <c r="Z699" s="4"/>
      <c r="AA699" s="4"/>
      <c r="AB699" s="4"/>
      <c r="AC699" s="4"/>
      <c r="AD699" s="4">
        <f t="shared" si="10"/>
        <v>19</v>
      </c>
    </row>
    <row r="700" spans="1:30" ht="27" thickBot="1" x14ac:dyDescent="0.3">
      <c r="A700" s="3">
        <v>45055.534432870372</v>
      </c>
      <c r="B700" s="4" t="s">
        <v>241</v>
      </c>
      <c r="C700" s="4" t="s">
        <v>606</v>
      </c>
      <c r="D700" s="31" t="s">
        <v>27</v>
      </c>
      <c r="E700" s="4" t="s">
        <v>1301</v>
      </c>
      <c r="F700" s="5">
        <v>622781730</v>
      </c>
      <c r="G700" s="4"/>
      <c r="H700" s="4" t="s">
        <v>244</v>
      </c>
      <c r="I700" s="5">
        <v>150</v>
      </c>
      <c r="J700" s="4" t="s">
        <v>101</v>
      </c>
      <c r="K700" s="5">
        <v>35</v>
      </c>
      <c r="L700" s="4" t="s">
        <v>1302</v>
      </c>
      <c r="M700" s="4" t="s">
        <v>246</v>
      </c>
      <c r="N700" s="4" t="s">
        <v>33</v>
      </c>
      <c r="O700" s="6">
        <v>45071</v>
      </c>
      <c r="P700" s="4" t="s">
        <v>706</v>
      </c>
      <c r="Q700" s="4" t="s">
        <v>247</v>
      </c>
      <c r="R700" s="4" t="s">
        <v>36</v>
      </c>
      <c r="S700" s="4"/>
      <c r="T700" s="4"/>
      <c r="U700" s="4"/>
      <c r="V700" s="4" t="s">
        <v>1372</v>
      </c>
      <c r="W700" s="4"/>
      <c r="X700" s="4"/>
      <c r="Y700" s="4"/>
      <c r="Z700" s="4"/>
      <c r="AA700" s="4"/>
      <c r="AB700" s="4"/>
      <c r="AC700" s="4"/>
      <c r="AD700" s="4">
        <f t="shared" si="10"/>
        <v>19</v>
      </c>
    </row>
    <row r="701" spans="1:30" ht="27" thickBot="1" x14ac:dyDescent="0.3">
      <c r="A701" s="3">
        <v>45055.536620370367</v>
      </c>
      <c r="B701" s="4" t="s">
        <v>241</v>
      </c>
      <c r="C701" s="4" t="s">
        <v>606</v>
      </c>
      <c r="D701" s="31" t="s">
        <v>27</v>
      </c>
      <c r="E701" s="4" t="s">
        <v>1303</v>
      </c>
      <c r="F701" s="5">
        <v>621443479</v>
      </c>
      <c r="G701" s="4"/>
      <c r="H701" s="4" t="s">
        <v>244</v>
      </c>
      <c r="I701" s="5">
        <v>133</v>
      </c>
      <c r="J701" s="4" t="s">
        <v>38</v>
      </c>
      <c r="K701" s="5">
        <v>34</v>
      </c>
      <c r="L701" s="4" t="s">
        <v>1304</v>
      </c>
      <c r="M701" s="4" t="s">
        <v>147</v>
      </c>
      <c r="N701" s="4" t="s">
        <v>33</v>
      </c>
      <c r="O701" s="6">
        <v>45079</v>
      </c>
      <c r="P701" s="4" t="s">
        <v>713</v>
      </c>
      <c r="Q701" s="4" t="s">
        <v>247</v>
      </c>
      <c r="R701" s="4" t="s">
        <v>36</v>
      </c>
      <c r="S701" s="4"/>
      <c r="T701" s="4"/>
      <c r="U701" s="4"/>
      <c r="V701" s="4" t="s">
        <v>1372</v>
      </c>
      <c r="W701" s="4"/>
      <c r="X701" s="4"/>
      <c r="Y701" s="4"/>
      <c r="Z701" s="4"/>
      <c r="AA701" s="4"/>
      <c r="AB701" s="4"/>
      <c r="AC701" s="4"/>
      <c r="AD701" s="4">
        <f t="shared" si="10"/>
        <v>19</v>
      </c>
    </row>
    <row r="702" spans="1:30" ht="27" thickBot="1" x14ac:dyDescent="0.3">
      <c r="A702" s="3">
        <v>45055.538321759261</v>
      </c>
      <c r="B702" s="4" t="s">
        <v>241</v>
      </c>
      <c r="C702" s="4" t="s">
        <v>606</v>
      </c>
      <c r="D702" s="31" t="s">
        <v>27</v>
      </c>
      <c r="E702" s="4" t="s">
        <v>1305</v>
      </c>
      <c r="F702" s="5">
        <v>628676670</v>
      </c>
      <c r="G702" s="4"/>
      <c r="H702" s="4" t="s">
        <v>244</v>
      </c>
      <c r="I702" s="5">
        <v>136</v>
      </c>
      <c r="J702" s="4" t="s">
        <v>101</v>
      </c>
      <c r="K702" s="5">
        <v>55</v>
      </c>
      <c r="L702" s="4" t="s">
        <v>909</v>
      </c>
      <c r="M702" s="4" t="s">
        <v>246</v>
      </c>
      <c r="N702" s="4" t="s">
        <v>33</v>
      </c>
      <c r="O702" s="6">
        <v>45077</v>
      </c>
      <c r="P702" s="4" t="s">
        <v>706</v>
      </c>
      <c r="Q702" s="4" t="s">
        <v>247</v>
      </c>
      <c r="R702" s="4" t="s">
        <v>36</v>
      </c>
      <c r="S702" s="4"/>
      <c r="T702" s="4"/>
      <c r="U702" s="4"/>
      <c r="V702" s="4" t="s">
        <v>1372</v>
      </c>
      <c r="W702" s="4"/>
      <c r="X702" s="4"/>
      <c r="Y702" s="4"/>
      <c r="Z702" s="4"/>
      <c r="AA702" s="4"/>
      <c r="AB702" s="4"/>
      <c r="AC702" s="4"/>
      <c r="AD702" s="4">
        <f t="shared" si="10"/>
        <v>19</v>
      </c>
    </row>
    <row r="703" spans="1:30" ht="27" thickBot="1" x14ac:dyDescent="0.3">
      <c r="A703" s="3">
        <v>45055.540138888886</v>
      </c>
      <c r="B703" s="4" t="s">
        <v>241</v>
      </c>
      <c r="C703" s="4" t="s">
        <v>606</v>
      </c>
      <c r="D703" s="31" t="s">
        <v>42</v>
      </c>
      <c r="E703" s="4" t="s">
        <v>1306</v>
      </c>
      <c r="F703" s="5">
        <v>621460025</v>
      </c>
      <c r="G703" s="4"/>
      <c r="H703" s="4" t="s">
        <v>244</v>
      </c>
      <c r="I703" s="5">
        <v>134</v>
      </c>
      <c r="J703" s="4" t="s">
        <v>101</v>
      </c>
      <c r="K703" s="5">
        <v>26</v>
      </c>
      <c r="L703" s="4" t="s">
        <v>1298</v>
      </c>
      <c r="M703" s="4" t="s">
        <v>246</v>
      </c>
      <c r="N703" s="4" t="s">
        <v>47</v>
      </c>
      <c r="O703" s="6">
        <v>45081</v>
      </c>
      <c r="P703" s="4" t="s">
        <v>706</v>
      </c>
      <c r="Q703" s="4" t="s">
        <v>247</v>
      </c>
      <c r="R703" s="4" t="s">
        <v>36</v>
      </c>
      <c r="S703" s="4"/>
      <c r="T703" s="4"/>
      <c r="U703" s="4"/>
      <c r="V703" s="4" t="s">
        <v>1372</v>
      </c>
      <c r="W703" s="4"/>
      <c r="X703" s="4"/>
      <c r="Y703" s="4"/>
      <c r="Z703" s="4"/>
      <c r="AA703" s="4"/>
      <c r="AB703" s="4"/>
      <c r="AC703" s="4"/>
      <c r="AD703" s="4">
        <f t="shared" si="10"/>
        <v>19</v>
      </c>
    </row>
    <row r="704" spans="1:30" ht="39.75" thickBot="1" x14ac:dyDescent="0.3">
      <c r="A704" s="3">
        <v>45055.541481481479</v>
      </c>
      <c r="B704" s="4" t="s">
        <v>552</v>
      </c>
      <c r="C704" s="4" t="s">
        <v>553</v>
      </c>
      <c r="D704" s="31" t="s">
        <v>42</v>
      </c>
      <c r="E704" s="4" t="s">
        <v>1307</v>
      </c>
      <c r="F704" s="5">
        <v>623938171</v>
      </c>
      <c r="G704" s="4"/>
      <c r="H704" s="4" t="s">
        <v>555</v>
      </c>
      <c r="I704" s="5">
        <v>150</v>
      </c>
      <c r="J704" s="4" t="s">
        <v>38</v>
      </c>
      <c r="K704" s="5">
        <v>15</v>
      </c>
      <c r="L704" s="4" t="s">
        <v>556</v>
      </c>
      <c r="M704" s="4" t="s">
        <v>556</v>
      </c>
      <c r="N704" s="4" t="s">
        <v>90</v>
      </c>
      <c r="O704" s="6">
        <v>45056</v>
      </c>
      <c r="P704" s="4"/>
      <c r="Q704" s="4" t="s">
        <v>558</v>
      </c>
      <c r="R704" s="4" t="s">
        <v>36</v>
      </c>
      <c r="S704" s="4" t="s">
        <v>59</v>
      </c>
      <c r="T704" s="5">
        <v>15</v>
      </c>
      <c r="U704" s="6">
        <v>45055</v>
      </c>
      <c r="V704" s="4" t="s">
        <v>1353</v>
      </c>
      <c r="W704" s="4" t="s">
        <v>698</v>
      </c>
      <c r="X704" s="4"/>
      <c r="Y704" s="4"/>
      <c r="Z704" s="4"/>
      <c r="AA704" s="4"/>
      <c r="AB704" s="4"/>
      <c r="AC704" s="4"/>
      <c r="AD704" s="4">
        <f t="shared" si="10"/>
        <v>19</v>
      </c>
    </row>
    <row r="705" spans="1:30" ht="27" thickBot="1" x14ac:dyDescent="0.3">
      <c r="A705" s="3">
        <v>45055.542037037034</v>
      </c>
      <c r="B705" s="4" t="s">
        <v>241</v>
      </c>
      <c r="C705" s="4" t="s">
        <v>606</v>
      </c>
      <c r="D705" s="31" t="s">
        <v>27</v>
      </c>
      <c r="E705" s="4" t="s">
        <v>1308</v>
      </c>
      <c r="F705" s="5">
        <v>626679485</v>
      </c>
      <c r="G705" s="4"/>
      <c r="H705" s="4" t="s">
        <v>244</v>
      </c>
      <c r="I705" s="5">
        <v>143</v>
      </c>
      <c r="J705" s="4" t="s">
        <v>101</v>
      </c>
      <c r="K705" s="5">
        <v>115</v>
      </c>
      <c r="L705" s="4" t="s">
        <v>1309</v>
      </c>
      <c r="M705" s="4" t="s">
        <v>147</v>
      </c>
      <c r="N705" s="4" t="s">
        <v>33</v>
      </c>
      <c r="O705" s="6">
        <v>45072</v>
      </c>
      <c r="P705" s="4" t="s">
        <v>706</v>
      </c>
      <c r="Q705" s="4" t="s">
        <v>247</v>
      </c>
      <c r="R705" s="4" t="s">
        <v>36</v>
      </c>
      <c r="S705" s="4"/>
      <c r="T705" s="4"/>
      <c r="U705" s="4"/>
      <c r="V705" s="4" t="s">
        <v>1372</v>
      </c>
      <c r="W705" s="4"/>
      <c r="X705" s="4"/>
      <c r="Y705" s="4"/>
      <c r="Z705" s="4"/>
      <c r="AA705" s="4"/>
      <c r="AB705" s="4"/>
      <c r="AC705" s="4"/>
      <c r="AD705" s="4">
        <f t="shared" si="10"/>
        <v>19</v>
      </c>
    </row>
    <row r="706" spans="1:30" ht="27" thickBot="1" x14ac:dyDescent="0.3">
      <c r="A706" s="3">
        <v>45055.547731481478</v>
      </c>
      <c r="B706" s="4" t="s">
        <v>1086</v>
      </c>
      <c r="C706" s="4" t="s">
        <v>1279</v>
      </c>
      <c r="D706" s="31" t="s">
        <v>42</v>
      </c>
      <c r="E706" s="8" t="s">
        <v>362</v>
      </c>
      <c r="F706" s="5">
        <v>657812838</v>
      </c>
      <c r="G706" s="4"/>
      <c r="H706" s="4" t="s">
        <v>1089</v>
      </c>
      <c r="I706" s="5">
        <v>19</v>
      </c>
      <c r="J706" s="4" t="s">
        <v>38</v>
      </c>
      <c r="K706" s="5">
        <v>1</v>
      </c>
      <c r="L706" s="4" t="s">
        <v>1310</v>
      </c>
      <c r="M706" s="4" t="s">
        <v>32</v>
      </c>
      <c r="N706" s="4" t="s">
        <v>47</v>
      </c>
      <c r="O706" s="6">
        <v>45061</v>
      </c>
      <c r="P706" s="4"/>
      <c r="Q706" s="4" t="s">
        <v>1090</v>
      </c>
      <c r="R706" s="4" t="s">
        <v>36</v>
      </c>
      <c r="S706" s="4" t="s">
        <v>59</v>
      </c>
      <c r="T706" s="5">
        <v>2</v>
      </c>
      <c r="U706" s="6">
        <v>45055</v>
      </c>
      <c r="V706" s="4" t="s">
        <v>1353</v>
      </c>
      <c r="W706" s="4" t="s">
        <v>1623</v>
      </c>
      <c r="X706" s="4"/>
      <c r="Y706" s="4"/>
      <c r="Z706" s="4"/>
      <c r="AA706" s="4"/>
      <c r="AB706" s="4"/>
      <c r="AC706" s="4"/>
      <c r="AD706" s="4">
        <f t="shared" si="10"/>
        <v>19</v>
      </c>
    </row>
    <row r="707" spans="1:30" ht="27" thickBot="1" x14ac:dyDescent="0.3">
      <c r="A707" s="3">
        <v>45055.551828703705</v>
      </c>
      <c r="B707" s="4" t="s">
        <v>241</v>
      </c>
      <c r="C707" s="4" t="s">
        <v>606</v>
      </c>
      <c r="D707" s="31" t="s">
        <v>27</v>
      </c>
      <c r="E707" s="4" t="s">
        <v>1311</v>
      </c>
      <c r="F707" s="5">
        <v>622867878</v>
      </c>
      <c r="G707" s="4"/>
      <c r="H707" s="4" t="s">
        <v>244</v>
      </c>
      <c r="I707" s="5">
        <v>127</v>
      </c>
      <c r="J707" s="4" t="s">
        <v>101</v>
      </c>
      <c r="K707" s="5">
        <v>125</v>
      </c>
      <c r="L707" s="4" t="s">
        <v>1312</v>
      </c>
      <c r="M707" s="4" t="s">
        <v>147</v>
      </c>
      <c r="N707" s="4" t="s">
        <v>33</v>
      </c>
      <c r="O707" s="6">
        <v>45092</v>
      </c>
      <c r="P707" s="4" t="s">
        <v>706</v>
      </c>
      <c r="Q707" s="4" t="s">
        <v>247</v>
      </c>
      <c r="R707" s="4" t="s">
        <v>36</v>
      </c>
      <c r="S707" s="4"/>
      <c r="T707" s="4"/>
      <c r="U707" s="4"/>
      <c r="V707" s="4" t="s">
        <v>1372</v>
      </c>
      <c r="W707" s="4"/>
      <c r="X707" s="4"/>
      <c r="Y707" s="4"/>
      <c r="Z707" s="4"/>
      <c r="AA707" s="4"/>
      <c r="AB707" s="4"/>
      <c r="AC707" s="4"/>
      <c r="AD707" s="4">
        <f t="shared" ref="AD707:AD770" si="11">WEEKNUM(LEFT(A707,10))</f>
        <v>19</v>
      </c>
    </row>
    <row r="708" spans="1:30" ht="27" thickBot="1" x14ac:dyDescent="0.3">
      <c r="A708" s="3">
        <v>45055.556157407409</v>
      </c>
      <c r="B708" s="4" t="s">
        <v>241</v>
      </c>
      <c r="C708" s="4" t="s">
        <v>606</v>
      </c>
      <c r="D708" s="31" t="s">
        <v>27</v>
      </c>
      <c r="E708" s="4" t="s">
        <v>1313</v>
      </c>
      <c r="F708" s="5">
        <v>620276427</v>
      </c>
      <c r="G708" s="4"/>
      <c r="H708" s="4" t="s">
        <v>244</v>
      </c>
      <c r="I708" s="5">
        <v>129</v>
      </c>
      <c r="J708" s="4" t="s">
        <v>101</v>
      </c>
      <c r="K708" s="5">
        <v>155</v>
      </c>
      <c r="L708" s="4" t="s">
        <v>1314</v>
      </c>
      <c r="M708" s="4" t="s">
        <v>246</v>
      </c>
      <c r="N708" s="4" t="s">
        <v>33</v>
      </c>
      <c r="O708" s="6">
        <v>45079</v>
      </c>
      <c r="P708" s="4" t="s">
        <v>713</v>
      </c>
      <c r="Q708" s="4" t="s">
        <v>247</v>
      </c>
      <c r="R708" s="4" t="s">
        <v>36</v>
      </c>
      <c r="S708" s="4"/>
      <c r="T708" s="4"/>
      <c r="U708" s="4"/>
      <c r="V708" s="4" t="s">
        <v>1372</v>
      </c>
      <c r="W708" s="4"/>
      <c r="X708" s="4"/>
      <c r="Y708" s="4"/>
      <c r="Z708" s="4"/>
      <c r="AA708" s="4"/>
      <c r="AB708" s="4"/>
      <c r="AC708" s="4"/>
      <c r="AD708" s="4">
        <f t="shared" si="11"/>
        <v>19</v>
      </c>
    </row>
    <row r="709" spans="1:30" ht="39.75" thickBot="1" x14ac:dyDescent="0.3">
      <c r="A709" s="3">
        <v>45055.560648148145</v>
      </c>
      <c r="B709" s="4" t="s">
        <v>241</v>
      </c>
      <c r="C709" s="4" t="s">
        <v>606</v>
      </c>
      <c r="D709" s="31" t="s">
        <v>27</v>
      </c>
      <c r="E709" s="4" t="s">
        <v>1258</v>
      </c>
      <c r="F709" s="5">
        <v>622545164</v>
      </c>
      <c r="G709" s="4"/>
      <c r="H709" s="4" t="s">
        <v>244</v>
      </c>
      <c r="I709" s="5">
        <v>121</v>
      </c>
      <c r="J709" s="4" t="s">
        <v>101</v>
      </c>
      <c r="K709" s="5">
        <v>170</v>
      </c>
      <c r="L709" s="4" t="s">
        <v>1315</v>
      </c>
      <c r="M709" s="4" t="s">
        <v>147</v>
      </c>
      <c r="N709" s="4" t="s">
        <v>47</v>
      </c>
      <c r="O709" s="6">
        <v>45082</v>
      </c>
      <c r="P709" s="4" t="s">
        <v>706</v>
      </c>
      <c r="Q709" s="4" t="s">
        <v>247</v>
      </c>
      <c r="R709" s="4" t="s">
        <v>36</v>
      </c>
      <c r="S709" s="4"/>
      <c r="T709" s="4"/>
      <c r="U709" s="4"/>
      <c r="V709" s="4" t="s">
        <v>1372</v>
      </c>
      <c r="W709" s="4"/>
      <c r="X709" s="4"/>
      <c r="Y709" s="4"/>
      <c r="Z709" s="4"/>
      <c r="AA709" s="4"/>
      <c r="AB709" s="4"/>
      <c r="AC709" s="4"/>
      <c r="AD709" s="4">
        <f t="shared" si="11"/>
        <v>19</v>
      </c>
    </row>
    <row r="710" spans="1:30" ht="39.75" thickBot="1" x14ac:dyDescent="0.3">
      <c r="A710" s="3">
        <v>45055.563356481478</v>
      </c>
      <c r="B710" s="4" t="s">
        <v>241</v>
      </c>
      <c r="C710" s="4" t="s">
        <v>606</v>
      </c>
      <c r="D710" s="31" t="s">
        <v>27</v>
      </c>
      <c r="E710" s="4" t="s">
        <v>1316</v>
      </c>
      <c r="F710" s="5">
        <v>621312399</v>
      </c>
      <c r="G710" s="4"/>
      <c r="H710" s="4" t="s">
        <v>244</v>
      </c>
      <c r="I710" s="5">
        <v>132</v>
      </c>
      <c r="J710" s="4" t="s">
        <v>101</v>
      </c>
      <c r="K710" s="5">
        <v>180</v>
      </c>
      <c r="L710" s="4" t="s">
        <v>1317</v>
      </c>
      <c r="M710" s="4" t="s">
        <v>246</v>
      </c>
      <c r="N710" s="4" t="s">
        <v>33</v>
      </c>
      <c r="O710" s="6">
        <v>45083</v>
      </c>
      <c r="P710" s="4" t="s">
        <v>706</v>
      </c>
      <c r="Q710" s="4" t="s">
        <v>247</v>
      </c>
      <c r="R710" s="4" t="s">
        <v>36</v>
      </c>
      <c r="S710" s="4"/>
      <c r="T710" s="4"/>
      <c r="U710" s="4"/>
      <c r="V710" s="4" t="s">
        <v>1372</v>
      </c>
      <c r="W710" s="4"/>
      <c r="X710" s="4"/>
      <c r="Y710" s="4"/>
      <c r="Z710" s="4"/>
      <c r="AA710" s="4"/>
      <c r="AB710" s="4"/>
      <c r="AC710" s="4"/>
      <c r="AD710" s="4">
        <f t="shared" si="11"/>
        <v>19</v>
      </c>
    </row>
    <row r="711" spans="1:30" ht="39.75" thickBot="1" x14ac:dyDescent="0.3">
      <c r="A711" s="3">
        <v>45055.566446759258</v>
      </c>
      <c r="B711" s="4" t="s">
        <v>241</v>
      </c>
      <c r="C711" s="4" t="s">
        <v>606</v>
      </c>
      <c r="D711" s="31" t="s">
        <v>27</v>
      </c>
      <c r="E711" s="4" t="s">
        <v>1318</v>
      </c>
      <c r="F711" s="5">
        <v>621884029</v>
      </c>
      <c r="G711" s="4"/>
      <c r="H711" s="4" t="s">
        <v>244</v>
      </c>
      <c r="I711" s="5">
        <v>131</v>
      </c>
      <c r="J711" s="4" t="s">
        <v>101</v>
      </c>
      <c r="K711" s="5">
        <v>35</v>
      </c>
      <c r="L711" s="4" t="s">
        <v>1298</v>
      </c>
      <c r="M711" s="4" t="s">
        <v>246</v>
      </c>
      <c r="N711" s="4" t="s">
        <v>33</v>
      </c>
      <c r="O711" s="6">
        <v>45078</v>
      </c>
      <c r="P711" s="4" t="s">
        <v>706</v>
      </c>
      <c r="Q711" s="4" t="s">
        <v>247</v>
      </c>
      <c r="R711" s="4" t="s">
        <v>36</v>
      </c>
      <c r="S711" s="4"/>
      <c r="T711" s="4"/>
      <c r="U711" s="4"/>
      <c r="V711" s="4" t="s">
        <v>1372</v>
      </c>
      <c r="W711" s="4"/>
      <c r="X711" s="4"/>
      <c r="Y711" s="4"/>
      <c r="Z711" s="4"/>
      <c r="AA711" s="4"/>
      <c r="AB711" s="4"/>
      <c r="AC711" s="4"/>
      <c r="AD711" s="4">
        <f t="shared" si="11"/>
        <v>19</v>
      </c>
    </row>
    <row r="712" spans="1:30" ht="27" thickBot="1" x14ac:dyDescent="0.3">
      <c r="A712" s="3">
        <v>45055.568124999998</v>
      </c>
      <c r="B712" s="4" t="s">
        <v>241</v>
      </c>
      <c r="C712" s="4" t="s">
        <v>1319</v>
      </c>
      <c r="D712" s="31" t="s">
        <v>27</v>
      </c>
      <c r="E712" s="4" t="s">
        <v>1320</v>
      </c>
      <c r="F712" s="5">
        <v>621061051</v>
      </c>
      <c r="G712" s="4"/>
      <c r="H712" s="4" t="s">
        <v>244</v>
      </c>
      <c r="I712" s="5">
        <v>125</v>
      </c>
      <c r="J712" s="4" t="s">
        <v>101</v>
      </c>
      <c r="K712" s="5">
        <v>30</v>
      </c>
      <c r="L712" s="4" t="s">
        <v>909</v>
      </c>
      <c r="M712" s="4" t="s">
        <v>246</v>
      </c>
      <c r="N712" s="4" t="s">
        <v>33</v>
      </c>
      <c r="O712" s="6">
        <v>45085</v>
      </c>
      <c r="P712" s="4" t="s">
        <v>713</v>
      </c>
      <c r="Q712" s="4" t="s">
        <v>247</v>
      </c>
      <c r="R712" s="4" t="s">
        <v>36</v>
      </c>
      <c r="S712" s="4"/>
      <c r="T712" s="4"/>
      <c r="U712" s="4"/>
      <c r="V712" s="4" t="s">
        <v>1372</v>
      </c>
      <c r="W712" s="4"/>
      <c r="X712" s="4"/>
      <c r="Y712" s="4"/>
      <c r="Z712" s="4"/>
      <c r="AA712" s="4"/>
      <c r="AB712" s="4"/>
      <c r="AC712" s="4"/>
      <c r="AD712" s="4">
        <f t="shared" si="11"/>
        <v>19</v>
      </c>
    </row>
    <row r="713" spans="1:30" ht="39.75" thickBot="1" x14ac:dyDescent="0.3">
      <c r="A713" s="3">
        <v>45055.569837962961</v>
      </c>
      <c r="B713" s="4" t="s">
        <v>241</v>
      </c>
      <c r="C713" s="4" t="s">
        <v>606</v>
      </c>
      <c r="D713" s="31" t="s">
        <v>27</v>
      </c>
      <c r="E713" s="4" t="s">
        <v>1321</v>
      </c>
      <c r="F713" s="5">
        <v>621334678</v>
      </c>
      <c r="G713" s="4"/>
      <c r="H713" s="4" t="s">
        <v>244</v>
      </c>
      <c r="I713" s="5">
        <v>120</v>
      </c>
      <c r="J713" s="4" t="s">
        <v>101</v>
      </c>
      <c r="K713" s="5">
        <v>36</v>
      </c>
      <c r="L713" s="4" t="s">
        <v>1322</v>
      </c>
      <c r="M713" s="4" t="s">
        <v>147</v>
      </c>
      <c r="N713" s="4" t="s">
        <v>33</v>
      </c>
      <c r="O713" s="6">
        <v>45085</v>
      </c>
      <c r="P713" s="4" t="s">
        <v>713</v>
      </c>
      <c r="Q713" s="4" t="s">
        <v>247</v>
      </c>
      <c r="R713" s="4" t="s">
        <v>36</v>
      </c>
      <c r="S713" s="4"/>
      <c r="T713" s="4"/>
      <c r="U713" s="4"/>
      <c r="V713" s="4" t="s">
        <v>1372</v>
      </c>
      <c r="W713" s="4"/>
      <c r="X713" s="4"/>
      <c r="Y713" s="4"/>
      <c r="Z713" s="4"/>
      <c r="AA713" s="4"/>
      <c r="AB713" s="4"/>
      <c r="AC713" s="4"/>
      <c r="AD713" s="4">
        <f t="shared" si="11"/>
        <v>19</v>
      </c>
    </row>
    <row r="714" spans="1:30" ht="39.75" thickBot="1" x14ac:dyDescent="0.3">
      <c r="A714" s="3">
        <v>45055.619143518517</v>
      </c>
      <c r="B714" s="4" t="s">
        <v>1123</v>
      </c>
      <c r="C714" s="4" t="s">
        <v>1123</v>
      </c>
      <c r="D714" s="31" t="s">
        <v>42</v>
      </c>
      <c r="E714" s="4" t="s">
        <v>1385</v>
      </c>
      <c r="F714" s="5">
        <v>622170163</v>
      </c>
      <c r="G714" s="4"/>
      <c r="H714" s="4" t="s">
        <v>1386</v>
      </c>
      <c r="I714" s="5">
        <v>45</v>
      </c>
      <c r="J714" s="4" t="s">
        <v>38</v>
      </c>
      <c r="K714" s="5">
        <v>10</v>
      </c>
      <c r="L714" s="4" t="s">
        <v>120</v>
      </c>
      <c r="M714" s="4" t="s">
        <v>705</v>
      </c>
      <c r="N714" s="4" t="s">
        <v>33</v>
      </c>
      <c r="O714" s="6">
        <v>45058</v>
      </c>
      <c r="P714" s="4" t="s">
        <v>1134</v>
      </c>
      <c r="Q714" s="4" t="s">
        <v>1128</v>
      </c>
      <c r="R714" s="4" t="s">
        <v>36</v>
      </c>
      <c r="S714" s="4" t="s">
        <v>59</v>
      </c>
      <c r="T714" s="5">
        <v>10</v>
      </c>
      <c r="U714" s="6">
        <v>45061</v>
      </c>
      <c r="V714" s="4" t="s">
        <v>1373</v>
      </c>
      <c r="W714" s="4" t="s">
        <v>1387</v>
      </c>
      <c r="X714" s="4"/>
      <c r="Y714" s="4"/>
      <c r="Z714" s="4"/>
      <c r="AA714" s="4"/>
      <c r="AB714" s="4"/>
      <c r="AC714" s="4"/>
      <c r="AD714" s="4">
        <f t="shared" si="11"/>
        <v>19</v>
      </c>
    </row>
    <row r="715" spans="1:30" ht="27" thickBot="1" x14ac:dyDescent="0.3">
      <c r="A715" s="3">
        <v>45055.624363425923</v>
      </c>
      <c r="B715" s="4" t="s">
        <v>1123</v>
      </c>
      <c r="C715" s="4" t="s">
        <v>1123</v>
      </c>
      <c r="D715" s="31" t="s">
        <v>42</v>
      </c>
      <c r="E715" s="4" t="s">
        <v>1388</v>
      </c>
      <c r="F715" s="5">
        <v>625096080</v>
      </c>
      <c r="G715" s="4"/>
      <c r="H715" s="4" t="s">
        <v>1133</v>
      </c>
      <c r="I715" s="5">
        <v>107</v>
      </c>
      <c r="J715" s="4" t="s">
        <v>38</v>
      </c>
      <c r="K715" s="5">
        <v>50</v>
      </c>
      <c r="L715" s="4" t="s">
        <v>1389</v>
      </c>
      <c r="M715" s="4" t="s">
        <v>1390</v>
      </c>
      <c r="N715" s="4" t="s">
        <v>33</v>
      </c>
      <c r="O715" s="6">
        <v>45058</v>
      </c>
      <c r="P715" s="4" t="s">
        <v>1127</v>
      </c>
      <c r="Q715" s="4" t="s">
        <v>1128</v>
      </c>
      <c r="R715" s="4" t="s">
        <v>36</v>
      </c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>
        <f t="shared" si="11"/>
        <v>19</v>
      </c>
    </row>
    <row r="716" spans="1:30" ht="27" thickBot="1" x14ac:dyDescent="0.3">
      <c r="A716" s="3">
        <v>45055.626111111109</v>
      </c>
      <c r="B716" s="4" t="s">
        <v>1771</v>
      </c>
      <c r="C716" s="4" t="s">
        <v>496</v>
      </c>
      <c r="D716" s="31" t="s">
        <v>42</v>
      </c>
      <c r="E716" s="4" t="s">
        <v>1391</v>
      </c>
      <c r="F716" s="5">
        <v>622653438</v>
      </c>
      <c r="G716" s="5">
        <v>622653438</v>
      </c>
      <c r="H716" s="4" t="s">
        <v>525</v>
      </c>
      <c r="I716" s="5">
        <v>6</v>
      </c>
      <c r="J716" s="4" t="s">
        <v>38</v>
      </c>
      <c r="K716" s="5">
        <v>1</v>
      </c>
      <c r="L716" s="4" t="s">
        <v>982</v>
      </c>
      <c r="M716" s="4" t="s">
        <v>546</v>
      </c>
      <c r="N716" s="4" t="s">
        <v>90</v>
      </c>
      <c r="O716" s="6">
        <v>45055</v>
      </c>
      <c r="P716" s="4" t="s">
        <v>523</v>
      </c>
      <c r="Q716" s="4" t="s">
        <v>500</v>
      </c>
      <c r="R716" s="4" t="s">
        <v>36</v>
      </c>
      <c r="S716" s="4" t="s">
        <v>59</v>
      </c>
      <c r="T716" s="5">
        <v>1</v>
      </c>
      <c r="U716" s="6">
        <v>45055</v>
      </c>
      <c r="V716" s="4" t="s">
        <v>1353</v>
      </c>
      <c r="W716" s="4" t="s">
        <v>918</v>
      </c>
      <c r="X716" s="4"/>
      <c r="Y716" s="4"/>
      <c r="Z716" s="4"/>
      <c r="AA716" s="4"/>
      <c r="AB716" s="4"/>
      <c r="AC716" s="4"/>
      <c r="AD716" s="4">
        <f t="shared" si="11"/>
        <v>19</v>
      </c>
    </row>
    <row r="717" spans="1:30" ht="27" thickBot="1" x14ac:dyDescent="0.3">
      <c r="A717" s="3">
        <v>45055.62840277778</v>
      </c>
      <c r="B717" s="4" t="s">
        <v>1123</v>
      </c>
      <c r="C717" s="4" t="s">
        <v>1123</v>
      </c>
      <c r="D717" s="31" t="s">
        <v>42</v>
      </c>
      <c r="E717" s="4" t="s">
        <v>1392</v>
      </c>
      <c r="F717" s="5">
        <v>620034122</v>
      </c>
      <c r="G717" s="4"/>
      <c r="H717" s="4" t="s">
        <v>1133</v>
      </c>
      <c r="I717" s="5">
        <v>107</v>
      </c>
      <c r="J717" s="4" t="s">
        <v>38</v>
      </c>
      <c r="K717" s="5">
        <v>15</v>
      </c>
      <c r="L717" s="4" t="s">
        <v>1393</v>
      </c>
      <c r="M717" s="4" t="s">
        <v>1394</v>
      </c>
      <c r="N717" s="4" t="s">
        <v>33</v>
      </c>
      <c r="O717" s="6">
        <v>45059</v>
      </c>
      <c r="P717" s="4" t="s">
        <v>1134</v>
      </c>
      <c r="Q717" s="4" t="s">
        <v>1128</v>
      </c>
      <c r="R717" s="4" t="s">
        <v>36</v>
      </c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>
        <f t="shared" si="11"/>
        <v>19</v>
      </c>
    </row>
    <row r="718" spans="1:30" ht="27" thickBot="1" x14ac:dyDescent="0.3">
      <c r="A718" s="3">
        <v>45055.629236111112</v>
      </c>
      <c r="B718" s="4" t="s">
        <v>1771</v>
      </c>
      <c r="C718" s="4" t="s">
        <v>496</v>
      </c>
      <c r="D718" s="31" t="s">
        <v>42</v>
      </c>
      <c r="E718" s="4" t="s">
        <v>1395</v>
      </c>
      <c r="F718" s="5">
        <v>625365311</v>
      </c>
      <c r="G718" s="5">
        <v>625365311</v>
      </c>
      <c r="H718" s="4" t="s">
        <v>525</v>
      </c>
      <c r="I718" s="5">
        <v>6</v>
      </c>
      <c r="J718" s="4" t="s">
        <v>38</v>
      </c>
      <c r="K718" s="5">
        <v>1</v>
      </c>
      <c r="L718" s="4" t="s">
        <v>982</v>
      </c>
      <c r="M718" s="4" t="s">
        <v>546</v>
      </c>
      <c r="N718" s="4" t="s">
        <v>90</v>
      </c>
      <c r="O718" s="6">
        <v>45055</v>
      </c>
      <c r="P718" s="4" t="s">
        <v>523</v>
      </c>
      <c r="Q718" s="4" t="s">
        <v>500</v>
      </c>
      <c r="R718" s="4" t="s">
        <v>36</v>
      </c>
      <c r="S718" s="4" t="s">
        <v>59</v>
      </c>
      <c r="T718" s="5">
        <v>1</v>
      </c>
      <c r="U718" s="6">
        <v>45055</v>
      </c>
      <c r="V718" s="4" t="s">
        <v>1353</v>
      </c>
      <c r="W718" s="4" t="s">
        <v>918</v>
      </c>
      <c r="X718" s="4"/>
      <c r="Y718" s="4"/>
      <c r="Z718" s="4"/>
      <c r="AA718" s="4"/>
      <c r="AB718" s="4"/>
      <c r="AC718" s="4"/>
      <c r="AD718" s="4">
        <f t="shared" si="11"/>
        <v>19</v>
      </c>
    </row>
    <row r="719" spans="1:30" ht="27" thickBot="1" x14ac:dyDescent="0.3">
      <c r="A719" s="3">
        <v>45055.681979166664</v>
      </c>
      <c r="B719" s="4" t="s">
        <v>677</v>
      </c>
      <c r="C719" s="4" t="s">
        <v>678</v>
      </c>
      <c r="D719" s="31" t="s">
        <v>42</v>
      </c>
      <c r="E719" s="4" t="s">
        <v>1396</v>
      </c>
      <c r="F719" s="5">
        <v>622628642</v>
      </c>
      <c r="G719" s="4"/>
      <c r="H719" s="4" t="s">
        <v>1227</v>
      </c>
      <c r="I719" s="5">
        <v>39</v>
      </c>
      <c r="J719" s="4" t="s">
        <v>38</v>
      </c>
      <c r="K719" s="5">
        <v>3</v>
      </c>
      <c r="L719" s="4" t="s">
        <v>1278</v>
      </c>
      <c r="M719" s="4" t="s">
        <v>1278</v>
      </c>
      <c r="N719" s="4" t="s">
        <v>47</v>
      </c>
      <c r="O719" s="6">
        <v>45066</v>
      </c>
      <c r="P719" s="4"/>
      <c r="Q719" s="4" t="s">
        <v>682</v>
      </c>
      <c r="R719" s="4" t="s">
        <v>36</v>
      </c>
      <c r="S719" s="4"/>
      <c r="T719" s="4"/>
      <c r="U719" s="4"/>
      <c r="V719" s="4" t="s">
        <v>1372</v>
      </c>
      <c r="W719" s="4"/>
      <c r="X719" s="4"/>
      <c r="Y719" s="4"/>
      <c r="Z719" s="4"/>
      <c r="AA719" s="4"/>
      <c r="AB719" s="4"/>
      <c r="AC719" s="4"/>
      <c r="AD719" s="4">
        <f t="shared" si="11"/>
        <v>19</v>
      </c>
    </row>
    <row r="720" spans="1:30" ht="27" thickBot="1" x14ac:dyDescent="0.3">
      <c r="A720" s="3">
        <v>45055.684074074074</v>
      </c>
      <c r="B720" s="4" t="s">
        <v>677</v>
      </c>
      <c r="C720" s="4" t="s">
        <v>678</v>
      </c>
      <c r="D720" s="31" t="s">
        <v>27</v>
      </c>
      <c r="E720" s="4" t="s">
        <v>1397</v>
      </c>
      <c r="F720" s="5">
        <v>622628642</v>
      </c>
      <c r="G720" s="5">
        <v>628402018</v>
      </c>
      <c r="H720" s="4" t="s">
        <v>1227</v>
      </c>
      <c r="I720" s="5">
        <v>40</v>
      </c>
      <c r="J720" s="4" t="s">
        <v>101</v>
      </c>
      <c r="K720" s="5">
        <v>55</v>
      </c>
      <c r="L720" s="4" t="s">
        <v>1044</v>
      </c>
      <c r="M720" s="4" t="s">
        <v>1044</v>
      </c>
      <c r="N720" s="4" t="s">
        <v>47</v>
      </c>
      <c r="O720" s="6">
        <v>45072</v>
      </c>
      <c r="P720" s="4"/>
      <c r="Q720" s="4" t="s">
        <v>682</v>
      </c>
      <c r="R720" s="4" t="s">
        <v>36</v>
      </c>
      <c r="S720" s="4"/>
      <c r="T720" s="4"/>
      <c r="U720" s="4"/>
      <c r="V720" s="4" t="s">
        <v>1372</v>
      </c>
      <c r="W720" s="4"/>
      <c r="X720" s="4"/>
      <c r="Y720" s="4"/>
      <c r="Z720" s="4"/>
      <c r="AA720" s="4"/>
      <c r="AB720" s="4"/>
      <c r="AC720" s="4"/>
      <c r="AD720" s="4">
        <f t="shared" si="11"/>
        <v>19</v>
      </c>
    </row>
    <row r="721" spans="1:30" ht="27" thickBot="1" x14ac:dyDescent="0.3">
      <c r="A721" s="3">
        <v>45055.734918981485</v>
      </c>
      <c r="B721" s="4" t="s">
        <v>1123</v>
      </c>
      <c r="C721" s="4" t="s">
        <v>1123</v>
      </c>
      <c r="D721" s="31" t="s">
        <v>42</v>
      </c>
      <c r="E721" s="4" t="s">
        <v>1398</v>
      </c>
      <c r="F721" s="5">
        <v>621786876</v>
      </c>
      <c r="G721" s="4"/>
      <c r="H721" s="4" t="s">
        <v>1399</v>
      </c>
      <c r="I721" s="5">
        <v>80</v>
      </c>
      <c r="J721" s="4" t="s">
        <v>38</v>
      </c>
      <c r="K721" s="5">
        <v>20</v>
      </c>
      <c r="L721" s="4" t="s">
        <v>1400</v>
      </c>
      <c r="M721" s="4" t="s">
        <v>705</v>
      </c>
      <c r="N721" s="4" t="s">
        <v>47</v>
      </c>
      <c r="O721" s="6">
        <v>45059</v>
      </c>
      <c r="P721" s="4" t="s">
        <v>1401</v>
      </c>
      <c r="Q721" s="4" t="s">
        <v>1128</v>
      </c>
      <c r="R721" s="4" t="s">
        <v>36</v>
      </c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>
        <f t="shared" si="11"/>
        <v>19</v>
      </c>
    </row>
    <row r="722" spans="1:30" ht="27" thickBot="1" x14ac:dyDescent="0.3">
      <c r="A722" s="3">
        <v>45055.747847222221</v>
      </c>
      <c r="B722" s="4" t="s">
        <v>234</v>
      </c>
      <c r="C722" s="4" t="s">
        <v>235</v>
      </c>
      <c r="D722" s="31" t="s">
        <v>42</v>
      </c>
      <c r="E722" s="8" t="s">
        <v>1402</v>
      </c>
      <c r="F722" s="5">
        <v>625038926</v>
      </c>
      <c r="G722" s="4"/>
      <c r="H722" s="4" t="s">
        <v>451</v>
      </c>
      <c r="I722" s="5">
        <v>75</v>
      </c>
      <c r="J722" s="4" t="s">
        <v>101</v>
      </c>
      <c r="K722" s="5">
        <v>2</v>
      </c>
      <c r="L722" s="4" t="s">
        <v>284</v>
      </c>
      <c r="M722" s="4" t="s">
        <v>284</v>
      </c>
      <c r="N722" s="4" t="s">
        <v>47</v>
      </c>
      <c r="O722" s="6">
        <v>45060</v>
      </c>
      <c r="P722" s="4"/>
      <c r="Q722" s="4" t="s">
        <v>240</v>
      </c>
      <c r="R722" s="4" t="s">
        <v>36</v>
      </c>
      <c r="S722" s="4" t="s">
        <v>59</v>
      </c>
      <c r="T722" s="5">
        <v>2</v>
      </c>
      <c r="U722" s="6">
        <v>45058</v>
      </c>
      <c r="V722" s="4" t="s">
        <v>1353</v>
      </c>
      <c r="W722" s="4" t="s">
        <v>1161</v>
      </c>
      <c r="X722" s="4"/>
      <c r="Y722" s="4"/>
      <c r="Z722" s="4"/>
      <c r="AA722" s="4"/>
      <c r="AB722" s="4"/>
      <c r="AC722" s="4"/>
      <c r="AD722" s="4">
        <f t="shared" si="11"/>
        <v>19</v>
      </c>
    </row>
    <row r="723" spans="1:30" ht="27" thickBot="1" x14ac:dyDescent="0.3">
      <c r="A723" s="3">
        <v>45055.749965277777</v>
      </c>
      <c r="B723" s="4" t="s">
        <v>234</v>
      </c>
      <c r="C723" s="4" t="s">
        <v>235</v>
      </c>
      <c r="D723" s="31" t="s">
        <v>42</v>
      </c>
      <c r="E723" s="8" t="s">
        <v>1403</v>
      </c>
      <c r="F723" s="5">
        <v>624388239</v>
      </c>
      <c r="G723" s="4"/>
      <c r="H723" s="4" t="s">
        <v>451</v>
      </c>
      <c r="I723" s="5">
        <v>75</v>
      </c>
      <c r="J723" s="4" t="s">
        <v>101</v>
      </c>
      <c r="K723" s="5">
        <v>2</v>
      </c>
      <c r="L723" s="4" t="s">
        <v>1404</v>
      </c>
      <c r="M723" s="4" t="s">
        <v>1404</v>
      </c>
      <c r="N723" s="4" t="s">
        <v>47</v>
      </c>
      <c r="O723" s="6">
        <v>45060</v>
      </c>
      <c r="P723" s="4"/>
      <c r="Q723" s="4" t="s">
        <v>240</v>
      </c>
      <c r="R723" s="4" t="s">
        <v>36</v>
      </c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>
        <f t="shared" si="11"/>
        <v>19</v>
      </c>
    </row>
    <row r="724" spans="1:30" ht="27" thickBot="1" x14ac:dyDescent="0.3">
      <c r="A724" s="3">
        <v>45055.751620370371</v>
      </c>
      <c r="B724" s="4" t="s">
        <v>234</v>
      </c>
      <c r="C724" s="4" t="s">
        <v>235</v>
      </c>
      <c r="D724" s="31" t="s">
        <v>42</v>
      </c>
      <c r="E724" s="8" t="s">
        <v>1405</v>
      </c>
      <c r="F724" s="5">
        <v>622264337</v>
      </c>
      <c r="G724" s="4"/>
      <c r="H724" s="4" t="s">
        <v>451</v>
      </c>
      <c r="I724" s="5">
        <v>75</v>
      </c>
      <c r="J724" s="4" t="s">
        <v>38</v>
      </c>
      <c r="K724" s="5">
        <v>10</v>
      </c>
      <c r="L724" s="4" t="s">
        <v>769</v>
      </c>
      <c r="M724" s="4" t="s">
        <v>769</v>
      </c>
      <c r="N724" s="4" t="s">
        <v>57</v>
      </c>
      <c r="O724" s="6">
        <v>45076</v>
      </c>
      <c r="P724" s="4"/>
      <c r="Q724" s="4" t="s">
        <v>240</v>
      </c>
      <c r="R724" s="4" t="s">
        <v>36</v>
      </c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>
        <f t="shared" si="11"/>
        <v>19</v>
      </c>
    </row>
    <row r="725" spans="1:30" ht="27" thickBot="1" x14ac:dyDescent="0.3">
      <c r="A725" s="3">
        <v>45055.753472222219</v>
      </c>
      <c r="B725" s="4" t="s">
        <v>234</v>
      </c>
      <c r="C725" s="4" t="s">
        <v>235</v>
      </c>
      <c r="D725" s="31" t="s">
        <v>42</v>
      </c>
      <c r="E725" s="8" t="s">
        <v>1406</v>
      </c>
      <c r="F725" s="5">
        <v>624388239</v>
      </c>
      <c r="G725" s="4"/>
      <c r="H725" s="4" t="s">
        <v>451</v>
      </c>
      <c r="I725" s="5">
        <v>76</v>
      </c>
      <c r="J725" s="4" t="s">
        <v>101</v>
      </c>
      <c r="K725" s="5">
        <v>2</v>
      </c>
      <c r="L725" s="4" t="s">
        <v>314</v>
      </c>
      <c r="M725" s="4" t="s">
        <v>314</v>
      </c>
      <c r="N725" s="4" t="s">
        <v>47</v>
      </c>
      <c r="O725" s="6">
        <v>45071</v>
      </c>
      <c r="P725" s="4"/>
      <c r="Q725" s="4" t="s">
        <v>240</v>
      </c>
      <c r="R725" s="4" t="s">
        <v>36</v>
      </c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>
        <f t="shared" si="11"/>
        <v>19</v>
      </c>
    </row>
    <row r="726" spans="1:30" ht="27" thickBot="1" x14ac:dyDescent="0.3">
      <c r="A726" s="3">
        <v>45055.765092592592</v>
      </c>
      <c r="B726" s="4" t="s">
        <v>234</v>
      </c>
      <c r="C726" s="4" t="s">
        <v>235</v>
      </c>
      <c r="D726" s="31" t="s">
        <v>42</v>
      </c>
      <c r="E726" s="8" t="s">
        <v>1407</v>
      </c>
      <c r="F726" s="5">
        <v>622352567</v>
      </c>
      <c r="G726" s="4"/>
      <c r="H726" s="4" t="s">
        <v>451</v>
      </c>
      <c r="I726" s="5">
        <v>75</v>
      </c>
      <c r="J726" s="4" t="s">
        <v>38</v>
      </c>
      <c r="K726" s="5">
        <v>2</v>
      </c>
      <c r="L726" s="4" t="s">
        <v>314</v>
      </c>
      <c r="M726" s="4" t="s">
        <v>314</v>
      </c>
      <c r="N726" s="4" t="s">
        <v>47</v>
      </c>
      <c r="O726" s="6">
        <v>45076</v>
      </c>
      <c r="P726" s="4"/>
      <c r="Q726" s="4" t="s">
        <v>240</v>
      </c>
      <c r="R726" s="4" t="s">
        <v>36</v>
      </c>
      <c r="S726" s="4" t="s">
        <v>59</v>
      </c>
      <c r="T726" s="5">
        <v>2</v>
      </c>
      <c r="U726" s="6">
        <v>45058</v>
      </c>
      <c r="V726" s="4" t="s">
        <v>1353</v>
      </c>
      <c r="W726" s="4" t="s">
        <v>1161</v>
      </c>
      <c r="X726" s="4"/>
      <c r="Y726" s="4"/>
      <c r="Z726" s="4"/>
      <c r="AA726" s="4"/>
      <c r="AB726" s="4"/>
      <c r="AC726" s="4"/>
      <c r="AD726" s="4">
        <f t="shared" si="11"/>
        <v>19</v>
      </c>
    </row>
    <row r="727" spans="1:30" ht="27" thickBot="1" x14ac:dyDescent="0.3">
      <c r="A727" s="3">
        <v>45055.769085648149</v>
      </c>
      <c r="B727" s="4" t="s">
        <v>234</v>
      </c>
      <c r="C727" s="4" t="s">
        <v>234</v>
      </c>
      <c r="D727" s="31" t="s">
        <v>42</v>
      </c>
      <c r="E727" s="8" t="s">
        <v>1408</v>
      </c>
      <c r="F727" s="5">
        <v>628554760</v>
      </c>
      <c r="G727" s="4"/>
      <c r="H727" s="4" t="s">
        <v>451</v>
      </c>
      <c r="I727" s="5">
        <v>75</v>
      </c>
      <c r="J727" s="4" t="s">
        <v>101</v>
      </c>
      <c r="K727" s="5">
        <v>2</v>
      </c>
      <c r="L727" s="4" t="s">
        <v>769</v>
      </c>
      <c r="M727" s="4" t="s">
        <v>769</v>
      </c>
      <c r="N727" s="4" t="s">
        <v>57</v>
      </c>
      <c r="O727" s="6">
        <v>45082</v>
      </c>
      <c r="P727" s="4"/>
      <c r="Q727" s="4" t="s">
        <v>240</v>
      </c>
      <c r="R727" s="4" t="s">
        <v>36</v>
      </c>
      <c r="S727" s="4" t="s">
        <v>59</v>
      </c>
      <c r="T727" s="5">
        <v>2</v>
      </c>
      <c r="U727" s="6">
        <v>45058</v>
      </c>
      <c r="V727" s="4" t="s">
        <v>1353</v>
      </c>
      <c r="W727" s="4" t="s">
        <v>1161</v>
      </c>
      <c r="X727" s="4"/>
      <c r="Y727" s="4"/>
      <c r="Z727" s="4"/>
      <c r="AA727" s="4"/>
      <c r="AB727" s="4"/>
      <c r="AC727" s="4"/>
      <c r="AD727" s="4">
        <f t="shared" si="11"/>
        <v>19</v>
      </c>
    </row>
    <row r="728" spans="1:30" ht="27" thickBot="1" x14ac:dyDescent="0.3">
      <c r="A728" s="3">
        <v>45055.770266203705</v>
      </c>
      <c r="B728" s="4" t="s">
        <v>234</v>
      </c>
      <c r="C728" s="4" t="s">
        <v>235</v>
      </c>
      <c r="D728" s="31" t="s">
        <v>42</v>
      </c>
      <c r="E728" s="8" t="s">
        <v>1409</v>
      </c>
      <c r="F728" s="5">
        <v>628280317</v>
      </c>
      <c r="G728" s="4"/>
      <c r="H728" s="4" t="s">
        <v>451</v>
      </c>
      <c r="I728" s="5">
        <v>75</v>
      </c>
      <c r="J728" s="4" t="s">
        <v>101</v>
      </c>
      <c r="K728" s="5">
        <v>2</v>
      </c>
      <c r="L728" s="4" t="s">
        <v>1404</v>
      </c>
      <c r="M728" s="4" t="s">
        <v>1404</v>
      </c>
      <c r="N728" s="4" t="s">
        <v>47</v>
      </c>
      <c r="O728" s="6">
        <v>45078</v>
      </c>
      <c r="P728" s="4"/>
      <c r="Q728" s="4" t="s">
        <v>240</v>
      </c>
      <c r="R728" s="4" t="s">
        <v>36</v>
      </c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>
        <f t="shared" si="11"/>
        <v>19</v>
      </c>
    </row>
    <row r="729" spans="1:30" ht="39.75" thickBot="1" x14ac:dyDescent="0.3">
      <c r="A729" s="3">
        <v>45055.771585648145</v>
      </c>
      <c r="B729" s="4" t="s">
        <v>234</v>
      </c>
      <c r="C729" s="4" t="s">
        <v>235</v>
      </c>
      <c r="D729" s="31" t="s">
        <v>42</v>
      </c>
      <c r="E729" s="8" t="s">
        <v>1410</v>
      </c>
      <c r="F729" s="5">
        <v>622996796</v>
      </c>
      <c r="G729" s="4"/>
      <c r="H729" s="4" t="s">
        <v>451</v>
      </c>
      <c r="I729" s="5">
        <v>76</v>
      </c>
      <c r="J729" s="4" t="s">
        <v>101</v>
      </c>
      <c r="K729" s="5">
        <v>2</v>
      </c>
      <c r="L729" s="4" t="s">
        <v>314</v>
      </c>
      <c r="M729" s="4" t="s">
        <v>314</v>
      </c>
      <c r="N729" s="4" t="s">
        <v>47</v>
      </c>
      <c r="O729" s="6">
        <v>45071</v>
      </c>
      <c r="P729" s="4"/>
      <c r="Q729" s="4" t="s">
        <v>240</v>
      </c>
      <c r="R729" s="4" t="s">
        <v>36</v>
      </c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>
        <f t="shared" si="11"/>
        <v>19</v>
      </c>
    </row>
    <row r="730" spans="1:30" ht="39.75" thickBot="1" x14ac:dyDescent="0.3">
      <c r="A730" s="3">
        <v>45055.773472222223</v>
      </c>
      <c r="B730" s="4" t="s">
        <v>234</v>
      </c>
      <c r="C730" s="4" t="s">
        <v>235</v>
      </c>
      <c r="D730" s="31" t="s">
        <v>42</v>
      </c>
      <c r="E730" s="8" t="s">
        <v>1411</v>
      </c>
      <c r="F730" s="5">
        <v>622552182</v>
      </c>
      <c r="G730" s="4"/>
      <c r="H730" s="4" t="s">
        <v>451</v>
      </c>
      <c r="I730" s="5">
        <v>75</v>
      </c>
      <c r="J730" s="4" t="s">
        <v>101</v>
      </c>
      <c r="K730" s="5">
        <v>2</v>
      </c>
      <c r="L730" s="4" t="s">
        <v>1404</v>
      </c>
      <c r="M730" s="4" t="s">
        <v>1404</v>
      </c>
      <c r="N730" s="4" t="s">
        <v>47</v>
      </c>
      <c r="O730" s="6">
        <v>45087</v>
      </c>
      <c r="P730" s="4"/>
      <c r="Q730" s="4" t="s">
        <v>240</v>
      </c>
      <c r="R730" s="4" t="s">
        <v>36</v>
      </c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>
        <f t="shared" si="11"/>
        <v>19</v>
      </c>
    </row>
    <row r="731" spans="1:30" ht="27" thickBot="1" x14ac:dyDescent="0.3">
      <c r="A731" s="3">
        <v>45055.775057870371</v>
      </c>
      <c r="B731" s="4" t="s">
        <v>234</v>
      </c>
      <c r="C731" s="4" t="s">
        <v>235</v>
      </c>
      <c r="D731" s="31" t="s">
        <v>42</v>
      </c>
      <c r="E731" s="8" t="s">
        <v>1412</v>
      </c>
      <c r="F731" s="5">
        <v>625038926</v>
      </c>
      <c r="G731" s="4"/>
      <c r="H731" s="4" t="s">
        <v>451</v>
      </c>
      <c r="I731" s="5">
        <v>75</v>
      </c>
      <c r="J731" s="4" t="s">
        <v>101</v>
      </c>
      <c r="K731" s="5">
        <v>2</v>
      </c>
      <c r="L731" s="4" t="s">
        <v>314</v>
      </c>
      <c r="M731" s="4" t="s">
        <v>314</v>
      </c>
      <c r="N731" s="4" t="s">
        <v>47</v>
      </c>
      <c r="O731" s="6">
        <v>45066</v>
      </c>
      <c r="P731" s="4"/>
      <c r="Q731" s="4" t="s">
        <v>240</v>
      </c>
      <c r="R731" s="4" t="s">
        <v>36</v>
      </c>
      <c r="S731" s="4" t="s">
        <v>59</v>
      </c>
      <c r="T731" s="5">
        <v>2</v>
      </c>
      <c r="U731" s="6">
        <v>45058</v>
      </c>
      <c r="V731" s="4" t="s">
        <v>1353</v>
      </c>
      <c r="W731" s="4" t="s">
        <v>1161</v>
      </c>
      <c r="X731" s="4"/>
      <c r="Y731" s="4"/>
      <c r="Z731" s="4"/>
      <c r="AA731" s="4"/>
      <c r="AB731" s="4"/>
      <c r="AC731" s="4"/>
      <c r="AD731" s="4">
        <f t="shared" si="11"/>
        <v>19</v>
      </c>
    </row>
    <row r="732" spans="1:30" ht="39.75" thickBot="1" x14ac:dyDescent="0.3">
      <c r="A732" s="3">
        <v>45056.347002314818</v>
      </c>
      <c r="B732" s="4" t="s">
        <v>595</v>
      </c>
      <c r="C732" s="4" t="s">
        <v>572</v>
      </c>
      <c r="D732" s="31" t="s">
        <v>42</v>
      </c>
      <c r="E732" s="4" t="s">
        <v>1413</v>
      </c>
      <c r="F732" s="5">
        <v>628279428</v>
      </c>
      <c r="G732" s="4"/>
      <c r="H732" s="4" t="s">
        <v>525</v>
      </c>
      <c r="I732" s="5">
        <v>5</v>
      </c>
      <c r="J732" s="4" t="s">
        <v>38</v>
      </c>
      <c r="K732" s="5">
        <v>3</v>
      </c>
      <c r="L732" s="4" t="s">
        <v>1098</v>
      </c>
      <c r="M732" s="4" t="s">
        <v>599</v>
      </c>
      <c r="N732" s="4" t="s">
        <v>33</v>
      </c>
      <c r="O732" s="6">
        <v>45061</v>
      </c>
      <c r="P732" s="4" t="s">
        <v>1414</v>
      </c>
      <c r="Q732" s="4" t="s">
        <v>600</v>
      </c>
      <c r="R732" s="4" t="s">
        <v>36</v>
      </c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>
        <f t="shared" si="11"/>
        <v>19</v>
      </c>
    </row>
    <row r="733" spans="1:30" ht="39.75" thickBot="1" x14ac:dyDescent="0.3">
      <c r="A733" s="3">
        <v>45056.349490740744</v>
      </c>
      <c r="B733" s="4" t="s">
        <v>595</v>
      </c>
      <c r="C733" s="4" t="s">
        <v>572</v>
      </c>
      <c r="D733" s="31" t="s">
        <v>42</v>
      </c>
      <c r="E733" s="4" t="s">
        <v>1415</v>
      </c>
      <c r="F733" s="5">
        <v>622422397</v>
      </c>
      <c r="G733" s="4"/>
      <c r="H733" s="4" t="s">
        <v>525</v>
      </c>
      <c r="I733" s="5">
        <v>5</v>
      </c>
      <c r="J733" s="4" t="s">
        <v>38</v>
      </c>
      <c r="K733" s="5">
        <v>4</v>
      </c>
      <c r="L733" s="4" t="s">
        <v>1098</v>
      </c>
      <c r="M733" s="4" t="s">
        <v>599</v>
      </c>
      <c r="N733" s="4" t="s">
        <v>33</v>
      </c>
      <c r="O733" s="6">
        <v>45062</v>
      </c>
      <c r="P733" s="4" t="s">
        <v>604</v>
      </c>
      <c r="Q733" s="4" t="s">
        <v>600</v>
      </c>
      <c r="R733" s="4" t="s">
        <v>36</v>
      </c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>
        <f t="shared" si="11"/>
        <v>19</v>
      </c>
    </row>
    <row r="734" spans="1:30" ht="39.75" thickBot="1" x14ac:dyDescent="0.3">
      <c r="A734" s="3">
        <v>45056.356828703705</v>
      </c>
      <c r="B734" s="4" t="s">
        <v>595</v>
      </c>
      <c r="C734" s="4" t="s">
        <v>572</v>
      </c>
      <c r="D734" s="31" t="s">
        <v>42</v>
      </c>
      <c r="E734" s="4" t="s">
        <v>1416</v>
      </c>
      <c r="F734" s="5">
        <v>628974211</v>
      </c>
      <c r="G734" s="4"/>
      <c r="H734" s="4" t="s">
        <v>525</v>
      </c>
      <c r="I734" s="5">
        <v>5</v>
      </c>
      <c r="J734" s="4" t="s">
        <v>38</v>
      </c>
      <c r="K734" s="5">
        <v>2</v>
      </c>
      <c r="L734" s="4" t="s">
        <v>1417</v>
      </c>
      <c r="M734" s="4" t="s">
        <v>599</v>
      </c>
      <c r="N734" s="4" t="s">
        <v>33</v>
      </c>
      <c r="O734" s="6">
        <v>45063</v>
      </c>
      <c r="P734" s="4" t="s">
        <v>1418</v>
      </c>
      <c r="Q734" s="4" t="s">
        <v>600</v>
      </c>
      <c r="R734" s="4" t="s">
        <v>36</v>
      </c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>
        <f t="shared" si="11"/>
        <v>19</v>
      </c>
    </row>
    <row r="735" spans="1:30" ht="39.75" thickBot="1" x14ac:dyDescent="0.3">
      <c r="A735" s="3">
        <v>45056.36178240741</v>
      </c>
      <c r="B735" s="4" t="s">
        <v>595</v>
      </c>
      <c r="C735" s="4" t="s">
        <v>572</v>
      </c>
      <c r="D735" s="31" t="s">
        <v>42</v>
      </c>
      <c r="E735" s="4" t="s">
        <v>602</v>
      </c>
      <c r="F735" s="5">
        <v>622371182</v>
      </c>
      <c r="G735" s="4"/>
      <c r="H735" s="4" t="s">
        <v>525</v>
      </c>
      <c r="I735" s="5">
        <v>5</v>
      </c>
      <c r="J735" s="4" t="s">
        <v>38</v>
      </c>
      <c r="K735" s="5">
        <v>2</v>
      </c>
      <c r="L735" s="4" t="s">
        <v>1105</v>
      </c>
      <c r="M735" s="4" t="s">
        <v>599</v>
      </c>
      <c r="N735" s="4" t="s">
        <v>33</v>
      </c>
      <c r="O735" s="6">
        <v>45063</v>
      </c>
      <c r="P735" s="4" t="s">
        <v>604</v>
      </c>
      <c r="Q735" s="4" t="s">
        <v>600</v>
      </c>
      <c r="R735" s="4" t="s">
        <v>36</v>
      </c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>
        <f t="shared" si="11"/>
        <v>19</v>
      </c>
    </row>
    <row r="736" spans="1:30" ht="39.75" thickBot="1" x14ac:dyDescent="0.3">
      <c r="A736" s="3">
        <v>45056.383425925924</v>
      </c>
      <c r="B736" s="4" t="s">
        <v>595</v>
      </c>
      <c r="C736" s="4" t="s">
        <v>572</v>
      </c>
      <c r="D736" s="31" t="s">
        <v>42</v>
      </c>
      <c r="E736" s="4" t="s">
        <v>1419</v>
      </c>
      <c r="F736" s="5">
        <v>628351479</v>
      </c>
      <c r="G736" s="4"/>
      <c r="H736" s="4" t="s">
        <v>525</v>
      </c>
      <c r="I736" s="5">
        <v>5</v>
      </c>
      <c r="J736" s="4" t="s">
        <v>38</v>
      </c>
      <c r="K736" s="5">
        <v>2</v>
      </c>
      <c r="L736" s="4" t="s">
        <v>1105</v>
      </c>
      <c r="M736" s="4" t="s">
        <v>599</v>
      </c>
      <c r="N736" s="4" t="s">
        <v>33</v>
      </c>
      <c r="O736" s="6">
        <v>45063</v>
      </c>
      <c r="P736" s="4" t="s">
        <v>604</v>
      </c>
      <c r="Q736" s="4" t="s">
        <v>600</v>
      </c>
      <c r="R736" s="4" t="s">
        <v>36</v>
      </c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>
        <f t="shared" si="11"/>
        <v>19</v>
      </c>
    </row>
    <row r="737" spans="1:30" ht="39.75" thickBot="1" x14ac:dyDescent="0.3">
      <c r="A737" s="3">
        <v>45056.385648148149</v>
      </c>
      <c r="B737" s="4" t="s">
        <v>595</v>
      </c>
      <c r="C737" s="4" t="s">
        <v>572</v>
      </c>
      <c r="D737" s="31" t="s">
        <v>42</v>
      </c>
      <c r="E737" s="4" t="s">
        <v>1420</v>
      </c>
      <c r="F737" s="5">
        <v>622419368</v>
      </c>
      <c r="G737" s="4"/>
      <c r="H737" s="4" t="s">
        <v>525</v>
      </c>
      <c r="I737" s="5">
        <v>5</v>
      </c>
      <c r="J737" s="4" t="s">
        <v>38</v>
      </c>
      <c r="K737" s="5">
        <v>2</v>
      </c>
      <c r="L737" s="4" t="s">
        <v>1098</v>
      </c>
      <c r="M737" s="4" t="s">
        <v>599</v>
      </c>
      <c r="N737" s="4" t="s">
        <v>33</v>
      </c>
      <c r="O737" s="6">
        <v>45064</v>
      </c>
      <c r="P737" s="4" t="s">
        <v>604</v>
      </c>
      <c r="Q737" s="4" t="s">
        <v>600</v>
      </c>
      <c r="R737" s="4" t="s">
        <v>36</v>
      </c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>
        <f t="shared" si="11"/>
        <v>19</v>
      </c>
    </row>
    <row r="738" spans="1:30" ht="39.75" thickBot="1" x14ac:dyDescent="0.3">
      <c r="A738" s="3">
        <v>45056.387777777774</v>
      </c>
      <c r="B738" s="4" t="s">
        <v>595</v>
      </c>
      <c r="C738" s="4" t="s">
        <v>572</v>
      </c>
      <c r="D738" s="31" t="s">
        <v>42</v>
      </c>
      <c r="E738" s="4" t="s">
        <v>1421</v>
      </c>
      <c r="F738" s="5">
        <v>625365311</v>
      </c>
      <c r="G738" s="4"/>
      <c r="H738" s="4" t="s">
        <v>525</v>
      </c>
      <c r="I738" s="5">
        <v>5</v>
      </c>
      <c r="J738" s="4" t="s">
        <v>38</v>
      </c>
      <c r="K738" s="5">
        <v>2</v>
      </c>
      <c r="L738" s="4" t="s">
        <v>1098</v>
      </c>
      <c r="M738" s="4" t="s">
        <v>599</v>
      </c>
      <c r="N738" s="4" t="s">
        <v>33</v>
      </c>
      <c r="O738" s="6">
        <v>45064</v>
      </c>
      <c r="P738" s="4" t="s">
        <v>604</v>
      </c>
      <c r="Q738" s="4" t="s">
        <v>600</v>
      </c>
      <c r="R738" s="4" t="s">
        <v>36</v>
      </c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>
        <f t="shared" si="11"/>
        <v>19</v>
      </c>
    </row>
    <row r="739" spans="1:30" ht="39.75" thickBot="1" x14ac:dyDescent="0.3">
      <c r="A739" s="3">
        <v>45056.389710648145</v>
      </c>
      <c r="B739" s="4" t="s">
        <v>595</v>
      </c>
      <c r="C739" s="4" t="s">
        <v>572</v>
      </c>
      <c r="D739" s="31" t="s">
        <v>42</v>
      </c>
      <c r="E739" s="4" t="s">
        <v>1422</v>
      </c>
      <c r="F739" s="5">
        <v>627602895</v>
      </c>
      <c r="G739" s="4"/>
      <c r="H739" s="4" t="s">
        <v>525</v>
      </c>
      <c r="I739" s="5">
        <v>5</v>
      </c>
      <c r="J739" s="4" t="s">
        <v>38</v>
      </c>
      <c r="K739" s="5">
        <v>1</v>
      </c>
      <c r="L739" s="4" t="s">
        <v>1105</v>
      </c>
      <c r="M739" s="4" t="s">
        <v>599</v>
      </c>
      <c r="N739" s="4" t="s">
        <v>33</v>
      </c>
      <c r="O739" s="6">
        <v>45064</v>
      </c>
      <c r="P739" s="4" t="s">
        <v>604</v>
      </c>
      <c r="Q739" s="4" t="s">
        <v>600</v>
      </c>
      <c r="R739" s="4" t="s">
        <v>36</v>
      </c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>
        <f t="shared" si="11"/>
        <v>19</v>
      </c>
    </row>
    <row r="740" spans="1:30" ht="39.75" thickBot="1" x14ac:dyDescent="0.3">
      <c r="A740" s="3">
        <v>45056.391805555555</v>
      </c>
      <c r="B740" s="4" t="s">
        <v>595</v>
      </c>
      <c r="C740" s="4" t="s">
        <v>572</v>
      </c>
      <c r="D740" s="31" t="s">
        <v>42</v>
      </c>
      <c r="E740" s="4" t="s">
        <v>1423</v>
      </c>
      <c r="F740" s="5">
        <v>628156202</v>
      </c>
      <c r="G740" s="4"/>
      <c r="H740" s="4" t="s">
        <v>525</v>
      </c>
      <c r="I740" s="5">
        <v>5</v>
      </c>
      <c r="J740" s="4" t="s">
        <v>38</v>
      </c>
      <c r="K740" s="5">
        <v>1</v>
      </c>
      <c r="L740" s="4" t="s">
        <v>1105</v>
      </c>
      <c r="M740" s="4" t="s">
        <v>599</v>
      </c>
      <c r="N740" s="4" t="s">
        <v>33</v>
      </c>
      <c r="O740" s="6">
        <v>45064</v>
      </c>
      <c r="P740" s="4" t="s">
        <v>604</v>
      </c>
      <c r="Q740" s="4" t="s">
        <v>600</v>
      </c>
      <c r="R740" s="4" t="s">
        <v>36</v>
      </c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>
        <f t="shared" si="11"/>
        <v>19</v>
      </c>
    </row>
    <row r="741" spans="1:30" ht="39.75" thickBot="1" x14ac:dyDescent="0.3">
      <c r="A741" s="3">
        <v>45056.399675925924</v>
      </c>
      <c r="B741" s="4" t="s">
        <v>595</v>
      </c>
      <c r="C741" s="4" t="s">
        <v>572</v>
      </c>
      <c r="D741" s="31" t="s">
        <v>42</v>
      </c>
      <c r="E741" s="4" t="s">
        <v>1424</v>
      </c>
      <c r="F741" s="5">
        <v>628459401</v>
      </c>
      <c r="G741" s="4"/>
      <c r="H741" s="4" t="s">
        <v>525</v>
      </c>
      <c r="I741" s="5">
        <v>5</v>
      </c>
      <c r="J741" s="4" t="s">
        <v>38</v>
      </c>
      <c r="K741" s="5">
        <v>1</v>
      </c>
      <c r="L741" s="4" t="s">
        <v>1105</v>
      </c>
      <c r="M741" s="4" t="s">
        <v>599</v>
      </c>
      <c r="N741" s="4" t="s">
        <v>33</v>
      </c>
      <c r="O741" s="6">
        <v>45064</v>
      </c>
      <c r="P741" s="4" t="s">
        <v>604</v>
      </c>
      <c r="Q741" s="4" t="s">
        <v>600</v>
      </c>
      <c r="R741" s="4" t="s">
        <v>36</v>
      </c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>
        <f t="shared" si="11"/>
        <v>19</v>
      </c>
    </row>
    <row r="742" spans="1:30" ht="27" thickBot="1" x14ac:dyDescent="0.3">
      <c r="A742" s="3">
        <v>45056.402199074073</v>
      </c>
      <c r="B742" s="4" t="s">
        <v>1004</v>
      </c>
      <c r="C742" s="4" t="s">
        <v>1005</v>
      </c>
      <c r="D742" s="31" t="s">
        <v>42</v>
      </c>
      <c r="E742" s="8" t="s">
        <v>1425</v>
      </c>
      <c r="F742" s="9">
        <v>622749500</v>
      </c>
      <c r="G742" s="8"/>
      <c r="H742" s="8" t="s">
        <v>1026</v>
      </c>
      <c r="I742" s="9">
        <v>8</v>
      </c>
      <c r="J742" s="8" t="s">
        <v>38</v>
      </c>
      <c r="K742" s="8">
        <v>5</v>
      </c>
      <c r="L742" s="8" t="s">
        <v>1007</v>
      </c>
      <c r="M742" s="8" t="s">
        <v>1007</v>
      </c>
      <c r="N742" s="8" t="s">
        <v>47</v>
      </c>
      <c r="O742" s="28">
        <v>45061</v>
      </c>
      <c r="P742" s="8"/>
      <c r="Q742" s="8" t="s">
        <v>1009</v>
      </c>
      <c r="R742" s="8" t="s">
        <v>36</v>
      </c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4">
        <f t="shared" si="11"/>
        <v>19</v>
      </c>
    </row>
    <row r="743" spans="1:30" ht="27" thickBot="1" x14ac:dyDescent="0.3">
      <c r="A743" s="3">
        <v>45056.406423611108</v>
      </c>
      <c r="B743" s="4" t="s">
        <v>1004</v>
      </c>
      <c r="C743" s="4" t="s">
        <v>1005</v>
      </c>
      <c r="D743" s="31" t="s">
        <v>42</v>
      </c>
      <c r="E743" s="8" t="s">
        <v>1426</v>
      </c>
      <c r="F743" s="9">
        <v>628340342</v>
      </c>
      <c r="G743" s="8"/>
      <c r="H743" s="8" t="s">
        <v>1026</v>
      </c>
      <c r="I743" s="9">
        <v>12</v>
      </c>
      <c r="J743" s="8" t="s">
        <v>38</v>
      </c>
      <c r="K743" s="9">
        <v>15</v>
      </c>
      <c r="L743" s="8" t="s">
        <v>1007</v>
      </c>
      <c r="M743" s="8" t="s">
        <v>1007</v>
      </c>
      <c r="N743" s="8" t="s">
        <v>47</v>
      </c>
      <c r="O743" s="28">
        <v>45071</v>
      </c>
      <c r="P743" s="8"/>
      <c r="Q743" s="8" t="s">
        <v>1009</v>
      </c>
      <c r="R743" s="8" t="s">
        <v>36</v>
      </c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4">
        <f t="shared" si="11"/>
        <v>19</v>
      </c>
    </row>
    <row r="744" spans="1:30" ht="27" thickBot="1" x14ac:dyDescent="0.3">
      <c r="A744" s="3">
        <v>45056.409803240742</v>
      </c>
      <c r="B744" s="4" t="s">
        <v>1004</v>
      </c>
      <c r="C744" s="4" t="s">
        <v>1005</v>
      </c>
      <c r="D744" s="31" t="s">
        <v>42</v>
      </c>
      <c r="E744" s="8" t="s">
        <v>1426</v>
      </c>
      <c r="F744" s="9">
        <v>628340342</v>
      </c>
      <c r="G744" s="8"/>
      <c r="H744" s="8" t="s">
        <v>1026</v>
      </c>
      <c r="I744" s="9">
        <v>13</v>
      </c>
      <c r="J744" s="8" t="s">
        <v>38</v>
      </c>
      <c r="K744" s="8">
        <v>5</v>
      </c>
      <c r="L744" s="8" t="s">
        <v>1427</v>
      </c>
      <c r="M744" s="8" t="s">
        <v>1427</v>
      </c>
      <c r="N744" s="8" t="s">
        <v>47</v>
      </c>
      <c r="O744" s="28">
        <v>45071</v>
      </c>
      <c r="P744" s="8"/>
      <c r="Q744" s="8" t="s">
        <v>1009</v>
      </c>
      <c r="R744" s="8" t="s">
        <v>36</v>
      </c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4">
        <f t="shared" si="11"/>
        <v>19</v>
      </c>
    </row>
    <row r="745" spans="1:30" ht="39.75" thickBot="1" x14ac:dyDescent="0.3">
      <c r="A745" s="3">
        <v>45056.412118055552</v>
      </c>
      <c r="B745" s="4" t="s">
        <v>595</v>
      </c>
      <c r="C745" s="4" t="s">
        <v>572</v>
      </c>
      <c r="D745" s="31" t="s">
        <v>42</v>
      </c>
      <c r="E745" s="4" t="s">
        <v>1428</v>
      </c>
      <c r="F745" s="5">
        <v>624824992</v>
      </c>
      <c r="G745" s="4"/>
      <c r="H745" s="4" t="s">
        <v>525</v>
      </c>
      <c r="I745" s="5">
        <v>5</v>
      </c>
      <c r="J745" s="4" t="s">
        <v>38</v>
      </c>
      <c r="K745" s="5">
        <v>1</v>
      </c>
      <c r="L745" s="4" t="s">
        <v>1098</v>
      </c>
      <c r="M745" s="4" t="s">
        <v>599</v>
      </c>
      <c r="N745" s="4" t="s">
        <v>90</v>
      </c>
      <c r="O745" s="6">
        <v>45064</v>
      </c>
      <c r="P745" s="4" t="s">
        <v>604</v>
      </c>
      <c r="Q745" s="4" t="s">
        <v>600</v>
      </c>
      <c r="R745" s="4" t="s">
        <v>36</v>
      </c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>
        <f t="shared" si="11"/>
        <v>19</v>
      </c>
    </row>
    <row r="746" spans="1:30" ht="27" thickBot="1" x14ac:dyDescent="0.3">
      <c r="A746" s="3">
        <v>45056.412233796298</v>
      </c>
      <c r="B746" s="4" t="s">
        <v>1004</v>
      </c>
      <c r="C746" s="4" t="s">
        <v>1005</v>
      </c>
      <c r="D746" s="31" t="s">
        <v>42</v>
      </c>
      <c r="E746" s="8" t="s">
        <v>1429</v>
      </c>
      <c r="F746" s="9">
        <v>622105843</v>
      </c>
      <c r="G746" s="8"/>
      <c r="H746" s="8" t="s">
        <v>1026</v>
      </c>
      <c r="I746" s="9">
        <v>26</v>
      </c>
      <c r="J746" s="8" t="s">
        <v>38</v>
      </c>
      <c r="K746" s="8">
        <v>3</v>
      </c>
      <c r="L746" s="8" t="s">
        <v>1007</v>
      </c>
      <c r="M746" s="8" t="s">
        <v>1007</v>
      </c>
      <c r="N746" s="8" t="s">
        <v>47</v>
      </c>
      <c r="O746" s="28">
        <v>45071</v>
      </c>
      <c r="P746" s="8"/>
      <c r="Q746" s="8" t="s">
        <v>1009</v>
      </c>
      <c r="R746" s="8" t="s">
        <v>36</v>
      </c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4">
        <f t="shared" si="11"/>
        <v>19</v>
      </c>
    </row>
    <row r="747" spans="1:30" ht="27" thickBot="1" x14ac:dyDescent="0.3">
      <c r="A747" s="3">
        <v>45056.414942129632</v>
      </c>
      <c r="B747" s="4" t="s">
        <v>1004</v>
      </c>
      <c r="C747" s="4" t="s">
        <v>1005</v>
      </c>
      <c r="D747" s="31" t="s">
        <v>42</v>
      </c>
      <c r="E747" s="8" t="s">
        <v>1429</v>
      </c>
      <c r="F747" s="9">
        <v>622105843</v>
      </c>
      <c r="G747" s="8"/>
      <c r="H747" s="8" t="s">
        <v>1026</v>
      </c>
      <c r="I747" s="9">
        <v>26</v>
      </c>
      <c r="J747" s="8" t="s">
        <v>38</v>
      </c>
      <c r="K747" s="8">
        <v>3</v>
      </c>
      <c r="L747" s="8" t="s">
        <v>1238</v>
      </c>
      <c r="M747" s="8" t="s">
        <v>1238</v>
      </c>
      <c r="N747" s="8" t="s">
        <v>47</v>
      </c>
      <c r="O747" s="28">
        <v>45071</v>
      </c>
      <c r="P747" s="8"/>
      <c r="Q747" s="8" t="s">
        <v>1009</v>
      </c>
      <c r="R747" s="8" t="s">
        <v>36</v>
      </c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4">
        <f t="shared" si="11"/>
        <v>19</v>
      </c>
    </row>
    <row r="748" spans="1:30" ht="27" thickBot="1" x14ac:dyDescent="0.3">
      <c r="A748" s="3">
        <v>45056.417743055557</v>
      </c>
      <c r="B748" s="4" t="s">
        <v>1004</v>
      </c>
      <c r="C748" s="4" t="s">
        <v>1005</v>
      </c>
      <c r="D748" s="31" t="s">
        <v>42</v>
      </c>
      <c r="E748" s="8" t="s">
        <v>179</v>
      </c>
      <c r="F748" s="9">
        <v>622041514</v>
      </c>
      <c r="G748" s="8"/>
      <c r="H748" s="8" t="s">
        <v>1017</v>
      </c>
      <c r="I748" s="9">
        <v>36</v>
      </c>
      <c r="J748" s="8" t="s">
        <v>38</v>
      </c>
      <c r="K748" s="9">
        <v>50</v>
      </c>
      <c r="L748" s="8" t="s">
        <v>1007</v>
      </c>
      <c r="M748" s="8" t="s">
        <v>1007</v>
      </c>
      <c r="N748" s="8" t="s">
        <v>47</v>
      </c>
      <c r="O748" s="28">
        <v>45066</v>
      </c>
      <c r="P748" s="8"/>
      <c r="Q748" s="8" t="s">
        <v>1009</v>
      </c>
      <c r="R748" s="8" t="s">
        <v>36</v>
      </c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4">
        <f t="shared" si="11"/>
        <v>19</v>
      </c>
    </row>
    <row r="749" spans="1:30" ht="27" thickBot="1" x14ac:dyDescent="0.3">
      <c r="A749" s="3">
        <v>45056.41982638889</v>
      </c>
      <c r="B749" s="4" t="s">
        <v>1004</v>
      </c>
      <c r="C749" s="4" t="s">
        <v>1005</v>
      </c>
      <c r="D749" s="31" t="s">
        <v>42</v>
      </c>
      <c r="E749" s="8" t="s">
        <v>1430</v>
      </c>
      <c r="F749" s="9">
        <v>620320360</v>
      </c>
      <c r="G749" s="8"/>
      <c r="H749" s="8" t="s">
        <v>1026</v>
      </c>
      <c r="I749" s="9">
        <v>12</v>
      </c>
      <c r="J749" s="8" t="s">
        <v>38</v>
      </c>
      <c r="K749" s="8">
        <v>2</v>
      </c>
      <c r="L749" s="8" t="s">
        <v>1007</v>
      </c>
      <c r="M749" s="8" t="s">
        <v>1007</v>
      </c>
      <c r="N749" s="8" t="s">
        <v>47</v>
      </c>
      <c r="O749" s="28">
        <v>45066</v>
      </c>
      <c r="P749" s="8"/>
      <c r="Q749" s="8" t="s">
        <v>1009</v>
      </c>
      <c r="R749" s="8" t="s">
        <v>36</v>
      </c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4">
        <f t="shared" si="11"/>
        <v>19</v>
      </c>
    </row>
    <row r="750" spans="1:30" ht="39.75" thickBot="1" x14ac:dyDescent="0.3">
      <c r="A750" s="3">
        <v>45056.423310185186</v>
      </c>
      <c r="B750" s="4" t="s">
        <v>595</v>
      </c>
      <c r="C750" s="4" t="s">
        <v>572</v>
      </c>
      <c r="D750" s="31" t="s">
        <v>42</v>
      </c>
      <c r="E750" s="4" t="s">
        <v>1431</v>
      </c>
      <c r="F750" s="5">
        <v>628459401</v>
      </c>
      <c r="G750" s="4"/>
      <c r="H750" s="4" t="s">
        <v>525</v>
      </c>
      <c r="I750" s="5">
        <v>5</v>
      </c>
      <c r="J750" s="4" t="s">
        <v>38</v>
      </c>
      <c r="K750" s="5">
        <v>2</v>
      </c>
      <c r="L750" s="4" t="s">
        <v>599</v>
      </c>
      <c r="M750" s="4" t="s">
        <v>1432</v>
      </c>
      <c r="N750" s="4" t="s">
        <v>90</v>
      </c>
      <c r="O750" s="6">
        <v>45065</v>
      </c>
      <c r="P750" s="4" t="s">
        <v>604</v>
      </c>
      <c r="Q750" s="4" t="s">
        <v>600</v>
      </c>
      <c r="R750" s="4" t="s">
        <v>36</v>
      </c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>
        <f t="shared" si="11"/>
        <v>19</v>
      </c>
    </row>
    <row r="751" spans="1:30" ht="27" thickBot="1" x14ac:dyDescent="0.3">
      <c r="A751" s="3">
        <v>45056.426319444443</v>
      </c>
      <c r="B751" s="4" t="s">
        <v>1004</v>
      </c>
      <c r="C751" s="4" t="s">
        <v>1005</v>
      </c>
      <c r="D751" s="31" t="s">
        <v>42</v>
      </c>
      <c r="E751" s="8" t="s">
        <v>1433</v>
      </c>
      <c r="F751" s="9">
        <v>626604454</v>
      </c>
      <c r="G751" s="8"/>
      <c r="H751" s="8" t="s">
        <v>1026</v>
      </c>
      <c r="I751" s="9">
        <v>30</v>
      </c>
      <c r="J751" s="8" t="s">
        <v>38</v>
      </c>
      <c r="K751" s="8">
        <v>6</v>
      </c>
      <c r="L751" s="8" t="s">
        <v>644</v>
      </c>
      <c r="M751" s="8" t="s">
        <v>644</v>
      </c>
      <c r="N751" s="8" t="s">
        <v>47</v>
      </c>
      <c r="O751" s="28">
        <v>45066</v>
      </c>
      <c r="P751" s="8"/>
      <c r="Q751" s="8" t="s">
        <v>1009</v>
      </c>
      <c r="R751" s="8" t="s">
        <v>36</v>
      </c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4">
        <f t="shared" si="11"/>
        <v>19</v>
      </c>
    </row>
    <row r="752" spans="1:30" ht="27" thickBot="1" x14ac:dyDescent="0.3">
      <c r="A752" s="3">
        <v>45056.429409722223</v>
      </c>
      <c r="B752" s="4" t="s">
        <v>1004</v>
      </c>
      <c r="C752" s="4" t="s">
        <v>1005</v>
      </c>
      <c r="D752" s="31" t="s">
        <v>42</v>
      </c>
      <c r="E752" s="8" t="s">
        <v>1434</v>
      </c>
      <c r="F752" s="9">
        <v>610615821</v>
      </c>
      <c r="G752" s="8"/>
      <c r="H752" s="8" t="s">
        <v>1026</v>
      </c>
      <c r="I752" s="9">
        <v>30</v>
      </c>
      <c r="J752" s="8" t="s">
        <v>38</v>
      </c>
      <c r="K752" s="8">
        <v>3</v>
      </c>
      <c r="L752" s="8" t="s">
        <v>644</v>
      </c>
      <c r="M752" s="8" t="s">
        <v>644</v>
      </c>
      <c r="N752" s="8" t="s">
        <v>47</v>
      </c>
      <c r="O752" s="28">
        <v>45066</v>
      </c>
      <c r="P752" s="8"/>
      <c r="Q752" s="8" t="s">
        <v>1009</v>
      </c>
      <c r="R752" s="8" t="s">
        <v>36</v>
      </c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4">
        <f t="shared" si="11"/>
        <v>19</v>
      </c>
    </row>
    <row r="753" spans="1:30" ht="27" thickBot="1" x14ac:dyDescent="0.3">
      <c r="A753" s="3">
        <v>45056.432476851849</v>
      </c>
      <c r="B753" s="4" t="s">
        <v>1004</v>
      </c>
      <c r="C753" s="4" t="s">
        <v>1005</v>
      </c>
      <c r="D753" s="31" t="s">
        <v>42</v>
      </c>
      <c r="E753" s="8" t="s">
        <v>1435</v>
      </c>
      <c r="F753" s="9">
        <v>625847859</v>
      </c>
      <c r="G753" s="8"/>
      <c r="H753" s="8" t="s">
        <v>1026</v>
      </c>
      <c r="I753" s="9">
        <v>30</v>
      </c>
      <c r="J753" s="8" t="s">
        <v>38</v>
      </c>
      <c r="K753" s="8">
        <v>2</v>
      </c>
      <c r="L753" s="8" t="s">
        <v>644</v>
      </c>
      <c r="M753" s="8" t="s">
        <v>644</v>
      </c>
      <c r="N753" s="8" t="s">
        <v>47</v>
      </c>
      <c r="O753" s="28">
        <v>45066</v>
      </c>
      <c r="P753" s="8"/>
      <c r="Q753" s="8" t="s">
        <v>1009</v>
      </c>
      <c r="R753" s="8" t="s">
        <v>36</v>
      </c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4">
        <f t="shared" si="11"/>
        <v>19</v>
      </c>
    </row>
    <row r="754" spans="1:30" ht="27" thickBot="1" x14ac:dyDescent="0.3">
      <c r="A754" s="3">
        <v>45056.434583333335</v>
      </c>
      <c r="B754" s="4" t="s">
        <v>1004</v>
      </c>
      <c r="C754" s="4" t="s">
        <v>1005</v>
      </c>
      <c r="D754" s="31" t="s">
        <v>42</v>
      </c>
      <c r="E754" s="8" t="s">
        <v>1434</v>
      </c>
      <c r="F754" s="9">
        <v>610634209</v>
      </c>
      <c r="G754" s="8"/>
      <c r="H754" s="8" t="s">
        <v>1026</v>
      </c>
      <c r="I754" s="9">
        <v>30</v>
      </c>
      <c r="J754" s="8" t="s">
        <v>38</v>
      </c>
      <c r="K754" s="8">
        <v>2</v>
      </c>
      <c r="L754" s="8" t="s">
        <v>644</v>
      </c>
      <c r="M754" s="8" t="s">
        <v>644</v>
      </c>
      <c r="N754" s="8" t="s">
        <v>47</v>
      </c>
      <c r="O754" s="28">
        <v>45066</v>
      </c>
      <c r="P754" s="8"/>
      <c r="Q754" s="8" t="s">
        <v>1009</v>
      </c>
      <c r="R754" s="8" t="s">
        <v>36</v>
      </c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4">
        <f t="shared" si="11"/>
        <v>19</v>
      </c>
    </row>
    <row r="755" spans="1:30" ht="27" thickBot="1" x14ac:dyDescent="0.3">
      <c r="A755" s="3">
        <v>45056.437708333331</v>
      </c>
      <c r="B755" s="4" t="s">
        <v>1004</v>
      </c>
      <c r="C755" s="4" t="s">
        <v>1005</v>
      </c>
      <c r="D755" s="31" t="s">
        <v>42</v>
      </c>
      <c r="E755" s="8" t="s">
        <v>1436</v>
      </c>
      <c r="F755" s="9">
        <v>623414298</v>
      </c>
      <c r="G755" s="8"/>
      <c r="H755" s="8" t="s">
        <v>1026</v>
      </c>
      <c r="I755" s="9">
        <v>30</v>
      </c>
      <c r="J755" s="8" t="s">
        <v>38</v>
      </c>
      <c r="K755" s="8">
        <v>5</v>
      </c>
      <c r="L755" s="8" t="s">
        <v>644</v>
      </c>
      <c r="M755" s="8" t="s">
        <v>644</v>
      </c>
      <c r="N755" s="8" t="s">
        <v>47</v>
      </c>
      <c r="O755" s="28">
        <v>45066</v>
      </c>
      <c r="P755" s="8"/>
      <c r="Q755" s="8" t="s">
        <v>1009</v>
      </c>
      <c r="R755" s="8" t="s">
        <v>36</v>
      </c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4">
        <f t="shared" si="11"/>
        <v>19</v>
      </c>
    </row>
    <row r="756" spans="1:30" ht="27" thickBot="1" x14ac:dyDescent="0.3">
      <c r="A756" s="3">
        <v>45056.439780092594</v>
      </c>
      <c r="B756" s="4" t="s">
        <v>1004</v>
      </c>
      <c r="C756" s="4" t="s">
        <v>1005</v>
      </c>
      <c r="D756" s="31" t="s">
        <v>42</v>
      </c>
      <c r="E756" s="8" t="s">
        <v>1437</v>
      </c>
      <c r="F756" s="9">
        <v>628654786</v>
      </c>
      <c r="G756" s="8"/>
      <c r="H756" s="8" t="s">
        <v>1026</v>
      </c>
      <c r="I756" s="9">
        <v>30</v>
      </c>
      <c r="J756" s="8" t="s">
        <v>38</v>
      </c>
      <c r="K756" s="8">
        <v>2</v>
      </c>
      <c r="L756" s="8" t="s">
        <v>644</v>
      </c>
      <c r="M756" s="8" t="s">
        <v>644</v>
      </c>
      <c r="N756" s="8" t="s">
        <v>47</v>
      </c>
      <c r="O756" s="28">
        <v>45066</v>
      </c>
      <c r="P756" s="8"/>
      <c r="Q756" s="8" t="s">
        <v>1009</v>
      </c>
      <c r="R756" s="8" t="s">
        <v>36</v>
      </c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4">
        <f t="shared" si="11"/>
        <v>19</v>
      </c>
    </row>
    <row r="757" spans="1:30" ht="27" thickBot="1" x14ac:dyDescent="0.3">
      <c r="A757" s="3">
        <v>45056.440578703703</v>
      </c>
      <c r="B757" s="4" t="s">
        <v>614</v>
      </c>
      <c r="C757" s="4" t="s">
        <v>343</v>
      </c>
      <c r="D757" s="31" t="s">
        <v>42</v>
      </c>
      <c r="E757" s="8" t="s">
        <v>1438</v>
      </c>
      <c r="F757" s="5">
        <v>628387755</v>
      </c>
      <c r="G757" s="4"/>
      <c r="H757" s="4" t="s">
        <v>921</v>
      </c>
      <c r="I757" s="5">
        <v>52</v>
      </c>
      <c r="J757" s="4" t="s">
        <v>38</v>
      </c>
      <c r="K757" s="5">
        <v>3</v>
      </c>
      <c r="L757" s="4" t="s">
        <v>937</v>
      </c>
      <c r="M757" s="4" t="s">
        <v>937</v>
      </c>
      <c r="N757" s="4" t="s">
        <v>33</v>
      </c>
      <c r="O757" s="6">
        <v>45058</v>
      </c>
      <c r="P757" s="4"/>
      <c r="Q757" s="4" t="s">
        <v>616</v>
      </c>
      <c r="R757" s="4" t="s">
        <v>36</v>
      </c>
      <c r="S757" s="4" t="s">
        <v>59</v>
      </c>
      <c r="T757" s="5">
        <v>3</v>
      </c>
      <c r="U757" s="6">
        <v>45058</v>
      </c>
      <c r="V757" s="4" t="s">
        <v>1353</v>
      </c>
      <c r="W757" s="10" t="s">
        <v>933</v>
      </c>
      <c r="X757" s="4"/>
      <c r="Y757" s="4"/>
      <c r="Z757" s="4"/>
      <c r="AA757" s="4"/>
      <c r="AB757" s="4"/>
      <c r="AC757" s="4"/>
      <c r="AD757" s="4">
        <f t="shared" si="11"/>
        <v>19</v>
      </c>
    </row>
    <row r="758" spans="1:30" ht="27" thickBot="1" x14ac:dyDescent="0.3">
      <c r="A758" s="3">
        <v>45056.441689814812</v>
      </c>
      <c r="B758" s="4" t="s">
        <v>1004</v>
      </c>
      <c r="C758" s="4" t="s">
        <v>1005</v>
      </c>
      <c r="D758" s="31" t="s">
        <v>42</v>
      </c>
      <c r="E758" s="8" t="s">
        <v>1433</v>
      </c>
      <c r="F758" s="9">
        <v>626040737</v>
      </c>
      <c r="G758" s="8"/>
      <c r="H758" s="8" t="s">
        <v>1026</v>
      </c>
      <c r="I758" s="9">
        <v>30</v>
      </c>
      <c r="J758" s="8" t="s">
        <v>38</v>
      </c>
      <c r="K758" s="8">
        <v>4</v>
      </c>
      <c r="L758" s="8" t="s">
        <v>644</v>
      </c>
      <c r="M758" s="8" t="s">
        <v>644</v>
      </c>
      <c r="N758" s="8" t="s">
        <v>47</v>
      </c>
      <c r="O758" s="28">
        <v>45066</v>
      </c>
      <c r="P758" s="8"/>
      <c r="Q758" s="8" t="s">
        <v>1009</v>
      </c>
      <c r="R758" s="8" t="s">
        <v>36</v>
      </c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4">
        <f t="shared" si="11"/>
        <v>19</v>
      </c>
    </row>
    <row r="759" spans="1:30" ht="27" thickBot="1" x14ac:dyDescent="0.3">
      <c r="A759" s="3">
        <v>45056.443888888891</v>
      </c>
      <c r="B759" s="4" t="s">
        <v>1004</v>
      </c>
      <c r="C759" s="4" t="s">
        <v>1005</v>
      </c>
      <c r="D759" s="31" t="s">
        <v>42</v>
      </c>
      <c r="E759" s="8" t="s">
        <v>1439</v>
      </c>
      <c r="F759" s="9">
        <v>620540981</v>
      </c>
      <c r="G759" s="8"/>
      <c r="H759" s="8" t="s">
        <v>1026</v>
      </c>
      <c r="I759" s="9">
        <v>30</v>
      </c>
      <c r="J759" s="8" t="s">
        <v>38</v>
      </c>
      <c r="K759" s="8">
        <v>4</v>
      </c>
      <c r="L759" s="8" t="s">
        <v>644</v>
      </c>
      <c r="M759" s="8" t="s">
        <v>644</v>
      </c>
      <c r="N759" s="8" t="s">
        <v>47</v>
      </c>
      <c r="O759" s="28">
        <v>45066</v>
      </c>
      <c r="P759" s="8"/>
      <c r="Q759" s="8" t="s">
        <v>1009</v>
      </c>
      <c r="R759" s="8" t="s">
        <v>36</v>
      </c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4">
        <f t="shared" si="11"/>
        <v>19</v>
      </c>
    </row>
    <row r="760" spans="1:30" ht="27" thickBot="1" x14ac:dyDescent="0.3">
      <c r="A760" s="3">
        <v>45056.445439814815</v>
      </c>
      <c r="B760" s="4" t="s">
        <v>1004</v>
      </c>
      <c r="C760" s="4" t="s">
        <v>1005</v>
      </c>
      <c r="D760" s="31" t="s">
        <v>42</v>
      </c>
      <c r="E760" s="8" t="s">
        <v>1440</v>
      </c>
      <c r="F760" s="9">
        <v>622311889</v>
      </c>
      <c r="G760" s="8"/>
      <c r="H760" s="8" t="s">
        <v>1026</v>
      </c>
      <c r="I760" s="9">
        <v>30</v>
      </c>
      <c r="J760" s="8" t="s">
        <v>38</v>
      </c>
      <c r="K760" s="8">
        <v>3</v>
      </c>
      <c r="L760" s="8" t="s">
        <v>644</v>
      </c>
      <c r="M760" s="8" t="s">
        <v>644</v>
      </c>
      <c r="N760" s="8" t="s">
        <v>47</v>
      </c>
      <c r="O760" s="28">
        <v>45066</v>
      </c>
      <c r="P760" s="8"/>
      <c r="Q760" s="8" t="s">
        <v>1009</v>
      </c>
      <c r="R760" s="8" t="s">
        <v>36</v>
      </c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4">
        <f t="shared" si="11"/>
        <v>19</v>
      </c>
    </row>
    <row r="761" spans="1:30" ht="27" thickBot="1" x14ac:dyDescent="0.3">
      <c r="A761" s="3">
        <v>45056.447534722225</v>
      </c>
      <c r="B761" s="4" t="s">
        <v>1004</v>
      </c>
      <c r="C761" s="4" t="s">
        <v>1005</v>
      </c>
      <c r="D761" s="31" t="s">
        <v>42</v>
      </c>
      <c r="E761" s="8" t="s">
        <v>1441</v>
      </c>
      <c r="F761" s="9">
        <v>622329862</v>
      </c>
      <c r="G761" s="8"/>
      <c r="H761" s="8" t="s">
        <v>1026</v>
      </c>
      <c r="I761" s="9">
        <v>30</v>
      </c>
      <c r="J761" s="8" t="s">
        <v>38</v>
      </c>
      <c r="K761" s="8">
        <v>2</v>
      </c>
      <c r="L761" s="8" t="s">
        <v>644</v>
      </c>
      <c r="M761" s="8" t="s">
        <v>644</v>
      </c>
      <c r="N761" s="8" t="s">
        <v>47</v>
      </c>
      <c r="O761" s="28">
        <v>45066</v>
      </c>
      <c r="P761" s="8"/>
      <c r="Q761" s="8" t="s">
        <v>1009</v>
      </c>
      <c r="R761" s="8" t="s">
        <v>36</v>
      </c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4">
        <f t="shared" si="11"/>
        <v>19</v>
      </c>
    </row>
    <row r="762" spans="1:30" ht="27" thickBot="1" x14ac:dyDescent="0.3">
      <c r="A762" s="3">
        <v>45056.449421296296</v>
      </c>
      <c r="B762" s="4" t="s">
        <v>1004</v>
      </c>
      <c r="C762" s="4" t="s">
        <v>1005</v>
      </c>
      <c r="D762" s="31" t="s">
        <v>42</v>
      </c>
      <c r="E762" s="8" t="s">
        <v>1442</v>
      </c>
      <c r="F762" s="9">
        <v>620306311</v>
      </c>
      <c r="G762" s="8"/>
      <c r="H762" s="8" t="s">
        <v>1026</v>
      </c>
      <c r="I762" s="9">
        <v>30</v>
      </c>
      <c r="J762" s="8" t="s">
        <v>38</v>
      </c>
      <c r="K762" s="8">
        <v>2</v>
      </c>
      <c r="L762" s="8" t="s">
        <v>644</v>
      </c>
      <c r="M762" s="8" t="s">
        <v>644</v>
      </c>
      <c r="N762" s="8" t="s">
        <v>47</v>
      </c>
      <c r="O762" s="28">
        <v>45066</v>
      </c>
      <c r="P762" s="8"/>
      <c r="Q762" s="8" t="s">
        <v>1009</v>
      </c>
      <c r="R762" s="8" t="s">
        <v>36</v>
      </c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4">
        <f t="shared" si="11"/>
        <v>19</v>
      </c>
    </row>
    <row r="763" spans="1:30" ht="27" thickBot="1" x14ac:dyDescent="0.3">
      <c r="A763" s="3">
        <v>45056.451365740744</v>
      </c>
      <c r="B763" s="4" t="s">
        <v>1004</v>
      </c>
      <c r="C763" s="4" t="s">
        <v>1005</v>
      </c>
      <c r="D763" s="31" t="s">
        <v>42</v>
      </c>
      <c r="E763" s="8" t="s">
        <v>1443</v>
      </c>
      <c r="F763" s="9">
        <v>622499053</v>
      </c>
      <c r="G763" s="8"/>
      <c r="H763" s="8" t="s">
        <v>1026</v>
      </c>
      <c r="I763" s="9">
        <v>30</v>
      </c>
      <c r="J763" s="8" t="s">
        <v>38</v>
      </c>
      <c r="K763" s="8">
        <v>5</v>
      </c>
      <c r="L763" s="8" t="s">
        <v>644</v>
      </c>
      <c r="M763" s="8" t="s">
        <v>644</v>
      </c>
      <c r="N763" s="8" t="s">
        <v>47</v>
      </c>
      <c r="O763" s="28">
        <v>45066</v>
      </c>
      <c r="P763" s="8"/>
      <c r="Q763" s="8" t="s">
        <v>1009</v>
      </c>
      <c r="R763" s="8" t="s">
        <v>36</v>
      </c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4">
        <f t="shared" si="11"/>
        <v>19</v>
      </c>
    </row>
    <row r="764" spans="1:30" ht="27" thickBot="1" x14ac:dyDescent="0.3">
      <c r="A764" s="3">
        <v>45056.453865740739</v>
      </c>
      <c r="B764" s="4" t="s">
        <v>1004</v>
      </c>
      <c r="C764" s="4" t="s">
        <v>1005</v>
      </c>
      <c r="D764" s="31" t="s">
        <v>42</v>
      </c>
      <c r="E764" s="8" t="s">
        <v>1444</v>
      </c>
      <c r="F764" s="9">
        <v>620020898</v>
      </c>
      <c r="G764" s="8"/>
      <c r="H764" s="8" t="s">
        <v>1026</v>
      </c>
      <c r="I764" s="9">
        <v>30</v>
      </c>
      <c r="J764" s="8" t="s">
        <v>38</v>
      </c>
      <c r="K764" s="8">
        <v>2</v>
      </c>
      <c r="L764" s="8" t="s">
        <v>644</v>
      </c>
      <c r="M764" s="8" t="s">
        <v>644</v>
      </c>
      <c r="N764" s="8" t="s">
        <v>47</v>
      </c>
      <c r="O764" s="28">
        <v>45066</v>
      </c>
      <c r="P764" s="8"/>
      <c r="Q764" s="8" t="s">
        <v>1009</v>
      </c>
      <c r="R764" s="8" t="s">
        <v>36</v>
      </c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4">
        <f t="shared" si="11"/>
        <v>19</v>
      </c>
    </row>
    <row r="765" spans="1:30" ht="27" thickBot="1" x14ac:dyDescent="0.3">
      <c r="A765" s="3">
        <v>45056.455833333333</v>
      </c>
      <c r="B765" s="4" t="s">
        <v>1004</v>
      </c>
      <c r="C765" s="4" t="s">
        <v>1005</v>
      </c>
      <c r="D765" s="31" t="s">
        <v>42</v>
      </c>
      <c r="E765" s="8" t="s">
        <v>1445</v>
      </c>
      <c r="F765" s="9">
        <v>625773000</v>
      </c>
      <c r="G765" s="8"/>
      <c r="H765" s="8" t="s">
        <v>1026</v>
      </c>
      <c r="I765" s="9">
        <v>30</v>
      </c>
      <c r="J765" s="8" t="s">
        <v>38</v>
      </c>
      <c r="K765" s="8">
        <v>5</v>
      </c>
      <c r="L765" s="8" t="s">
        <v>644</v>
      </c>
      <c r="M765" s="8" t="s">
        <v>644</v>
      </c>
      <c r="N765" s="8" t="s">
        <v>47</v>
      </c>
      <c r="O765" s="28">
        <v>45066</v>
      </c>
      <c r="P765" s="8"/>
      <c r="Q765" s="8" t="s">
        <v>1009</v>
      </c>
      <c r="R765" s="8" t="s">
        <v>36</v>
      </c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4">
        <f t="shared" si="11"/>
        <v>19</v>
      </c>
    </row>
    <row r="766" spans="1:30" ht="27" thickBot="1" x14ac:dyDescent="0.3">
      <c r="A766" s="3">
        <v>45056.458391203705</v>
      </c>
      <c r="B766" s="4" t="s">
        <v>1004</v>
      </c>
      <c r="C766" s="4" t="s">
        <v>1005</v>
      </c>
      <c r="D766" s="31" t="s">
        <v>42</v>
      </c>
      <c r="E766" s="8" t="s">
        <v>1446</v>
      </c>
      <c r="F766" s="9">
        <v>629400267</v>
      </c>
      <c r="G766" s="8"/>
      <c r="H766" s="8" t="s">
        <v>1026</v>
      </c>
      <c r="I766" s="9">
        <v>30</v>
      </c>
      <c r="J766" s="8" t="s">
        <v>38</v>
      </c>
      <c r="K766" s="8">
        <v>2</v>
      </c>
      <c r="L766" s="8" t="s">
        <v>644</v>
      </c>
      <c r="M766" s="8" t="s">
        <v>644</v>
      </c>
      <c r="N766" s="8" t="s">
        <v>47</v>
      </c>
      <c r="O766" s="28">
        <v>45066</v>
      </c>
      <c r="P766" s="8"/>
      <c r="Q766" s="8" t="s">
        <v>1009</v>
      </c>
      <c r="R766" s="8" t="s">
        <v>36</v>
      </c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4">
        <f t="shared" si="11"/>
        <v>19</v>
      </c>
    </row>
    <row r="767" spans="1:30" ht="27" thickBot="1" x14ac:dyDescent="0.3">
      <c r="A767" s="3">
        <v>45056.460428240738</v>
      </c>
      <c r="B767" s="4" t="s">
        <v>1004</v>
      </c>
      <c r="C767" s="4" t="s">
        <v>1005</v>
      </c>
      <c r="D767" s="31" t="s">
        <v>42</v>
      </c>
      <c r="E767" s="8" t="s">
        <v>1447</v>
      </c>
      <c r="F767" s="9">
        <v>623300623</v>
      </c>
      <c r="G767" s="8"/>
      <c r="H767" s="8" t="s">
        <v>1026</v>
      </c>
      <c r="I767" s="9">
        <v>35</v>
      </c>
      <c r="J767" s="8" t="s">
        <v>38</v>
      </c>
      <c r="K767" s="8">
        <v>3</v>
      </c>
      <c r="L767" s="8" t="s">
        <v>644</v>
      </c>
      <c r="M767" s="8" t="s">
        <v>644</v>
      </c>
      <c r="N767" s="8" t="s">
        <v>47</v>
      </c>
      <c r="O767" s="28">
        <v>45066</v>
      </c>
      <c r="P767" s="8"/>
      <c r="Q767" s="8" t="s">
        <v>1009</v>
      </c>
      <c r="R767" s="8" t="s">
        <v>36</v>
      </c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4">
        <f t="shared" si="11"/>
        <v>19</v>
      </c>
    </row>
    <row r="768" spans="1:30" ht="27" thickBot="1" x14ac:dyDescent="0.3">
      <c r="A768" s="3">
        <v>45056.472349537034</v>
      </c>
      <c r="B768" s="4" t="s">
        <v>391</v>
      </c>
      <c r="C768" s="4" t="s">
        <v>392</v>
      </c>
      <c r="D768" s="31" t="s">
        <v>42</v>
      </c>
      <c r="E768" s="4" t="s">
        <v>446</v>
      </c>
      <c r="F768" s="5">
        <v>625411748</v>
      </c>
      <c r="G768" s="5">
        <v>625411748</v>
      </c>
      <c r="H768" s="4" t="s">
        <v>447</v>
      </c>
      <c r="I768" s="5">
        <v>18</v>
      </c>
      <c r="J768" s="4" t="s">
        <v>38</v>
      </c>
      <c r="K768" s="5">
        <v>10</v>
      </c>
      <c r="L768" s="4" t="s">
        <v>1448</v>
      </c>
      <c r="M768" s="4" t="s">
        <v>1448</v>
      </c>
      <c r="N768" s="4" t="s">
        <v>47</v>
      </c>
      <c r="O768" s="6">
        <v>45058</v>
      </c>
      <c r="P768" s="4" t="s">
        <v>449</v>
      </c>
      <c r="Q768" s="4" t="s">
        <v>397</v>
      </c>
      <c r="R768" s="4" t="s">
        <v>252</v>
      </c>
      <c r="S768" s="4" t="s">
        <v>59</v>
      </c>
      <c r="T768" s="5">
        <v>10</v>
      </c>
      <c r="U768" s="6">
        <v>45056</v>
      </c>
      <c r="V768" s="4" t="s">
        <v>1353</v>
      </c>
      <c r="W768" s="4" t="s">
        <v>661</v>
      </c>
      <c r="X768" s="4"/>
      <c r="Y768" s="4"/>
      <c r="Z768" s="4"/>
      <c r="AA768" s="4"/>
      <c r="AB768" s="4"/>
      <c r="AC768" s="4"/>
      <c r="AD768" s="4">
        <f t="shared" si="11"/>
        <v>19</v>
      </c>
    </row>
    <row r="769" spans="1:30" ht="39.75" thickBot="1" x14ac:dyDescent="0.3">
      <c r="A769" s="3">
        <v>45056.480219907404</v>
      </c>
      <c r="B769" s="4" t="s">
        <v>391</v>
      </c>
      <c r="C769" s="4" t="s">
        <v>392</v>
      </c>
      <c r="D769" s="31" t="s">
        <v>42</v>
      </c>
      <c r="E769" s="4" t="s">
        <v>1449</v>
      </c>
      <c r="F769" s="5">
        <v>622653855</v>
      </c>
      <c r="G769" s="5">
        <v>622653855</v>
      </c>
      <c r="H769" s="4" t="s">
        <v>394</v>
      </c>
      <c r="I769" s="5">
        <v>25</v>
      </c>
      <c r="J769" s="4" t="s">
        <v>38</v>
      </c>
      <c r="K769" s="5">
        <v>5</v>
      </c>
      <c r="L769" s="4" t="s">
        <v>700</v>
      </c>
      <c r="M769" s="4" t="s">
        <v>700</v>
      </c>
      <c r="N769" s="4" t="s">
        <v>47</v>
      </c>
      <c r="O769" s="6">
        <v>45056</v>
      </c>
      <c r="P769" s="4" t="s">
        <v>1450</v>
      </c>
      <c r="Q769" s="4" t="s">
        <v>397</v>
      </c>
      <c r="R769" s="4" t="s">
        <v>36</v>
      </c>
      <c r="S769" s="4" t="s">
        <v>59</v>
      </c>
      <c r="T769" s="5">
        <v>5</v>
      </c>
      <c r="U769" s="6">
        <v>45056</v>
      </c>
      <c r="V769" s="4" t="s">
        <v>1353</v>
      </c>
      <c r="W769" s="4" t="s">
        <v>1165</v>
      </c>
      <c r="X769" s="4"/>
      <c r="Y769" s="4"/>
      <c r="Z769" s="4"/>
      <c r="AA769" s="4"/>
      <c r="AB769" s="4"/>
      <c r="AC769" s="4"/>
      <c r="AD769" s="4">
        <f t="shared" si="11"/>
        <v>19</v>
      </c>
    </row>
    <row r="770" spans="1:30" ht="27" thickBot="1" x14ac:dyDescent="0.3">
      <c r="A770" s="3">
        <v>45056.482754629629</v>
      </c>
      <c r="B770" s="4" t="s">
        <v>391</v>
      </c>
      <c r="C770" s="4" t="s">
        <v>392</v>
      </c>
      <c r="D770" s="31" t="s">
        <v>42</v>
      </c>
      <c r="E770" s="4" t="s">
        <v>1451</v>
      </c>
      <c r="F770" s="5">
        <v>628184112</v>
      </c>
      <c r="G770" s="5">
        <v>628184112</v>
      </c>
      <c r="H770" s="4" t="s">
        <v>619</v>
      </c>
      <c r="I770" s="5">
        <v>20</v>
      </c>
      <c r="J770" s="4" t="s">
        <v>38</v>
      </c>
      <c r="K770" s="5">
        <v>6</v>
      </c>
      <c r="L770" s="4" t="s">
        <v>1452</v>
      </c>
      <c r="M770" s="4" t="s">
        <v>1452</v>
      </c>
      <c r="N770" s="4" t="s">
        <v>47</v>
      </c>
      <c r="O770" s="6">
        <v>45056</v>
      </c>
      <c r="P770" s="4" t="s">
        <v>1453</v>
      </c>
      <c r="Q770" s="4" t="s">
        <v>397</v>
      </c>
      <c r="R770" s="4" t="s">
        <v>36</v>
      </c>
      <c r="S770" s="4" t="s">
        <v>59</v>
      </c>
      <c r="T770" s="5">
        <v>6</v>
      </c>
      <c r="U770" s="6">
        <v>45056</v>
      </c>
      <c r="V770" s="4" t="s">
        <v>1353</v>
      </c>
      <c r="W770" s="4" t="s">
        <v>620</v>
      </c>
      <c r="X770" s="4"/>
      <c r="Y770" s="4"/>
      <c r="Z770" s="4"/>
      <c r="AA770" s="4"/>
      <c r="AB770" s="4"/>
      <c r="AC770" s="4"/>
      <c r="AD770" s="4">
        <f t="shared" si="11"/>
        <v>19</v>
      </c>
    </row>
    <row r="771" spans="1:30" ht="27" thickBot="1" x14ac:dyDescent="0.3">
      <c r="A771" s="3">
        <v>45056.485474537039</v>
      </c>
      <c r="B771" s="4" t="s">
        <v>391</v>
      </c>
      <c r="C771" s="4" t="s">
        <v>392</v>
      </c>
      <c r="D771" s="31" t="s">
        <v>27</v>
      </c>
      <c r="E771" s="4" t="s">
        <v>1454</v>
      </c>
      <c r="F771" s="5">
        <v>622849450</v>
      </c>
      <c r="G771" s="5">
        <v>622849450</v>
      </c>
      <c r="H771" s="4" t="s">
        <v>576</v>
      </c>
      <c r="I771" s="5">
        <v>5</v>
      </c>
      <c r="J771" s="4" t="s">
        <v>38</v>
      </c>
      <c r="K771" s="5">
        <v>3</v>
      </c>
      <c r="L771" s="4" t="s">
        <v>120</v>
      </c>
      <c r="M771" s="4" t="s">
        <v>120</v>
      </c>
      <c r="N771" s="4" t="s">
        <v>33</v>
      </c>
      <c r="O771" s="6">
        <v>45056</v>
      </c>
      <c r="P771" s="4" t="s">
        <v>1455</v>
      </c>
      <c r="Q771" s="4" t="s">
        <v>397</v>
      </c>
      <c r="R771" s="4" t="s">
        <v>36</v>
      </c>
      <c r="S771" s="4" t="s">
        <v>59</v>
      </c>
      <c r="T771" s="5">
        <v>3</v>
      </c>
      <c r="U771" s="6">
        <v>45056</v>
      </c>
      <c r="V771" s="4" t="s">
        <v>1353</v>
      </c>
      <c r="W771" s="4" t="s">
        <v>661</v>
      </c>
      <c r="X771" s="4"/>
      <c r="Y771" s="4"/>
      <c r="Z771" s="4"/>
      <c r="AA771" s="4"/>
      <c r="AB771" s="4"/>
      <c r="AC771" s="4"/>
      <c r="AD771" s="4">
        <f t="shared" ref="AD771:AD834" si="12">WEEKNUM(LEFT(A771,10))</f>
        <v>19</v>
      </c>
    </row>
    <row r="772" spans="1:30" ht="27" thickBot="1" x14ac:dyDescent="0.3">
      <c r="A772" s="3">
        <v>45056.586238425924</v>
      </c>
      <c r="B772" s="4" t="s">
        <v>1771</v>
      </c>
      <c r="C772" s="4" t="s">
        <v>496</v>
      </c>
      <c r="D772" s="31" t="s">
        <v>42</v>
      </c>
      <c r="E772" s="4" t="s">
        <v>1456</v>
      </c>
      <c r="F772" s="5">
        <v>621258630</v>
      </c>
      <c r="G772" s="5">
        <v>621258630</v>
      </c>
      <c r="H772" s="4" t="s">
        <v>525</v>
      </c>
      <c r="I772" s="5">
        <v>6</v>
      </c>
      <c r="J772" s="4" t="s">
        <v>38</v>
      </c>
      <c r="K772" s="5">
        <v>3</v>
      </c>
      <c r="L772" s="4" t="s">
        <v>982</v>
      </c>
      <c r="M772" s="4" t="s">
        <v>546</v>
      </c>
      <c r="N772" s="4" t="s">
        <v>90</v>
      </c>
      <c r="O772" s="6">
        <v>45056</v>
      </c>
      <c r="P772" s="4" t="s">
        <v>523</v>
      </c>
      <c r="Q772" s="4" t="s">
        <v>500</v>
      </c>
      <c r="R772" s="4" t="s">
        <v>36</v>
      </c>
      <c r="S772" s="4" t="s">
        <v>59</v>
      </c>
      <c r="T772" s="5">
        <v>3</v>
      </c>
      <c r="U772" s="6">
        <v>45056</v>
      </c>
      <c r="V772" s="4" t="s">
        <v>1353</v>
      </c>
      <c r="W772" s="4" t="s">
        <v>918</v>
      </c>
      <c r="X772" s="4"/>
      <c r="Y772" s="4"/>
      <c r="Z772" s="4"/>
      <c r="AA772" s="4"/>
      <c r="AB772" s="4"/>
      <c r="AC772" s="4"/>
      <c r="AD772" s="4">
        <f t="shared" si="12"/>
        <v>19</v>
      </c>
    </row>
    <row r="773" spans="1:30" ht="27" thickBot="1" x14ac:dyDescent="0.3">
      <c r="A773" s="3">
        <v>45056.61645833333</v>
      </c>
      <c r="B773" s="4" t="s">
        <v>614</v>
      </c>
      <c r="C773" s="4" t="s">
        <v>614</v>
      </c>
      <c r="D773" s="31" t="s">
        <v>42</v>
      </c>
      <c r="E773" s="8" t="s">
        <v>1457</v>
      </c>
      <c r="F773" s="5">
        <v>655623005</v>
      </c>
      <c r="G773" s="4"/>
      <c r="H773" s="4" t="s">
        <v>352</v>
      </c>
      <c r="I773" s="5">
        <v>15</v>
      </c>
      <c r="J773" s="4" t="s">
        <v>38</v>
      </c>
      <c r="K773" s="5">
        <v>3</v>
      </c>
      <c r="L773" s="4" t="s">
        <v>937</v>
      </c>
      <c r="M773" s="4" t="s">
        <v>937</v>
      </c>
      <c r="N773" s="4" t="s">
        <v>47</v>
      </c>
      <c r="O773" s="6">
        <v>45058</v>
      </c>
      <c r="P773" s="4"/>
      <c r="Q773" s="4" t="s">
        <v>616</v>
      </c>
      <c r="R773" s="4" t="s">
        <v>36</v>
      </c>
      <c r="S773" s="4" t="s">
        <v>59</v>
      </c>
      <c r="T773" s="5">
        <v>3</v>
      </c>
      <c r="U773" s="6">
        <v>45058</v>
      </c>
      <c r="V773" s="4" t="s">
        <v>1353</v>
      </c>
      <c r="W773" s="10" t="s">
        <v>1458</v>
      </c>
      <c r="X773" s="4"/>
      <c r="Y773" s="4"/>
      <c r="Z773" s="4"/>
      <c r="AA773" s="4"/>
      <c r="AB773" s="4"/>
      <c r="AC773" s="4"/>
      <c r="AD773" s="4">
        <f t="shared" si="12"/>
        <v>19</v>
      </c>
    </row>
    <row r="774" spans="1:30" ht="78" thickBot="1" x14ac:dyDescent="0.3">
      <c r="A774" s="3">
        <v>45056.799328703702</v>
      </c>
      <c r="B774" s="4" t="s">
        <v>623</v>
      </c>
      <c r="C774" s="4" t="s">
        <v>1459</v>
      </c>
      <c r="D774" s="31" t="s">
        <v>27</v>
      </c>
      <c r="E774" s="4" t="s">
        <v>1460</v>
      </c>
      <c r="F774" s="5">
        <v>620165590</v>
      </c>
      <c r="G774" s="4"/>
      <c r="H774" s="4" t="s">
        <v>626</v>
      </c>
      <c r="I774" s="5">
        <v>20</v>
      </c>
      <c r="J774" s="4" t="s">
        <v>38</v>
      </c>
      <c r="K774" s="5">
        <v>50</v>
      </c>
      <c r="L774" s="4" t="s">
        <v>1461</v>
      </c>
      <c r="M774" s="4" t="s">
        <v>873</v>
      </c>
      <c r="N774" s="4" t="s">
        <v>33</v>
      </c>
      <c r="O774" s="6">
        <v>45059</v>
      </c>
      <c r="P774" s="4"/>
      <c r="Q774" s="4" t="s">
        <v>628</v>
      </c>
      <c r="R774" s="4" t="s">
        <v>36</v>
      </c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>
        <f t="shared" si="12"/>
        <v>19</v>
      </c>
    </row>
    <row r="775" spans="1:30" ht="78" thickBot="1" x14ac:dyDescent="0.3">
      <c r="A775" s="3">
        <v>45056.80269675926</v>
      </c>
      <c r="B775" s="4" t="s">
        <v>623</v>
      </c>
      <c r="C775" s="4" t="s">
        <v>1459</v>
      </c>
      <c r="D775" s="31" t="s">
        <v>27</v>
      </c>
      <c r="E775" s="4" t="s">
        <v>1460</v>
      </c>
      <c r="F775" s="5">
        <v>620165590</v>
      </c>
      <c r="G775" s="4"/>
      <c r="H775" s="4" t="s">
        <v>626</v>
      </c>
      <c r="I775" s="5">
        <v>20</v>
      </c>
      <c r="J775" s="4" t="s">
        <v>38</v>
      </c>
      <c r="K775" s="5">
        <v>50</v>
      </c>
      <c r="L775" s="4" t="s">
        <v>871</v>
      </c>
      <c r="M775" s="4" t="s">
        <v>416</v>
      </c>
      <c r="N775" s="4" t="s">
        <v>47</v>
      </c>
      <c r="O775" s="6">
        <v>45062</v>
      </c>
      <c r="P775" s="4"/>
      <c r="Q775" s="4" t="s">
        <v>628</v>
      </c>
      <c r="R775" s="4" t="s">
        <v>252</v>
      </c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>
        <f t="shared" si="12"/>
        <v>19</v>
      </c>
    </row>
    <row r="776" spans="1:30" ht="65.25" thickBot="1" x14ac:dyDescent="0.3">
      <c r="A776" s="3">
        <v>45057.196446759262</v>
      </c>
      <c r="B776" s="4" t="s">
        <v>25</v>
      </c>
      <c r="C776" s="4" t="s">
        <v>957</v>
      </c>
      <c r="D776" s="31" t="s">
        <v>42</v>
      </c>
      <c r="E776" s="4" t="s">
        <v>596</v>
      </c>
      <c r="F776" s="5">
        <v>622747738</v>
      </c>
      <c r="G776" s="4"/>
      <c r="H776" s="4" t="s">
        <v>45</v>
      </c>
      <c r="I776" s="5">
        <v>95</v>
      </c>
      <c r="J776" s="4" t="s">
        <v>38</v>
      </c>
      <c r="K776" s="5">
        <v>4</v>
      </c>
      <c r="L776" s="4" t="s">
        <v>1462</v>
      </c>
      <c r="M776" s="4" t="s">
        <v>32</v>
      </c>
      <c r="N776" s="4" t="s">
        <v>33</v>
      </c>
      <c r="O776" s="6">
        <v>45058</v>
      </c>
      <c r="P776" s="4" t="s">
        <v>34</v>
      </c>
      <c r="Q776" s="4" t="s">
        <v>35</v>
      </c>
      <c r="R776" s="4" t="s">
        <v>36</v>
      </c>
      <c r="S776" s="4" t="s">
        <v>59</v>
      </c>
      <c r="T776" s="5">
        <v>4</v>
      </c>
      <c r="U776" s="6">
        <v>45057</v>
      </c>
      <c r="V776" s="4" t="s">
        <v>1353</v>
      </c>
      <c r="W776" s="4" t="s">
        <v>737</v>
      </c>
      <c r="X776" s="4"/>
      <c r="Y776" s="4"/>
      <c r="Z776" s="4"/>
      <c r="AA776" s="4"/>
      <c r="AB776" s="4"/>
      <c r="AC776" s="4"/>
      <c r="AD776" s="4">
        <f t="shared" si="12"/>
        <v>19</v>
      </c>
    </row>
    <row r="777" spans="1:30" ht="27" thickBot="1" x14ac:dyDescent="0.3">
      <c r="A777" s="3">
        <v>45057.419479166667</v>
      </c>
      <c r="B777" s="4" t="s">
        <v>53</v>
      </c>
      <c r="C777" s="4" t="s">
        <v>53</v>
      </c>
      <c r="D777" s="31" t="s">
        <v>42</v>
      </c>
      <c r="E777" s="4" t="s">
        <v>1463</v>
      </c>
      <c r="F777" s="5">
        <v>628200681</v>
      </c>
      <c r="G777" s="4"/>
      <c r="H777" s="4" t="s">
        <v>62</v>
      </c>
      <c r="I777" s="5">
        <v>2</v>
      </c>
      <c r="J777" s="4" t="s">
        <v>38</v>
      </c>
      <c r="K777" s="5">
        <v>1</v>
      </c>
      <c r="L777" s="4" t="s">
        <v>1464</v>
      </c>
      <c r="M777" s="4" t="s">
        <v>1464</v>
      </c>
      <c r="N777" s="4" t="s">
        <v>33</v>
      </c>
      <c r="O777" s="6">
        <v>45058</v>
      </c>
      <c r="P777" s="4"/>
      <c r="Q777" s="4" t="s">
        <v>58</v>
      </c>
      <c r="R777" s="4" t="s">
        <v>36</v>
      </c>
      <c r="S777" s="4" t="s">
        <v>59</v>
      </c>
      <c r="T777" s="5">
        <v>1</v>
      </c>
      <c r="U777" s="6">
        <v>45057</v>
      </c>
      <c r="V777" s="4" t="s">
        <v>1353</v>
      </c>
      <c r="W777" s="4" t="s">
        <v>1287</v>
      </c>
      <c r="X777" s="4"/>
      <c r="Y777" s="4"/>
      <c r="Z777" s="4"/>
      <c r="AA777" s="4"/>
      <c r="AB777" s="4"/>
      <c r="AC777" s="4"/>
      <c r="AD777" s="4">
        <f t="shared" si="12"/>
        <v>19</v>
      </c>
    </row>
    <row r="778" spans="1:30" ht="27" thickBot="1" x14ac:dyDescent="0.3">
      <c r="A778" s="3">
        <v>45057.421539351853</v>
      </c>
      <c r="B778" s="4" t="s">
        <v>614</v>
      </c>
      <c r="C778" s="4" t="s">
        <v>614</v>
      </c>
      <c r="D778" s="31" t="s">
        <v>42</v>
      </c>
      <c r="E778" s="8" t="s">
        <v>1465</v>
      </c>
      <c r="F778" s="5">
        <v>626578742</v>
      </c>
      <c r="G778" s="4"/>
      <c r="H778" s="4" t="s">
        <v>1466</v>
      </c>
      <c r="I778" s="5">
        <v>75</v>
      </c>
      <c r="J778" s="4" t="s">
        <v>38</v>
      </c>
      <c r="K778" s="5">
        <v>5</v>
      </c>
      <c r="L778" s="4" t="s">
        <v>937</v>
      </c>
      <c r="M778" s="4" t="s">
        <v>937</v>
      </c>
      <c r="N778" s="4" t="s">
        <v>47</v>
      </c>
      <c r="O778" s="6">
        <v>45058</v>
      </c>
      <c r="P778" s="4"/>
      <c r="Q778" s="4" t="s">
        <v>616</v>
      </c>
      <c r="R778" s="4" t="s">
        <v>36</v>
      </c>
      <c r="S778" s="4" t="s">
        <v>59</v>
      </c>
      <c r="T778" s="5">
        <v>5</v>
      </c>
      <c r="U778" s="6">
        <v>45058</v>
      </c>
      <c r="V778" s="4" t="s">
        <v>1353</v>
      </c>
      <c r="W778" s="10" t="s">
        <v>1467</v>
      </c>
      <c r="X778" s="4"/>
      <c r="Y778" s="4"/>
      <c r="Z778" s="4"/>
      <c r="AA778" s="4"/>
      <c r="AB778" s="4"/>
      <c r="AC778" s="4"/>
      <c r="AD778" s="4">
        <f t="shared" si="12"/>
        <v>19</v>
      </c>
    </row>
    <row r="779" spans="1:30" ht="27" thickBot="1" x14ac:dyDescent="0.3">
      <c r="A779" s="3">
        <v>45057.449930555558</v>
      </c>
      <c r="B779" s="4" t="s">
        <v>241</v>
      </c>
      <c r="C779" s="4" t="s">
        <v>606</v>
      </c>
      <c r="D779" s="31" t="s">
        <v>42</v>
      </c>
      <c r="E779" s="4" t="s">
        <v>1468</v>
      </c>
      <c r="F779" s="5">
        <v>620053900</v>
      </c>
      <c r="G779" s="4"/>
      <c r="H779" s="4" t="s">
        <v>610</v>
      </c>
      <c r="I779" s="5">
        <v>11</v>
      </c>
      <c r="J779" s="4" t="s">
        <v>38</v>
      </c>
      <c r="K779" s="5">
        <v>7</v>
      </c>
      <c r="L779" s="4" t="s">
        <v>729</v>
      </c>
      <c r="M779" s="4" t="s">
        <v>246</v>
      </c>
      <c r="N779" s="4" t="s">
        <v>33</v>
      </c>
      <c r="O779" s="6">
        <v>45057</v>
      </c>
      <c r="P779" s="4" t="s">
        <v>706</v>
      </c>
      <c r="Q779" s="4" t="s">
        <v>247</v>
      </c>
      <c r="R779" s="4" t="s">
        <v>36</v>
      </c>
      <c r="S779" s="4" t="s">
        <v>59</v>
      </c>
      <c r="T779" s="5">
        <v>4</v>
      </c>
      <c r="U779" s="6">
        <v>45057</v>
      </c>
      <c r="V779" s="4" t="s">
        <v>1353</v>
      </c>
      <c r="W779" s="4" t="s">
        <v>1379</v>
      </c>
      <c r="X779" s="4"/>
      <c r="Y779" s="4"/>
      <c r="Z779" s="4"/>
      <c r="AA779" s="4"/>
      <c r="AB779" s="4"/>
      <c r="AC779" s="4"/>
      <c r="AD779" s="4">
        <f t="shared" si="12"/>
        <v>19</v>
      </c>
    </row>
    <row r="780" spans="1:30" ht="27" thickBot="1" x14ac:dyDescent="0.3">
      <c r="A780" s="3">
        <v>45057.468981481485</v>
      </c>
      <c r="B780" s="4" t="s">
        <v>1770</v>
      </c>
      <c r="C780" s="4" t="s">
        <v>254</v>
      </c>
      <c r="D780" s="31" t="s">
        <v>42</v>
      </c>
      <c r="E780" s="8" t="s">
        <v>1469</v>
      </c>
      <c r="F780" s="9">
        <v>623732135</v>
      </c>
      <c r="G780" s="9">
        <v>623732135</v>
      </c>
      <c r="H780" s="8" t="s">
        <v>476</v>
      </c>
      <c r="I780" s="9">
        <v>8</v>
      </c>
      <c r="J780" s="8" t="s">
        <v>38</v>
      </c>
      <c r="K780" s="9">
        <v>9</v>
      </c>
      <c r="L780" s="8" t="s">
        <v>512</v>
      </c>
      <c r="M780" s="8" t="s">
        <v>512</v>
      </c>
      <c r="N780" s="8" t="s">
        <v>33</v>
      </c>
      <c r="O780" s="28">
        <v>45058</v>
      </c>
      <c r="P780" s="8"/>
      <c r="Q780" s="8" t="s">
        <v>405</v>
      </c>
      <c r="R780" s="8" t="s">
        <v>36</v>
      </c>
      <c r="S780" s="8" t="s">
        <v>59</v>
      </c>
      <c r="T780" s="9">
        <v>9</v>
      </c>
      <c r="U780" s="28">
        <v>45058</v>
      </c>
      <c r="V780" s="4" t="s">
        <v>1353</v>
      </c>
      <c r="W780" s="10" t="s">
        <v>690</v>
      </c>
      <c r="X780" s="4"/>
      <c r="Y780" s="4"/>
      <c r="Z780" s="4"/>
      <c r="AA780" s="4"/>
      <c r="AB780" s="4"/>
      <c r="AC780" s="4"/>
      <c r="AD780" s="4">
        <f t="shared" si="12"/>
        <v>19</v>
      </c>
    </row>
    <row r="781" spans="1:30" ht="27" thickBot="1" x14ac:dyDescent="0.3">
      <c r="A781" s="3">
        <v>45057.471192129633</v>
      </c>
      <c r="B781" s="4" t="s">
        <v>1770</v>
      </c>
      <c r="C781" s="4" t="s">
        <v>254</v>
      </c>
      <c r="D781" s="31" t="s">
        <v>42</v>
      </c>
      <c r="E781" s="8" t="s">
        <v>1470</v>
      </c>
      <c r="F781" s="9">
        <v>628685171</v>
      </c>
      <c r="G781" s="9">
        <v>628685171</v>
      </c>
      <c r="H781" s="8" t="s">
        <v>476</v>
      </c>
      <c r="I781" s="9">
        <v>5</v>
      </c>
      <c r="J781" s="8" t="s">
        <v>38</v>
      </c>
      <c r="K781" s="9">
        <v>3</v>
      </c>
      <c r="L781" s="8" t="s">
        <v>1222</v>
      </c>
      <c r="M781" s="8" t="s">
        <v>1222</v>
      </c>
      <c r="N781" s="8" t="s">
        <v>57</v>
      </c>
      <c r="O781" s="28">
        <v>45059</v>
      </c>
      <c r="P781" s="8"/>
      <c r="Q781" s="8" t="s">
        <v>405</v>
      </c>
      <c r="R781" s="8" t="s">
        <v>252</v>
      </c>
      <c r="S781" s="8" t="s">
        <v>59</v>
      </c>
      <c r="T781" s="9">
        <v>3</v>
      </c>
      <c r="U781" s="28">
        <v>45058</v>
      </c>
      <c r="V781" s="4" t="s">
        <v>1353</v>
      </c>
      <c r="W781" s="10" t="s">
        <v>745</v>
      </c>
      <c r="X781" s="4"/>
      <c r="Y781" s="4"/>
      <c r="Z781" s="4"/>
      <c r="AA781" s="4"/>
      <c r="AB781" s="4"/>
      <c r="AC781" s="4"/>
      <c r="AD781" s="4">
        <f t="shared" si="12"/>
        <v>19</v>
      </c>
    </row>
    <row r="782" spans="1:30" ht="27" thickBot="1" x14ac:dyDescent="0.3">
      <c r="A782" s="3">
        <v>45057.472812499997</v>
      </c>
      <c r="B782" s="4" t="s">
        <v>1770</v>
      </c>
      <c r="C782" s="4" t="s">
        <v>254</v>
      </c>
      <c r="D782" s="31" t="s">
        <v>42</v>
      </c>
      <c r="E782" s="8" t="s">
        <v>1471</v>
      </c>
      <c r="F782" s="9">
        <v>621867404</v>
      </c>
      <c r="G782" s="9">
        <v>621867404</v>
      </c>
      <c r="H782" s="8" t="s">
        <v>476</v>
      </c>
      <c r="I782" s="9">
        <v>1</v>
      </c>
      <c r="J782" s="8" t="s">
        <v>38</v>
      </c>
      <c r="K782" s="9">
        <v>1</v>
      </c>
      <c r="L782" s="8" t="s">
        <v>512</v>
      </c>
      <c r="M782" s="8" t="s">
        <v>512</v>
      </c>
      <c r="N782" s="8" t="s">
        <v>33</v>
      </c>
      <c r="O782" s="28">
        <v>45060</v>
      </c>
      <c r="P782" s="8"/>
      <c r="Q782" s="8" t="s">
        <v>405</v>
      </c>
      <c r="R782" s="8" t="s">
        <v>36</v>
      </c>
      <c r="S782" s="8" t="s">
        <v>59</v>
      </c>
      <c r="T782" s="9">
        <v>1</v>
      </c>
      <c r="U782" s="28">
        <v>45058</v>
      </c>
      <c r="V782" s="4" t="s">
        <v>1353</v>
      </c>
      <c r="W782" s="10" t="s">
        <v>745</v>
      </c>
      <c r="X782" s="4"/>
      <c r="Y782" s="4"/>
      <c r="Z782" s="4"/>
      <c r="AA782" s="4"/>
      <c r="AB782" s="4"/>
      <c r="AC782" s="4"/>
      <c r="AD782" s="4">
        <f t="shared" si="12"/>
        <v>19</v>
      </c>
    </row>
    <row r="783" spans="1:30" ht="27" thickBot="1" x14ac:dyDescent="0.3">
      <c r="A783" s="3">
        <v>45057.474953703706</v>
      </c>
      <c r="B783" s="4" t="s">
        <v>1770</v>
      </c>
      <c r="C783" s="4" t="s">
        <v>254</v>
      </c>
      <c r="D783" s="31" t="s">
        <v>42</v>
      </c>
      <c r="E783" s="8" t="s">
        <v>1472</v>
      </c>
      <c r="F783" s="9">
        <v>628401231</v>
      </c>
      <c r="G783" s="9">
        <v>628401231</v>
      </c>
      <c r="H783" s="8" t="s">
        <v>476</v>
      </c>
      <c r="I783" s="9">
        <v>55</v>
      </c>
      <c r="J783" s="8" t="s">
        <v>38</v>
      </c>
      <c r="K783" s="9">
        <v>10</v>
      </c>
      <c r="L783" s="8" t="s">
        <v>512</v>
      </c>
      <c r="M783" s="8" t="s">
        <v>512</v>
      </c>
      <c r="N783" s="8" t="s">
        <v>90</v>
      </c>
      <c r="O783" s="28">
        <v>45059</v>
      </c>
      <c r="P783" s="8"/>
      <c r="Q783" s="8" t="s">
        <v>405</v>
      </c>
      <c r="R783" s="8" t="s">
        <v>36</v>
      </c>
      <c r="S783" s="8" t="s">
        <v>59</v>
      </c>
      <c r="T783" s="9">
        <v>10</v>
      </c>
      <c r="U783" s="28">
        <v>45058</v>
      </c>
      <c r="V783" s="4" t="s">
        <v>1353</v>
      </c>
      <c r="W783" s="10" t="s">
        <v>690</v>
      </c>
      <c r="X783" s="4"/>
      <c r="Y783" s="4"/>
      <c r="Z783" s="4"/>
      <c r="AA783" s="4"/>
      <c r="AB783" s="4"/>
      <c r="AC783" s="4"/>
      <c r="AD783" s="4">
        <f t="shared" si="12"/>
        <v>19</v>
      </c>
    </row>
    <row r="784" spans="1:30" ht="27" thickBot="1" x14ac:dyDescent="0.3">
      <c r="A784" s="3">
        <v>45057.477071759262</v>
      </c>
      <c r="B784" s="4" t="s">
        <v>1770</v>
      </c>
      <c r="C784" s="4" t="s">
        <v>254</v>
      </c>
      <c r="D784" s="31" t="s">
        <v>42</v>
      </c>
      <c r="E784" s="8" t="s">
        <v>1473</v>
      </c>
      <c r="F784" s="9">
        <v>622557752</v>
      </c>
      <c r="G784" s="9">
        <v>622557752</v>
      </c>
      <c r="H784" s="8" t="s">
        <v>476</v>
      </c>
      <c r="I784" s="9">
        <v>1</v>
      </c>
      <c r="J784" s="8" t="s">
        <v>38</v>
      </c>
      <c r="K784" s="9">
        <v>1</v>
      </c>
      <c r="L784" s="8" t="s">
        <v>751</v>
      </c>
      <c r="M784" s="8" t="s">
        <v>751</v>
      </c>
      <c r="N784" s="8" t="s">
        <v>33</v>
      </c>
      <c r="O784" s="28">
        <v>45060</v>
      </c>
      <c r="P784" s="8"/>
      <c r="Q784" s="8" t="s">
        <v>405</v>
      </c>
      <c r="R784" s="8" t="s">
        <v>36</v>
      </c>
      <c r="S784" s="8" t="s">
        <v>59</v>
      </c>
      <c r="T784" s="9">
        <v>1</v>
      </c>
      <c r="U784" s="28">
        <v>45058</v>
      </c>
      <c r="V784" s="4" t="s">
        <v>1353</v>
      </c>
      <c r="W784" s="10" t="s">
        <v>745</v>
      </c>
      <c r="X784" s="4"/>
      <c r="Y784" s="4"/>
      <c r="Z784" s="4"/>
      <c r="AA784" s="4"/>
      <c r="AB784" s="4"/>
      <c r="AC784" s="4"/>
      <c r="AD784" s="4">
        <f t="shared" si="12"/>
        <v>19</v>
      </c>
    </row>
    <row r="785" spans="1:30" ht="39.75" thickBot="1" x14ac:dyDescent="0.3">
      <c r="A785" s="3">
        <v>45057.478726851848</v>
      </c>
      <c r="B785" s="4" t="s">
        <v>876</v>
      </c>
      <c r="C785" s="4" t="s">
        <v>890</v>
      </c>
      <c r="D785" s="31" t="s">
        <v>42</v>
      </c>
      <c r="E785" s="8" t="s">
        <v>1474</v>
      </c>
      <c r="F785" s="9">
        <v>628169348</v>
      </c>
      <c r="G785" s="8"/>
      <c r="H785" s="8" t="s">
        <v>879</v>
      </c>
      <c r="I785" s="9">
        <v>5</v>
      </c>
      <c r="J785" s="8" t="s">
        <v>101</v>
      </c>
      <c r="K785" s="9">
        <v>4</v>
      </c>
      <c r="L785" s="8" t="s">
        <v>881</v>
      </c>
      <c r="M785" s="8" t="s">
        <v>1475</v>
      </c>
      <c r="N785" s="8" t="s">
        <v>57</v>
      </c>
      <c r="O785" s="28">
        <v>45071</v>
      </c>
      <c r="P785" s="8"/>
      <c r="Q785" s="8" t="s">
        <v>882</v>
      </c>
      <c r="R785" s="8" t="s">
        <v>36</v>
      </c>
      <c r="S785" s="8"/>
      <c r="T785" s="8"/>
      <c r="U785" s="8"/>
      <c r="V785" s="4"/>
      <c r="W785" s="4"/>
      <c r="X785" s="4"/>
      <c r="Y785" s="4"/>
      <c r="Z785" s="4"/>
      <c r="AA785" s="4"/>
      <c r="AB785" s="4"/>
      <c r="AC785" s="4"/>
      <c r="AD785" s="4">
        <f t="shared" si="12"/>
        <v>19</v>
      </c>
    </row>
    <row r="786" spans="1:30" ht="27" thickBot="1" x14ac:dyDescent="0.3">
      <c r="A786" s="3">
        <v>45057.479791666665</v>
      </c>
      <c r="B786" s="4" t="s">
        <v>1770</v>
      </c>
      <c r="C786" s="4" t="s">
        <v>254</v>
      </c>
      <c r="D786" s="31" t="s">
        <v>42</v>
      </c>
      <c r="E786" s="8" t="s">
        <v>1052</v>
      </c>
      <c r="F786" s="9">
        <v>626857580</v>
      </c>
      <c r="G786" s="9">
        <v>626855780</v>
      </c>
      <c r="H786" s="8" t="s">
        <v>476</v>
      </c>
      <c r="I786" s="9">
        <v>3</v>
      </c>
      <c r="J786" s="8" t="s">
        <v>38</v>
      </c>
      <c r="K786" s="9">
        <v>1</v>
      </c>
      <c r="L786" s="8" t="s">
        <v>591</v>
      </c>
      <c r="M786" s="8" t="s">
        <v>591</v>
      </c>
      <c r="N786" s="8" t="s">
        <v>41</v>
      </c>
      <c r="O786" s="28">
        <v>45059</v>
      </c>
      <c r="P786" s="8"/>
      <c r="Q786" s="8" t="s">
        <v>405</v>
      </c>
      <c r="R786" s="8" t="s">
        <v>36</v>
      </c>
      <c r="S786" s="8" t="s">
        <v>59</v>
      </c>
      <c r="T786" s="9">
        <v>1</v>
      </c>
      <c r="U786" s="28">
        <v>45058</v>
      </c>
      <c r="V786" s="4" t="s">
        <v>1353</v>
      </c>
      <c r="W786" s="10" t="s">
        <v>745</v>
      </c>
      <c r="X786" s="4"/>
      <c r="Y786" s="4"/>
      <c r="Z786" s="4"/>
      <c r="AA786" s="4"/>
      <c r="AB786" s="4"/>
      <c r="AC786" s="4"/>
      <c r="AD786" s="4">
        <f t="shared" si="12"/>
        <v>19</v>
      </c>
    </row>
    <row r="787" spans="1:30" ht="27" thickBot="1" x14ac:dyDescent="0.3">
      <c r="A787" s="3">
        <v>45057.481782407405</v>
      </c>
      <c r="B787" s="4" t="s">
        <v>1770</v>
      </c>
      <c r="C787" s="4" t="s">
        <v>254</v>
      </c>
      <c r="D787" s="31" t="s">
        <v>42</v>
      </c>
      <c r="E787" s="8" t="s">
        <v>687</v>
      </c>
      <c r="F787" s="9">
        <v>656766360</v>
      </c>
      <c r="G787" s="9">
        <v>656767360</v>
      </c>
      <c r="H787" s="8" t="s">
        <v>476</v>
      </c>
      <c r="I787" s="9">
        <v>8</v>
      </c>
      <c r="J787" s="8" t="s">
        <v>38</v>
      </c>
      <c r="K787" s="9">
        <v>2</v>
      </c>
      <c r="L787" s="8" t="s">
        <v>568</v>
      </c>
      <c r="M787" s="8" t="s">
        <v>568</v>
      </c>
      <c r="N787" s="8" t="s">
        <v>90</v>
      </c>
      <c r="O787" s="28">
        <v>45060</v>
      </c>
      <c r="P787" s="8"/>
      <c r="Q787" s="8" t="s">
        <v>405</v>
      </c>
      <c r="R787" s="8" t="s">
        <v>36</v>
      </c>
      <c r="S787" s="8" t="s">
        <v>59</v>
      </c>
      <c r="T787" s="9">
        <v>2</v>
      </c>
      <c r="U787" s="28">
        <v>45058</v>
      </c>
      <c r="V787" s="4" t="s">
        <v>1353</v>
      </c>
      <c r="W787" s="10" t="s">
        <v>684</v>
      </c>
      <c r="X787" s="4"/>
      <c r="Y787" s="4"/>
      <c r="Z787" s="4"/>
      <c r="AA787" s="4"/>
      <c r="AB787" s="4"/>
      <c r="AC787" s="4"/>
      <c r="AD787" s="4">
        <f t="shared" si="12"/>
        <v>19</v>
      </c>
    </row>
    <row r="788" spans="1:30" ht="27" thickBot="1" x14ac:dyDescent="0.3">
      <c r="A788" s="3">
        <v>45057.483553240738</v>
      </c>
      <c r="B788" s="4" t="s">
        <v>1770</v>
      </c>
      <c r="C788" s="4" t="s">
        <v>254</v>
      </c>
      <c r="D788" s="31" t="s">
        <v>42</v>
      </c>
      <c r="E788" s="8" t="s">
        <v>157</v>
      </c>
      <c r="F788" s="9">
        <v>622605012</v>
      </c>
      <c r="G788" s="9">
        <v>622605012</v>
      </c>
      <c r="H788" s="8" t="s">
        <v>476</v>
      </c>
      <c r="I788" s="9">
        <v>3</v>
      </c>
      <c r="J788" s="8" t="s">
        <v>38</v>
      </c>
      <c r="K788" s="9">
        <v>2</v>
      </c>
      <c r="L788" s="8" t="s">
        <v>512</v>
      </c>
      <c r="M788" s="8" t="s">
        <v>512</v>
      </c>
      <c r="N788" s="8" t="s">
        <v>33</v>
      </c>
      <c r="O788" s="28">
        <v>45058</v>
      </c>
      <c r="P788" s="8"/>
      <c r="Q788" s="8" t="s">
        <v>405</v>
      </c>
      <c r="R788" s="8" t="s">
        <v>36</v>
      </c>
      <c r="S788" s="8" t="s">
        <v>59</v>
      </c>
      <c r="T788" s="9">
        <v>2</v>
      </c>
      <c r="U788" s="28">
        <v>45058</v>
      </c>
      <c r="V788" s="4" t="s">
        <v>1353</v>
      </c>
      <c r="W788" s="10" t="s">
        <v>686</v>
      </c>
      <c r="X788" s="4"/>
      <c r="Y788" s="4"/>
      <c r="Z788" s="4"/>
      <c r="AA788" s="4"/>
      <c r="AB788" s="4"/>
      <c r="AC788" s="4"/>
      <c r="AD788" s="4">
        <f t="shared" si="12"/>
        <v>19</v>
      </c>
    </row>
    <row r="789" spans="1:30" ht="27" thickBot="1" x14ac:dyDescent="0.3">
      <c r="A789" s="3">
        <v>45057.485150462962</v>
      </c>
      <c r="B789" s="4" t="s">
        <v>1770</v>
      </c>
      <c r="C789" s="4" t="s">
        <v>254</v>
      </c>
      <c r="D789" s="31" t="s">
        <v>42</v>
      </c>
      <c r="E789" s="8" t="s">
        <v>1476</v>
      </c>
      <c r="F789" s="9">
        <v>622900366</v>
      </c>
      <c r="G789" s="9">
        <v>622900366</v>
      </c>
      <c r="H789" s="8" t="s">
        <v>476</v>
      </c>
      <c r="I789" s="9">
        <v>12</v>
      </c>
      <c r="J789" s="8" t="s">
        <v>38</v>
      </c>
      <c r="K789" s="9">
        <v>5</v>
      </c>
      <c r="L789" s="8" t="s">
        <v>591</v>
      </c>
      <c r="M789" s="8" t="s">
        <v>591</v>
      </c>
      <c r="N789" s="8" t="s">
        <v>41</v>
      </c>
      <c r="O789" s="28">
        <v>45060</v>
      </c>
      <c r="P789" s="8"/>
      <c r="Q789" s="8" t="s">
        <v>405</v>
      </c>
      <c r="R789" s="8" t="s">
        <v>36</v>
      </c>
      <c r="S789" s="8" t="s">
        <v>59</v>
      </c>
      <c r="T789" s="9">
        <v>5</v>
      </c>
      <c r="U789" s="28">
        <v>45058</v>
      </c>
      <c r="V789" s="4" t="s">
        <v>1353</v>
      </c>
      <c r="W789" s="10" t="s">
        <v>684</v>
      </c>
      <c r="X789" s="4"/>
      <c r="Y789" s="4"/>
      <c r="Z789" s="4"/>
      <c r="AA789" s="4"/>
      <c r="AB789" s="4"/>
      <c r="AC789" s="4"/>
      <c r="AD789" s="4">
        <f t="shared" si="12"/>
        <v>19</v>
      </c>
    </row>
    <row r="790" spans="1:30" ht="39.75" thickBot="1" x14ac:dyDescent="0.3">
      <c r="A790" s="3">
        <v>45057.487685185188</v>
      </c>
      <c r="B790" s="4" t="s">
        <v>1770</v>
      </c>
      <c r="C790" s="4" t="s">
        <v>254</v>
      </c>
      <c r="D790" s="31" t="s">
        <v>42</v>
      </c>
      <c r="E790" s="8" t="s">
        <v>1477</v>
      </c>
      <c r="F790" s="9">
        <v>626834750</v>
      </c>
      <c r="G790" s="9">
        <v>626834750</v>
      </c>
      <c r="H790" s="8" t="s">
        <v>476</v>
      </c>
      <c r="I790" s="9">
        <v>55</v>
      </c>
      <c r="J790" s="8" t="s">
        <v>38</v>
      </c>
      <c r="K790" s="9">
        <v>9</v>
      </c>
      <c r="L790" s="8" t="s">
        <v>1478</v>
      </c>
      <c r="M790" s="8" t="s">
        <v>1478</v>
      </c>
      <c r="N790" s="8" t="s">
        <v>41</v>
      </c>
      <c r="O790" s="28">
        <v>45059</v>
      </c>
      <c r="P790" s="8"/>
      <c r="Q790" s="8" t="s">
        <v>405</v>
      </c>
      <c r="R790" s="8" t="s">
        <v>36</v>
      </c>
      <c r="S790" s="8" t="s">
        <v>59</v>
      </c>
      <c r="T790" s="9">
        <v>9</v>
      </c>
      <c r="U790" s="28">
        <v>45058</v>
      </c>
      <c r="V790" s="4" t="s">
        <v>1353</v>
      </c>
      <c r="W790" s="10" t="s">
        <v>690</v>
      </c>
      <c r="X790" s="4"/>
      <c r="Y790" s="4"/>
      <c r="Z790" s="4"/>
      <c r="AA790" s="4"/>
      <c r="AB790" s="4"/>
      <c r="AC790" s="4"/>
      <c r="AD790" s="4">
        <f t="shared" si="12"/>
        <v>19</v>
      </c>
    </row>
    <row r="791" spans="1:30" ht="27" thickBot="1" x14ac:dyDescent="0.3">
      <c r="A791" s="3">
        <v>45057.489398148151</v>
      </c>
      <c r="B791" s="4" t="s">
        <v>1770</v>
      </c>
      <c r="C791" s="4" t="s">
        <v>254</v>
      </c>
      <c r="D791" s="31" t="s">
        <v>42</v>
      </c>
      <c r="E791" s="8" t="s">
        <v>1479</v>
      </c>
      <c r="F791" s="9">
        <v>621598957</v>
      </c>
      <c r="G791" s="9">
        <v>621598957</v>
      </c>
      <c r="H791" s="8" t="s">
        <v>476</v>
      </c>
      <c r="I791" s="9">
        <v>15</v>
      </c>
      <c r="J791" s="8" t="s">
        <v>38</v>
      </c>
      <c r="K791" s="9">
        <v>3</v>
      </c>
      <c r="L791" s="8" t="s">
        <v>512</v>
      </c>
      <c r="M791" s="8" t="s">
        <v>512</v>
      </c>
      <c r="N791" s="8" t="s">
        <v>33</v>
      </c>
      <c r="O791" s="28">
        <v>45060</v>
      </c>
      <c r="P791" s="8"/>
      <c r="Q791" s="8" t="s">
        <v>405</v>
      </c>
      <c r="R791" s="8" t="s">
        <v>36</v>
      </c>
      <c r="S791" s="8" t="s">
        <v>59</v>
      </c>
      <c r="T791" s="9">
        <v>3</v>
      </c>
      <c r="U791" s="28">
        <v>45058</v>
      </c>
      <c r="V791" s="4" t="s">
        <v>1353</v>
      </c>
      <c r="W791" s="10" t="s">
        <v>745</v>
      </c>
      <c r="X791" s="4"/>
      <c r="Y791" s="4"/>
      <c r="Z791" s="4"/>
      <c r="AA791" s="4"/>
      <c r="AB791" s="4"/>
      <c r="AC791" s="4"/>
      <c r="AD791" s="4">
        <f t="shared" si="12"/>
        <v>19</v>
      </c>
    </row>
    <row r="792" spans="1:30" ht="39.75" thickBot="1" x14ac:dyDescent="0.3">
      <c r="A792" s="3">
        <v>45057.490694444445</v>
      </c>
      <c r="B792" s="4" t="s">
        <v>876</v>
      </c>
      <c r="C792" s="4" t="s">
        <v>890</v>
      </c>
      <c r="D792" s="31" t="s">
        <v>27</v>
      </c>
      <c r="E792" s="8" t="s">
        <v>1480</v>
      </c>
      <c r="F792" s="9">
        <v>622465274</v>
      </c>
      <c r="G792" s="8"/>
      <c r="H792" s="8" t="s">
        <v>879</v>
      </c>
      <c r="I792" s="9">
        <v>14</v>
      </c>
      <c r="J792" s="8" t="s">
        <v>101</v>
      </c>
      <c r="K792" s="9">
        <v>10</v>
      </c>
      <c r="L792" s="8" t="s">
        <v>881</v>
      </c>
      <c r="M792" s="8" t="s">
        <v>323</v>
      </c>
      <c r="N792" s="8" t="s">
        <v>57</v>
      </c>
      <c r="O792" s="28">
        <v>45071</v>
      </c>
      <c r="P792" s="8"/>
      <c r="Q792" s="8" t="s">
        <v>882</v>
      </c>
      <c r="R792" s="8" t="s">
        <v>36</v>
      </c>
      <c r="S792" s="8"/>
      <c r="T792" s="8"/>
      <c r="U792" s="8"/>
      <c r="V792" s="4"/>
      <c r="W792" s="4"/>
      <c r="X792" s="4"/>
      <c r="Y792" s="4"/>
      <c r="Z792" s="4"/>
      <c r="AA792" s="4"/>
      <c r="AB792" s="4"/>
      <c r="AC792" s="4"/>
      <c r="AD792" s="4">
        <f t="shared" si="12"/>
        <v>19</v>
      </c>
    </row>
    <row r="793" spans="1:30" ht="27" thickBot="1" x14ac:dyDescent="0.3">
      <c r="A793" s="3">
        <v>45057.491342592592</v>
      </c>
      <c r="B793" s="4" t="s">
        <v>1770</v>
      </c>
      <c r="C793" s="4" t="s">
        <v>254</v>
      </c>
      <c r="D793" s="31" t="s">
        <v>42</v>
      </c>
      <c r="E793" s="8" t="s">
        <v>1481</v>
      </c>
      <c r="F793" s="9">
        <v>623925687</v>
      </c>
      <c r="G793" s="9">
        <v>623925687</v>
      </c>
      <c r="H793" s="8" t="s">
        <v>476</v>
      </c>
      <c r="I793" s="9">
        <v>12</v>
      </c>
      <c r="J793" s="8" t="s">
        <v>38</v>
      </c>
      <c r="K793" s="9">
        <v>3</v>
      </c>
      <c r="L793" s="8" t="s">
        <v>568</v>
      </c>
      <c r="M793" s="8" t="s">
        <v>568</v>
      </c>
      <c r="N793" s="8" t="s">
        <v>90</v>
      </c>
      <c r="O793" s="28">
        <v>45060</v>
      </c>
      <c r="P793" s="8"/>
      <c r="Q793" s="8" t="s">
        <v>405</v>
      </c>
      <c r="R793" s="8" t="s">
        <v>36</v>
      </c>
      <c r="S793" s="8" t="s">
        <v>59</v>
      </c>
      <c r="T793" s="9">
        <v>3</v>
      </c>
      <c r="U793" s="28">
        <v>45058</v>
      </c>
      <c r="V793" s="4" t="s">
        <v>1353</v>
      </c>
      <c r="W793" s="10" t="s">
        <v>745</v>
      </c>
      <c r="X793" s="4"/>
      <c r="Y793" s="4"/>
      <c r="Z793" s="4"/>
      <c r="AA793" s="4"/>
      <c r="AB793" s="4"/>
      <c r="AC793" s="4"/>
      <c r="AD793" s="4">
        <f t="shared" si="12"/>
        <v>19</v>
      </c>
    </row>
    <row r="794" spans="1:30" ht="27" thickBot="1" x14ac:dyDescent="0.3">
      <c r="A794" s="3">
        <v>45057.521319444444</v>
      </c>
      <c r="B794" s="4" t="s">
        <v>1769</v>
      </c>
      <c r="C794" s="4" t="s">
        <v>1117</v>
      </c>
      <c r="D794" s="31" t="s">
        <v>42</v>
      </c>
      <c r="E794" s="4" t="s">
        <v>1482</v>
      </c>
      <c r="F794" s="5">
        <v>622427175</v>
      </c>
      <c r="G794" s="5">
        <v>622427175</v>
      </c>
      <c r="H794" s="4" t="s">
        <v>1115</v>
      </c>
      <c r="I794" s="5">
        <v>27</v>
      </c>
      <c r="J794" s="4" t="s">
        <v>38</v>
      </c>
      <c r="K794" s="5">
        <v>4</v>
      </c>
      <c r="L794" s="4" t="s">
        <v>93</v>
      </c>
      <c r="M794" s="4" t="s">
        <v>93</v>
      </c>
      <c r="N794" s="4" t="s">
        <v>47</v>
      </c>
      <c r="O794" s="6">
        <v>45057</v>
      </c>
      <c r="P794" s="4" t="s">
        <v>574</v>
      </c>
      <c r="Q794" s="4" t="s">
        <v>232</v>
      </c>
      <c r="R794" s="4" t="s">
        <v>36</v>
      </c>
      <c r="S794" s="4" t="s">
        <v>59</v>
      </c>
      <c r="T794" s="5">
        <v>4</v>
      </c>
      <c r="U794" s="6">
        <v>45057</v>
      </c>
      <c r="V794" s="4" t="s">
        <v>1353</v>
      </c>
      <c r="W794" s="4" t="s">
        <v>1116</v>
      </c>
      <c r="X794" s="4"/>
      <c r="Y794" s="4"/>
      <c r="Z794" s="4"/>
      <c r="AA794" s="4"/>
      <c r="AB794" s="4"/>
      <c r="AC794" s="4"/>
      <c r="AD794" s="4">
        <f t="shared" si="12"/>
        <v>19</v>
      </c>
    </row>
    <row r="795" spans="1:30" ht="27" thickBot="1" x14ac:dyDescent="0.3">
      <c r="A795" s="3">
        <v>45057.552476851852</v>
      </c>
      <c r="B795" s="4" t="s">
        <v>1086</v>
      </c>
      <c r="C795" s="4" t="s">
        <v>1483</v>
      </c>
      <c r="D795" s="31" t="s">
        <v>42</v>
      </c>
      <c r="E795" s="8" t="s">
        <v>1484</v>
      </c>
      <c r="F795" s="9">
        <v>623071025</v>
      </c>
      <c r="G795" s="8"/>
      <c r="H795" s="8" t="s">
        <v>1089</v>
      </c>
      <c r="I795" s="9">
        <v>17</v>
      </c>
      <c r="J795" s="8" t="s">
        <v>38</v>
      </c>
      <c r="K795" s="9">
        <v>2</v>
      </c>
      <c r="L795" s="4" t="s">
        <v>632</v>
      </c>
      <c r="M795" s="4" t="s">
        <v>1485</v>
      </c>
      <c r="N795" s="4" t="s">
        <v>47</v>
      </c>
      <c r="O795" s="6">
        <v>45061</v>
      </c>
      <c r="P795" s="4"/>
      <c r="Q795" s="4" t="s">
        <v>1090</v>
      </c>
      <c r="R795" s="4" t="s">
        <v>36</v>
      </c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>
        <f t="shared" si="12"/>
        <v>19</v>
      </c>
    </row>
    <row r="796" spans="1:30" ht="39.75" thickBot="1" x14ac:dyDescent="0.3">
      <c r="A796" s="3">
        <v>45057.56177083333</v>
      </c>
      <c r="B796" s="4" t="s">
        <v>1086</v>
      </c>
      <c r="C796" s="4" t="s">
        <v>1486</v>
      </c>
      <c r="D796" s="31" t="s">
        <v>27</v>
      </c>
      <c r="E796" s="4" t="s">
        <v>1487</v>
      </c>
      <c r="F796" s="5">
        <v>622373326</v>
      </c>
      <c r="G796" s="4"/>
      <c r="H796" s="4" t="s">
        <v>1281</v>
      </c>
      <c r="I796" s="5">
        <v>25</v>
      </c>
      <c r="J796" s="4" t="s">
        <v>38</v>
      </c>
      <c r="K796" s="5">
        <v>5</v>
      </c>
      <c r="L796" s="4" t="s">
        <v>1488</v>
      </c>
      <c r="M796" s="4" t="s">
        <v>1489</v>
      </c>
      <c r="N796" s="4" t="s">
        <v>33</v>
      </c>
      <c r="O796" s="6">
        <v>45061</v>
      </c>
      <c r="P796" s="4"/>
      <c r="Q796" s="4" t="s">
        <v>1090</v>
      </c>
      <c r="R796" s="4" t="s">
        <v>36</v>
      </c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>
        <f t="shared" si="12"/>
        <v>19</v>
      </c>
    </row>
    <row r="797" spans="1:30" ht="27" thickBot="1" x14ac:dyDescent="0.3">
      <c r="A797" s="3">
        <v>45057.669849537036</v>
      </c>
      <c r="B797" s="4" t="s">
        <v>1771</v>
      </c>
      <c r="C797" s="4" t="s">
        <v>496</v>
      </c>
      <c r="D797" s="31" t="s">
        <v>42</v>
      </c>
      <c r="E797" s="4" t="s">
        <v>602</v>
      </c>
      <c r="F797" s="5">
        <v>626118226</v>
      </c>
      <c r="G797" s="5">
        <v>626118226</v>
      </c>
      <c r="H797" s="4" t="s">
        <v>525</v>
      </c>
      <c r="I797" s="5">
        <v>10</v>
      </c>
      <c r="J797" s="4" t="s">
        <v>38</v>
      </c>
      <c r="K797" s="5">
        <v>2</v>
      </c>
      <c r="L797" s="4" t="s">
        <v>982</v>
      </c>
      <c r="M797" s="4" t="s">
        <v>546</v>
      </c>
      <c r="N797" s="4" t="s">
        <v>90</v>
      </c>
      <c r="O797" s="6">
        <v>45057</v>
      </c>
      <c r="P797" s="4" t="s">
        <v>523</v>
      </c>
      <c r="Q797" s="4" t="s">
        <v>500</v>
      </c>
      <c r="R797" s="4" t="s">
        <v>36</v>
      </c>
      <c r="S797" s="4" t="s">
        <v>59</v>
      </c>
      <c r="T797" s="5">
        <v>2</v>
      </c>
      <c r="U797" s="6">
        <v>45057</v>
      </c>
      <c r="V797" s="4" t="s">
        <v>1353</v>
      </c>
      <c r="W797" s="4" t="s">
        <v>918</v>
      </c>
      <c r="X797" s="4"/>
      <c r="Y797" s="4"/>
      <c r="Z797" s="4"/>
      <c r="AA797" s="4"/>
      <c r="AB797" s="4"/>
      <c r="AC797" s="4"/>
      <c r="AD797" s="4">
        <f t="shared" si="12"/>
        <v>19</v>
      </c>
    </row>
    <row r="798" spans="1:30" ht="27" thickBot="1" x14ac:dyDescent="0.3">
      <c r="A798" s="3">
        <v>45057.672685185185</v>
      </c>
      <c r="B798" s="4" t="s">
        <v>677</v>
      </c>
      <c r="C798" s="4" t="s">
        <v>678</v>
      </c>
      <c r="D798" s="31" t="s">
        <v>42</v>
      </c>
      <c r="E798" s="4" t="s">
        <v>1490</v>
      </c>
      <c r="F798" s="5">
        <v>622080455</v>
      </c>
      <c r="G798" s="4"/>
      <c r="H798" s="4" t="s">
        <v>953</v>
      </c>
      <c r="I798" s="5">
        <v>6</v>
      </c>
      <c r="J798" s="4" t="s">
        <v>38</v>
      </c>
      <c r="K798" s="5">
        <v>3</v>
      </c>
      <c r="L798" s="4" t="s">
        <v>93</v>
      </c>
      <c r="M798" s="4" t="s">
        <v>93</v>
      </c>
      <c r="N798" s="4" t="s">
        <v>47</v>
      </c>
      <c r="O798" s="6">
        <v>45058</v>
      </c>
      <c r="P798" s="4"/>
      <c r="Q798" s="4" t="s">
        <v>682</v>
      </c>
      <c r="R798" s="4" t="s">
        <v>36</v>
      </c>
      <c r="S798" s="4" t="s">
        <v>59</v>
      </c>
      <c r="T798" s="5">
        <v>3</v>
      </c>
      <c r="U798" s="6">
        <v>45058</v>
      </c>
      <c r="V798" s="4" t="s">
        <v>1353</v>
      </c>
      <c r="W798" s="4" t="s">
        <v>1383</v>
      </c>
      <c r="X798" s="4"/>
      <c r="Y798" s="4"/>
      <c r="Z798" s="4"/>
      <c r="AA798" s="4"/>
      <c r="AB798" s="4"/>
      <c r="AC798" s="4"/>
      <c r="AD798" s="4">
        <f t="shared" si="12"/>
        <v>19</v>
      </c>
    </row>
    <row r="799" spans="1:30" ht="39.75" thickBot="1" x14ac:dyDescent="0.3">
      <c r="A799" s="3">
        <v>45057.677002314813</v>
      </c>
      <c r="B799" s="4" t="s">
        <v>115</v>
      </c>
      <c r="C799" s="4" t="s">
        <v>116</v>
      </c>
      <c r="D799" s="31" t="s">
        <v>42</v>
      </c>
      <c r="E799" s="4" t="s">
        <v>942</v>
      </c>
      <c r="F799" s="5">
        <v>621034713</v>
      </c>
      <c r="G799" s="4"/>
      <c r="H799" s="4" t="s">
        <v>925</v>
      </c>
      <c r="I799" s="5">
        <v>55</v>
      </c>
      <c r="J799" s="4" t="s">
        <v>38</v>
      </c>
      <c r="K799" s="5">
        <v>1</v>
      </c>
      <c r="L799" s="4" t="s">
        <v>146</v>
      </c>
      <c r="M799" s="4" t="s">
        <v>395</v>
      </c>
      <c r="N799" s="4" t="s">
        <v>47</v>
      </c>
      <c r="O799" s="6">
        <v>45244</v>
      </c>
      <c r="P799" s="4" t="s">
        <v>927</v>
      </c>
      <c r="Q799" s="4" t="s">
        <v>122</v>
      </c>
      <c r="R799" s="4" t="s">
        <v>36</v>
      </c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>
        <f t="shared" si="12"/>
        <v>19</v>
      </c>
    </row>
    <row r="800" spans="1:30" ht="116.25" thickBot="1" x14ac:dyDescent="0.3">
      <c r="A800" s="3">
        <v>45057.681087962963</v>
      </c>
      <c r="B800" s="4" t="s">
        <v>234</v>
      </c>
      <c r="C800" s="4" t="s">
        <v>235</v>
      </c>
      <c r="D800" s="31" t="s">
        <v>42</v>
      </c>
      <c r="E800" s="4" t="s">
        <v>1491</v>
      </c>
      <c r="F800" s="5">
        <v>628990054</v>
      </c>
      <c r="G800" s="4"/>
      <c r="H800" s="4" t="s">
        <v>237</v>
      </c>
      <c r="I800" s="5">
        <v>87</v>
      </c>
      <c r="J800" s="4" t="s">
        <v>38</v>
      </c>
      <c r="K800" s="5">
        <v>4</v>
      </c>
      <c r="L800" s="4" t="s">
        <v>52</v>
      </c>
      <c r="M800" s="4" t="s">
        <v>52</v>
      </c>
      <c r="N800" s="4" t="s">
        <v>47</v>
      </c>
      <c r="O800" s="6">
        <v>45058</v>
      </c>
      <c r="P800" s="4" t="s">
        <v>1492</v>
      </c>
      <c r="Q800" s="4" t="s">
        <v>240</v>
      </c>
      <c r="R800" s="4" t="s">
        <v>36</v>
      </c>
      <c r="S800" s="4" t="s">
        <v>59</v>
      </c>
      <c r="T800" s="5">
        <v>4</v>
      </c>
      <c r="U800" s="6">
        <v>45058</v>
      </c>
      <c r="V800" s="4" t="s">
        <v>1353</v>
      </c>
      <c r="W800" s="4" t="s">
        <v>694</v>
      </c>
      <c r="X800" s="4"/>
      <c r="Y800" s="4"/>
      <c r="Z800" s="4"/>
      <c r="AA800" s="4"/>
      <c r="AB800" s="4"/>
      <c r="AC800" s="4"/>
      <c r="AD800" s="4">
        <f t="shared" si="12"/>
        <v>19</v>
      </c>
    </row>
    <row r="801" spans="1:30" ht="27" thickBot="1" x14ac:dyDescent="0.3">
      <c r="A801" s="3">
        <v>45057.689641203702</v>
      </c>
      <c r="B801" s="4" t="s">
        <v>677</v>
      </c>
      <c r="C801" s="4" t="s">
        <v>678</v>
      </c>
      <c r="D801" s="31" t="s">
        <v>42</v>
      </c>
      <c r="E801" s="4" t="s">
        <v>1493</v>
      </c>
      <c r="F801" s="5">
        <v>621477422</v>
      </c>
      <c r="G801" s="4"/>
      <c r="H801" s="4" t="s">
        <v>953</v>
      </c>
      <c r="I801" s="5">
        <v>6</v>
      </c>
      <c r="J801" s="4" t="s">
        <v>38</v>
      </c>
      <c r="K801" s="5">
        <v>1</v>
      </c>
      <c r="L801" s="4" t="s">
        <v>93</v>
      </c>
      <c r="M801" s="4" t="s">
        <v>93</v>
      </c>
      <c r="N801" s="4" t="s">
        <v>47</v>
      </c>
      <c r="O801" s="6">
        <v>45058</v>
      </c>
      <c r="P801" s="4"/>
      <c r="Q801" s="4" t="s">
        <v>682</v>
      </c>
      <c r="R801" s="4" t="s">
        <v>36</v>
      </c>
      <c r="S801" s="4" t="s">
        <v>59</v>
      </c>
      <c r="T801" s="5">
        <v>1</v>
      </c>
      <c r="U801" s="6">
        <v>45058</v>
      </c>
      <c r="V801" s="4" t="s">
        <v>1353</v>
      </c>
      <c r="W801" s="4" t="s">
        <v>1383</v>
      </c>
      <c r="X801" s="4"/>
      <c r="Y801" s="4"/>
      <c r="Z801" s="4"/>
      <c r="AA801" s="4"/>
      <c r="AB801" s="4"/>
      <c r="AC801" s="4"/>
      <c r="AD801" s="4">
        <f t="shared" si="12"/>
        <v>19</v>
      </c>
    </row>
    <row r="802" spans="1:30" ht="27" thickBot="1" x14ac:dyDescent="0.3">
      <c r="A802" s="3">
        <v>45057.707372685189</v>
      </c>
      <c r="B802" s="4" t="s">
        <v>53</v>
      </c>
      <c r="C802" s="4" t="s">
        <v>53</v>
      </c>
      <c r="D802" s="31" t="s">
        <v>42</v>
      </c>
      <c r="E802" s="4" t="s">
        <v>682</v>
      </c>
      <c r="F802" s="5">
        <v>628527904</v>
      </c>
      <c r="G802" s="4"/>
      <c r="H802" s="4" t="s">
        <v>62</v>
      </c>
      <c r="I802" s="5">
        <v>3</v>
      </c>
      <c r="J802" s="4" t="s">
        <v>30</v>
      </c>
      <c r="K802" s="5">
        <v>2</v>
      </c>
      <c r="L802" s="4" t="s">
        <v>63</v>
      </c>
      <c r="M802" s="4" t="s">
        <v>63</v>
      </c>
      <c r="N802" s="4" t="s">
        <v>47</v>
      </c>
      <c r="O802" s="6">
        <v>45058</v>
      </c>
      <c r="P802" s="4"/>
      <c r="Q802" s="4" t="s">
        <v>58</v>
      </c>
      <c r="R802" s="4" t="s">
        <v>36</v>
      </c>
      <c r="S802" s="4" t="s">
        <v>59</v>
      </c>
      <c r="T802" s="5">
        <v>2</v>
      </c>
      <c r="U802" s="6">
        <v>45057</v>
      </c>
      <c r="V802" s="4" t="s">
        <v>1353</v>
      </c>
      <c r="W802" s="4" t="s">
        <v>1287</v>
      </c>
      <c r="X802" s="4"/>
      <c r="Y802" s="4"/>
      <c r="Z802" s="4"/>
      <c r="AA802" s="4"/>
      <c r="AB802" s="4"/>
      <c r="AC802" s="4"/>
      <c r="AD802" s="4">
        <f t="shared" si="12"/>
        <v>19</v>
      </c>
    </row>
    <row r="803" spans="1:30" ht="52.5" thickBot="1" x14ac:dyDescent="0.3">
      <c r="A803" s="3">
        <v>45057.709814814814</v>
      </c>
      <c r="B803" s="4" t="s">
        <v>53</v>
      </c>
      <c r="C803" s="4" t="s">
        <v>53</v>
      </c>
      <c r="D803" s="31" t="s">
        <v>42</v>
      </c>
      <c r="E803" s="4" t="s">
        <v>1494</v>
      </c>
      <c r="F803" s="5">
        <v>622515121</v>
      </c>
      <c r="G803" s="4"/>
      <c r="H803" s="4" t="s">
        <v>69</v>
      </c>
      <c r="I803" s="5">
        <v>17</v>
      </c>
      <c r="J803" s="4" t="s">
        <v>30</v>
      </c>
      <c r="K803" s="5">
        <v>3</v>
      </c>
      <c r="L803" s="4" t="s">
        <v>56</v>
      </c>
      <c r="M803" s="4" t="s">
        <v>56</v>
      </c>
      <c r="N803" s="4" t="s">
        <v>57</v>
      </c>
      <c r="O803" s="6">
        <v>45060</v>
      </c>
      <c r="P803" s="4"/>
      <c r="Q803" s="4" t="s">
        <v>58</v>
      </c>
      <c r="R803" s="4" t="s">
        <v>36</v>
      </c>
      <c r="S803" s="4" t="s">
        <v>59</v>
      </c>
      <c r="T803" s="5">
        <v>3</v>
      </c>
      <c r="U803" s="6">
        <v>45057</v>
      </c>
      <c r="V803" s="4" t="s">
        <v>1353</v>
      </c>
      <c r="W803" s="4" t="s">
        <v>1287</v>
      </c>
      <c r="X803" s="4"/>
      <c r="Y803" s="4"/>
      <c r="Z803" s="4"/>
      <c r="AA803" s="4"/>
      <c r="AB803" s="4"/>
      <c r="AC803" s="4"/>
      <c r="AD803" s="4">
        <f t="shared" si="12"/>
        <v>19</v>
      </c>
    </row>
    <row r="804" spans="1:30" ht="27" thickBot="1" x14ac:dyDescent="0.3">
      <c r="A804" s="3">
        <v>45057.905694444446</v>
      </c>
      <c r="B804" s="4" t="s">
        <v>1772</v>
      </c>
      <c r="C804" s="4" t="s">
        <v>1248</v>
      </c>
      <c r="D804" s="31" t="s">
        <v>42</v>
      </c>
      <c r="E804" s="4" t="s">
        <v>1244</v>
      </c>
      <c r="F804" s="5">
        <v>622833959</v>
      </c>
      <c r="G804" s="4"/>
      <c r="H804" s="4" t="s">
        <v>45</v>
      </c>
      <c r="I804" s="5">
        <v>4</v>
      </c>
      <c r="J804" s="4" t="s">
        <v>38</v>
      </c>
      <c r="K804" s="5">
        <v>3</v>
      </c>
      <c r="L804" s="4" t="s">
        <v>93</v>
      </c>
      <c r="M804" s="4" t="s">
        <v>36</v>
      </c>
      <c r="N804" s="4" t="s">
        <v>47</v>
      </c>
      <c r="O804" s="6">
        <v>45054</v>
      </c>
      <c r="P804" s="4"/>
      <c r="Q804" s="4" t="s">
        <v>1246</v>
      </c>
      <c r="R804" s="4" t="s">
        <v>36</v>
      </c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>
        <f t="shared" si="12"/>
        <v>19</v>
      </c>
    </row>
    <row r="805" spans="1:30" ht="27" thickBot="1" x14ac:dyDescent="0.3">
      <c r="A805" s="3">
        <v>45057.908576388887</v>
      </c>
      <c r="B805" s="4" t="s">
        <v>1772</v>
      </c>
      <c r="C805" s="4" t="s">
        <v>1248</v>
      </c>
      <c r="D805" s="31" t="s">
        <v>42</v>
      </c>
      <c r="E805" s="4" t="s">
        <v>1495</v>
      </c>
      <c r="F805" s="5">
        <v>628601528</v>
      </c>
      <c r="G805" s="4"/>
      <c r="H805" s="4" t="s">
        <v>45</v>
      </c>
      <c r="I805" s="5">
        <v>4</v>
      </c>
      <c r="J805" s="4" t="s">
        <v>38</v>
      </c>
      <c r="K805" s="5">
        <v>1</v>
      </c>
      <c r="L805" s="4" t="s">
        <v>93</v>
      </c>
      <c r="M805" s="4" t="s">
        <v>36</v>
      </c>
      <c r="N805" s="4" t="s">
        <v>47</v>
      </c>
      <c r="O805" s="6">
        <v>45053</v>
      </c>
      <c r="P805" s="4"/>
      <c r="Q805" s="4" t="s">
        <v>1246</v>
      </c>
      <c r="R805" s="4" t="s">
        <v>36</v>
      </c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>
        <f t="shared" si="12"/>
        <v>19</v>
      </c>
    </row>
    <row r="806" spans="1:30" ht="27" thickBot="1" x14ac:dyDescent="0.3">
      <c r="A806" s="3">
        <v>45057.911354166667</v>
      </c>
      <c r="B806" s="4" t="s">
        <v>1772</v>
      </c>
      <c r="C806" s="4" t="s">
        <v>1248</v>
      </c>
      <c r="D806" s="31" t="s">
        <v>42</v>
      </c>
      <c r="E806" s="4" t="s">
        <v>1249</v>
      </c>
      <c r="F806" s="5">
        <v>620495470</v>
      </c>
      <c r="G806" s="4"/>
      <c r="H806" s="4" t="s">
        <v>45</v>
      </c>
      <c r="I806" s="5">
        <v>3</v>
      </c>
      <c r="J806" s="4" t="s">
        <v>38</v>
      </c>
      <c r="K806" s="5">
        <v>3</v>
      </c>
      <c r="L806" s="4" t="s">
        <v>36</v>
      </c>
      <c r="M806" s="4" t="s">
        <v>36</v>
      </c>
      <c r="N806" s="4" t="s">
        <v>33</v>
      </c>
      <c r="O806" s="6">
        <v>45059</v>
      </c>
      <c r="P806" s="4"/>
      <c r="Q806" s="4" t="s">
        <v>1246</v>
      </c>
      <c r="R806" s="4" t="s">
        <v>36</v>
      </c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>
        <f t="shared" si="12"/>
        <v>19</v>
      </c>
    </row>
    <row r="807" spans="1:30" ht="27" thickBot="1" x14ac:dyDescent="0.3">
      <c r="A807" s="3">
        <v>45058.384432870371</v>
      </c>
      <c r="B807" s="4" t="s">
        <v>614</v>
      </c>
      <c r="C807" s="4" t="s">
        <v>343</v>
      </c>
      <c r="D807" s="31" t="s">
        <v>42</v>
      </c>
      <c r="E807" s="8" t="s">
        <v>1496</v>
      </c>
      <c r="F807" s="5">
        <v>628518639</v>
      </c>
      <c r="G807" s="4"/>
      <c r="H807" s="4" t="s">
        <v>936</v>
      </c>
      <c r="I807" s="5">
        <v>55</v>
      </c>
      <c r="J807" s="4" t="s">
        <v>38</v>
      </c>
      <c r="K807" s="5">
        <v>2</v>
      </c>
      <c r="L807" s="4" t="s">
        <v>937</v>
      </c>
      <c r="M807" s="4" t="s">
        <v>937</v>
      </c>
      <c r="N807" s="4" t="s">
        <v>90</v>
      </c>
      <c r="O807" s="6">
        <v>45058</v>
      </c>
      <c r="P807" s="4"/>
      <c r="Q807" s="4" t="s">
        <v>616</v>
      </c>
      <c r="R807" s="4" t="s">
        <v>36</v>
      </c>
      <c r="S807" s="4" t="s">
        <v>59</v>
      </c>
      <c r="T807" s="5">
        <v>2</v>
      </c>
      <c r="U807" s="6">
        <v>45058</v>
      </c>
      <c r="V807" s="4" t="s">
        <v>1353</v>
      </c>
      <c r="W807" s="10" t="s">
        <v>933</v>
      </c>
      <c r="X807" s="4"/>
      <c r="Y807" s="4"/>
      <c r="Z807" s="4"/>
      <c r="AA807" s="4"/>
      <c r="AB807" s="4"/>
      <c r="AC807" s="4"/>
      <c r="AD807" s="4">
        <f t="shared" si="12"/>
        <v>19</v>
      </c>
    </row>
    <row r="808" spans="1:30" ht="39.75" thickBot="1" x14ac:dyDescent="0.3">
      <c r="A808" s="3">
        <v>45058.451388888891</v>
      </c>
      <c r="B808" s="4" t="s">
        <v>53</v>
      </c>
      <c r="C808" s="4" t="s">
        <v>53</v>
      </c>
      <c r="D808" s="31" t="s">
        <v>42</v>
      </c>
      <c r="E808" s="4" t="s">
        <v>1497</v>
      </c>
      <c r="F808" s="5">
        <v>622204917</v>
      </c>
      <c r="G808" s="4"/>
      <c r="H808" s="4" t="s">
        <v>62</v>
      </c>
      <c r="I808" s="5">
        <v>3</v>
      </c>
      <c r="J808" s="4" t="s">
        <v>30</v>
      </c>
      <c r="K808" s="5">
        <v>1</v>
      </c>
      <c r="L808" s="4" t="s">
        <v>56</v>
      </c>
      <c r="M808" s="4" t="s">
        <v>56</v>
      </c>
      <c r="N808" s="4" t="s">
        <v>57</v>
      </c>
      <c r="O808" s="6">
        <v>45059</v>
      </c>
      <c r="P808" s="4"/>
      <c r="Q808" s="4" t="s">
        <v>58</v>
      </c>
      <c r="R808" s="4" t="s">
        <v>36</v>
      </c>
      <c r="S808" s="4" t="s">
        <v>59</v>
      </c>
      <c r="T808" s="5">
        <v>1</v>
      </c>
      <c r="U808" s="6">
        <v>45058</v>
      </c>
      <c r="V808" s="4" t="s">
        <v>1353</v>
      </c>
      <c r="W808" s="4" t="s">
        <v>1287</v>
      </c>
      <c r="X808" s="4"/>
      <c r="Y808" s="4"/>
      <c r="Z808" s="4"/>
      <c r="AA808" s="4"/>
      <c r="AB808" s="4"/>
      <c r="AC808" s="4"/>
      <c r="AD808" s="4">
        <f t="shared" si="12"/>
        <v>19</v>
      </c>
    </row>
    <row r="809" spans="1:30" ht="27" thickBot="1" x14ac:dyDescent="0.3">
      <c r="A809" s="3">
        <v>45058.625393518516</v>
      </c>
      <c r="B809" s="4" t="s">
        <v>241</v>
      </c>
      <c r="C809" s="4" t="s">
        <v>606</v>
      </c>
      <c r="D809" s="31" t="s">
        <v>27</v>
      </c>
      <c r="E809" s="4" t="s">
        <v>1498</v>
      </c>
      <c r="F809" s="5">
        <v>621308317</v>
      </c>
      <c r="G809" s="4"/>
      <c r="H809" s="4" t="s">
        <v>244</v>
      </c>
      <c r="I809" s="5">
        <v>121</v>
      </c>
      <c r="J809" s="4" t="s">
        <v>101</v>
      </c>
      <c r="K809" s="5">
        <v>37</v>
      </c>
      <c r="L809" s="4" t="s">
        <v>723</v>
      </c>
      <c r="M809" s="4" t="s">
        <v>147</v>
      </c>
      <c r="N809" s="4" t="s">
        <v>47</v>
      </c>
      <c r="O809" s="6">
        <v>45102</v>
      </c>
      <c r="P809" s="4" t="s">
        <v>706</v>
      </c>
      <c r="Q809" s="4" t="s">
        <v>247</v>
      </c>
      <c r="R809" s="4" t="s">
        <v>36</v>
      </c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>
        <f t="shared" si="12"/>
        <v>19</v>
      </c>
    </row>
    <row r="810" spans="1:30" ht="27" thickBot="1" x14ac:dyDescent="0.3">
      <c r="A810" s="3">
        <v>45058.627349537041</v>
      </c>
      <c r="B810" s="4" t="s">
        <v>241</v>
      </c>
      <c r="C810" s="4" t="s">
        <v>606</v>
      </c>
      <c r="D810" s="31" t="s">
        <v>27</v>
      </c>
      <c r="E810" s="4" t="s">
        <v>1499</v>
      </c>
      <c r="F810" s="5">
        <v>622568113</v>
      </c>
      <c r="G810" s="4"/>
      <c r="H810" s="4" t="s">
        <v>244</v>
      </c>
      <c r="I810" s="5">
        <v>129</v>
      </c>
      <c r="J810" s="4" t="s">
        <v>101</v>
      </c>
      <c r="K810" s="5">
        <v>35</v>
      </c>
      <c r="L810" s="4" t="s">
        <v>1298</v>
      </c>
      <c r="M810" s="4" t="s">
        <v>246</v>
      </c>
      <c r="N810" s="4" t="s">
        <v>47</v>
      </c>
      <c r="O810" s="6">
        <v>45092</v>
      </c>
      <c r="P810" s="4" t="s">
        <v>706</v>
      </c>
      <c r="Q810" s="4" t="s">
        <v>247</v>
      </c>
      <c r="R810" s="4" t="s">
        <v>36</v>
      </c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>
        <f t="shared" si="12"/>
        <v>19</v>
      </c>
    </row>
    <row r="811" spans="1:30" ht="39.75" thickBot="1" x14ac:dyDescent="0.3">
      <c r="A811" s="3">
        <v>45058.630277777775</v>
      </c>
      <c r="B811" s="4" t="s">
        <v>241</v>
      </c>
      <c r="C811" s="4" t="s">
        <v>606</v>
      </c>
      <c r="D811" s="31" t="s">
        <v>27</v>
      </c>
      <c r="E811" s="4" t="s">
        <v>1500</v>
      </c>
      <c r="F811" s="5">
        <v>622905388</v>
      </c>
      <c r="G811" s="4"/>
      <c r="H811" s="4" t="s">
        <v>244</v>
      </c>
      <c r="I811" s="5">
        <v>125</v>
      </c>
      <c r="J811" s="4" t="s">
        <v>101</v>
      </c>
      <c r="K811" s="5">
        <v>50</v>
      </c>
      <c r="L811" s="4" t="s">
        <v>1501</v>
      </c>
      <c r="M811" s="4" t="s">
        <v>1502</v>
      </c>
      <c r="N811" s="4" t="s">
        <v>47</v>
      </c>
      <c r="O811" s="6">
        <v>45102</v>
      </c>
      <c r="P811" s="4" t="s">
        <v>706</v>
      </c>
      <c r="Q811" s="4" t="s">
        <v>247</v>
      </c>
      <c r="R811" s="4" t="s">
        <v>36</v>
      </c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>
        <f t="shared" si="12"/>
        <v>19</v>
      </c>
    </row>
    <row r="812" spans="1:30" ht="65.25" thickBot="1" x14ac:dyDescent="0.3">
      <c r="A812" s="3">
        <v>45058.695729166669</v>
      </c>
      <c r="B812" s="4" t="s">
        <v>25</v>
      </c>
      <c r="C812" s="4" t="s">
        <v>957</v>
      </c>
      <c r="D812" s="31" t="s">
        <v>42</v>
      </c>
      <c r="E812" s="4" t="s">
        <v>1503</v>
      </c>
      <c r="F812" s="5">
        <v>623307341</v>
      </c>
      <c r="G812" s="4"/>
      <c r="H812" s="4" t="s">
        <v>45</v>
      </c>
      <c r="I812" s="5">
        <v>90</v>
      </c>
      <c r="J812" s="4" t="s">
        <v>38</v>
      </c>
      <c r="K812" s="5">
        <v>7</v>
      </c>
      <c r="L812" s="4" t="s">
        <v>644</v>
      </c>
      <c r="M812" s="4" t="s">
        <v>32</v>
      </c>
      <c r="N812" s="4" t="s">
        <v>33</v>
      </c>
      <c r="O812" s="6">
        <v>45064</v>
      </c>
      <c r="P812" s="4" t="s">
        <v>34</v>
      </c>
      <c r="Q812" s="4" t="s">
        <v>35</v>
      </c>
      <c r="R812" s="4" t="s">
        <v>36</v>
      </c>
      <c r="S812" s="4" t="s">
        <v>59</v>
      </c>
      <c r="T812" s="5">
        <v>7</v>
      </c>
      <c r="U812" s="6">
        <v>45058</v>
      </c>
      <c r="V812" s="4" t="s">
        <v>1353</v>
      </c>
      <c r="W812" s="4" t="s">
        <v>737</v>
      </c>
      <c r="X812" s="4"/>
      <c r="Y812" s="4"/>
      <c r="Z812" s="4"/>
      <c r="AA812" s="4"/>
      <c r="AB812" s="4"/>
      <c r="AC812" s="4"/>
      <c r="AD812" s="4">
        <f t="shared" si="12"/>
        <v>19</v>
      </c>
    </row>
    <row r="813" spans="1:30" ht="65.25" thickBot="1" x14ac:dyDescent="0.3">
      <c r="A813" s="3">
        <v>45058.698298611111</v>
      </c>
      <c r="B813" s="4" t="s">
        <v>25</v>
      </c>
      <c r="C813" s="4" t="s">
        <v>957</v>
      </c>
      <c r="D813" s="31" t="s">
        <v>42</v>
      </c>
      <c r="E813" s="4" t="s">
        <v>1504</v>
      </c>
      <c r="F813" s="5">
        <v>624909710</v>
      </c>
      <c r="G813" s="4"/>
      <c r="H813" s="4" t="s">
        <v>29</v>
      </c>
      <c r="I813" s="5">
        <v>18</v>
      </c>
      <c r="J813" s="4" t="s">
        <v>38</v>
      </c>
      <c r="K813" s="5">
        <v>3</v>
      </c>
      <c r="L813" s="4" t="s">
        <v>50</v>
      </c>
      <c r="M813" s="4" t="s">
        <v>32</v>
      </c>
      <c r="N813" s="4" t="s">
        <v>33</v>
      </c>
      <c r="O813" s="6">
        <v>45063</v>
      </c>
      <c r="P813" s="4" t="s">
        <v>34</v>
      </c>
      <c r="Q813" s="4" t="s">
        <v>35</v>
      </c>
      <c r="R813" s="4" t="s">
        <v>36</v>
      </c>
      <c r="S813" s="4" t="s">
        <v>59</v>
      </c>
      <c r="T813" s="5">
        <v>3</v>
      </c>
      <c r="U813" s="6">
        <v>45058</v>
      </c>
      <c r="V813" s="4" t="s">
        <v>1353</v>
      </c>
      <c r="W813" s="4" t="s">
        <v>733</v>
      </c>
      <c r="X813" s="4"/>
      <c r="Y813" s="4"/>
      <c r="Z813" s="4"/>
      <c r="AA813" s="4"/>
      <c r="AB813" s="4"/>
      <c r="AC813" s="4"/>
      <c r="AD813" s="4">
        <f t="shared" si="12"/>
        <v>19</v>
      </c>
    </row>
    <row r="814" spans="1:30" ht="27" thickBot="1" x14ac:dyDescent="0.3">
      <c r="A814" s="3">
        <v>45059.426087962966</v>
      </c>
      <c r="B814" s="4" t="s">
        <v>53</v>
      </c>
      <c r="C814" s="4" t="s">
        <v>53</v>
      </c>
      <c r="D814" s="31" t="s">
        <v>42</v>
      </c>
      <c r="E814" s="4" t="s">
        <v>1505</v>
      </c>
      <c r="F814" s="5">
        <v>622648983</v>
      </c>
      <c r="G814" s="4"/>
      <c r="H814" s="4" t="s">
        <v>62</v>
      </c>
      <c r="I814" s="5">
        <v>25</v>
      </c>
      <c r="J814" s="4" t="s">
        <v>38</v>
      </c>
      <c r="K814" s="5">
        <v>10</v>
      </c>
      <c r="L814" s="4" t="s">
        <v>1506</v>
      </c>
      <c r="M814" s="4" t="s">
        <v>1507</v>
      </c>
      <c r="N814" s="4" t="s">
        <v>57</v>
      </c>
      <c r="O814" s="6">
        <v>45062</v>
      </c>
      <c r="P814" s="4"/>
      <c r="Q814" s="4" t="s">
        <v>58</v>
      </c>
      <c r="R814" s="4" t="s">
        <v>252</v>
      </c>
      <c r="S814" s="4" t="s">
        <v>59</v>
      </c>
      <c r="T814" s="5">
        <v>10</v>
      </c>
      <c r="U814" s="6">
        <v>45062</v>
      </c>
      <c r="V814" s="4" t="s">
        <v>1373</v>
      </c>
      <c r="W814" s="4" t="s">
        <v>1287</v>
      </c>
      <c r="X814" s="4"/>
      <c r="Y814" s="4"/>
      <c r="Z814" s="4"/>
      <c r="AA814" s="4"/>
      <c r="AB814" s="4"/>
      <c r="AC814" s="4"/>
      <c r="AD814" s="4">
        <f t="shared" si="12"/>
        <v>19</v>
      </c>
    </row>
    <row r="815" spans="1:30" ht="27" thickBot="1" x14ac:dyDescent="0.3">
      <c r="A815" s="3">
        <v>45059.517245370371</v>
      </c>
      <c r="B815" s="4" t="s">
        <v>1769</v>
      </c>
      <c r="C815" s="4" t="s">
        <v>1117</v>
      </c>
      <c r="D815" s="31" t="s">
        <v>42</v>
      </c>
      <c r="E815" s="4" t="s">
        <v>1508</v>
      </c>
      <c r="F815" s="5">
        <v>624867158</v>
      </c>
      <c r="G815" s="5">
        <v>624867158</v>
      </c>
      <c r="H815" s="4" t="s">
        <v>277</v>
      </c>
      <c r="I815" s="5">
        <v>5</v>
      </c>
      <c r="J815" s="4" t="s">
        <v>38</v>
      </c>
      <c r="K815" s="5">
        <v>1</v>
      </c>
      <c r="L815" s="4" t="s">
        <v>93</v>
      </c>
      <c r="M815" s="4" t="s">
        <v>93</v>
      </c>
      <c r="N815" s="4" t="s">
        <v>47</v>
      </c>
      <c r="O815" s="6">
        <v>45059</v>
      </c>
      <c r="P815" s="4" t="s">
        <v>660</v>
      </c>
      <c r="Q815" s="4" t="s">
        <v>232</v>
      </c>
      <c r="R815" s="4" t="s">
        <v>36</v>
      </c>
      <c r="S815" s="4" t="s">
        <v>59</v>
      </c>
      <c r="T815" s="5">
        <v>1</v>
      </c>
      <c r="U815" s="6">
        <v>45061</v>
      </c>
      <c r="V815" s="4" t="s">
        <v>1373</v>
      </c>
      <c r="W815" s="4" t="s">
        <v>1119</v>
      </c>
      <c r="X815" s="4"/>
      <c r="Y815" s="4"/>
      <c r="Z815" s="4"/>
      <c r="AA815" s="4"/>
      <c r="AB815" s="4"/>
      <c r="AC815" s="4"/>
      <c r="AD815" s="4">
        <f t="shared" si="12"/>
        <v>19</v>
      </c>
    </row>
    <row r="816" spans="1:30" ht="27" thickBot="1" x14ac:dyDescent="0.3">
      <c r="A816" s="3">
        <v>45059.548333333332</v>
      </c>
      <c r="B816" s="4" t="s">
        <v>115</v>
      </c>
      <c r="C816" s="4" t="s">
        <v>116</v>
      </c>
      <c r="D816" s="31" t="s">
        <v>42</v>
      </c>
      <c r="E816" s="4" t="s">
        <v>1509</v>
      </c>
      <c r="F816" s="5">
        <v>624432376</v>
      </c>
      <c r="G816" s="4"/>
      <c r="H816" s="4" t="s">
        <v>925</v>
      </c>
      <c r="I816" s="5">
        <v>65</v>
      </c>
      <c r="J816" s="4" t="s">
        <v>38</v>
      </c>
      <c r="K816" s="5">
        <v>6</v>
      </c>
      <c r="L816" s="4" t="s">
        <v>146</v>
      </c>
      <c r="M816" s="4" t="s">
        <v>395</v>
      </c>
      <c r="N816" s="4" t="s">
        <v>47</v>
      </c>
      <c r="O816" s="6">
        <v>45252</v>
      </c>
      <c r="P816" s="4" t="s">
        <v>932</v>
      </c>
      <c r="Q816" s="4" t="s">
        <v>122</v>
      </c>
      <c r="R816" s="4" t="s">
        <v>36</v>
      </c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>
        <f t="shared" si="12"/>
        <v>19</v>
      </c>
    </row>
    <row r="817" spans="1:30" ht="27" thickBot="1" x14ac:dyDescent="0.3">
      <c r="A817" s="3">
        <v>45059.57136574074</v>
      </c>
      <c r="B817" s="4" t="s">
        <v>677</v>
      </c>
      <c r="C817" s="4" t="s">
        <v>678</v>
      </c>
      <c r="D817" s="31" t="s">
        <v>42</v>
      </c>
      <c r="E817" s="4" t="s">
        <v>1510</v>
      </c>
      <c r="F817" s="5">
        <v>628352013</v>
      </c>
      <c r="G817" s="4"/>
      <c r="H817" s="4" t="s">
        <v>953</v>
      </c>
      <c r="I817" s="5">
        <v>6</v>
      </c>
      <c r="J817" s="4" t="s">
        <v>38</v>
      </c>
      <c r="K817" s="5">
        <v>2</v>
      </c>
      <c r="L817" s="4" t="s">
        <v>1511</v>
      </c>
      <c r="M817" s="4" t="s">
        <v>1511</v>
      </c>
      <c r="N817" s="4" t="s">
        <v>90</v>
      </c>
      <c r="O817" s="6">
        <v>45061</v>
      </c>
      <c r="P817" s="4"/>
      <c r="Q817" s="4" t="s">
        <v>682</v>
      </c>
      <c r="R817" s="4" t="s">
        <v>36</v>
      </c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>
        <f t="shared" si="12"/>
        <v>19</v>
      </c>
    </row>
    <row r="818" spans="1:30" ht="39.75" thickBot="1" x14ac:dyDescent="0.3">
      <c r="A818" s="3">
        <v>45059.587384259263</v>
      </c>
      <c r="B818" s="4" t="s">
        <v>552</v>
      </c>
      <c r="C818" s="4" t="s">
        <v>553</v>
      </c>
      <c r="D818" s="31" t="s">
        <v>42</v>
      </c>
      <c r="E818" s="4" t="s">
        <v>1512</v>
      </c>
      <c r="F818" s="5">
        <v>625371313</v>
      </c>
      <c r="G818" s="4"/>
      <c r="H818" s="4" t="s">
        <v>1150</v>
      </c>
      <c r="I818" s="5">
        <v>95</v>
      </c>
      <c r="J818" s="4" t="s">
        <v>38</v>
      </c>
      <c r="K818" s="5">
        <v>10</v>
      </c>
      <c r="L818" s="4" t="s">
        <v>556</v>
      </c>
      <c r="M818" s="4" t="s">
        <v>556</v>
      </c>
      <c r="N818" s="4" t="s">
        <v>90</v>
      </c>
      <c r="O818" s="6">
        <v>45060</v>
      </c>
      <c r="P818" s="4"/>
      <c r="Q818" s="4" t="s">
        <v>558</v>
      </c>
      <c r="R818" s="4" t="s">
        <v>36</v>
      </c>
      <c r="S818" s="4" t="s">
        <v>59</v>
      </c>
      <c r="T818" s="5">
        <v>10</v>
      </c>
      <c r="U818" s="6">
        <v>45061</v>
      </c>
      <c r="V818" s="4" t="s">
        <v>1373</v>
      </c>
      <c r="W818" s="4" t="s">
        <v>668</v>
      </c>
      <c r="X818" s="4"/>
      <c r="Y818" s="4"/>
      <c r="Z818" s="4"/>
      <c r="AA818" s="4"/>
      <c r="AB818" s="4"/>
      <c r="AC818" s="4"/>
      <c r="AD818" s="4">
        <f t="shared" si="12"/>
        <v>19</v>
      </c>
    </row>
    <row r="819" spans="1:30" ht="39.75" thickBot="1" x14ac:dyDescent="0.3">
      <c r="A819" s="3">
        <v>45060.410486111112</v>
      </c>
      <c r="B819" s="4" t="s">
        <v>79</v>
      </c>
      <c r="C819" s="4" t="s">
        <v>80</v>
      </c>
      <c r="D819" s="31" t="s">
        <v>42</v>
      </c>
      <c r="E819" s="4" t="s">
        <v>1513</v>
      </c>
      <c r="F819" s="5">
        <v>628390161</v>
      </c>
      <c r="G819" s="5">
        <v>0</v>
      </c>
      <c r="H819" s="4" t="s">
        <v>365</v>
      </c>
      <c r="I819" s="5">
        <v>80</v>
      </c>
      <c r="J819" s="4" t="s">
        <v>38</v>
      </c>
      <c r="K819" s="5">
        <v>2</v>
      </c>
      <c r="L819" s="4" t="s">
        <v>73</v>
      </c>
      <c r="M819" s="4" t="s">
        <v>89</v>
      </c>
      <c r="N819" s="4" t="s">
        <v>90</v>
      </c>
      <c r="O819" s="6">
        <v>45059</v>
      </c>
      <c r="P819" s="4" t="s">
        <v>85</v>
      </c>
      <c r="Q819" s="4" t="s">
        <v>86</v>
      </c>
      <c r="R819" s="4" t="s">
        <v>36</v>
      </c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>
        <f t="shared" si="12"/>
        <v>20</v>
      </c>
    </row>
    <row r="820" spans="1:30" ht="27" thickBot="1" x14ac:dyDescent="0.3">
      <c r="A820" s="3">
        <v>45060.414351851854</v>
      </c>
      <c r="B820" s="4" t="s">
        <v>614</v>
      </c>
      <c r="C820" s="4" t="s">
        <v>614</v>
      </c>
      <c r="D820" s="31" t="s">
        <v>42</v>
      </c>
      <c r="E820" s="4" t="s">
        <v>1514</v>
      </c>
      <c r="F820" s="5">
        <v>620132400</v>
      </c>
      <c r="G820" s="4"/>
      <c r="H820" s="4" t="s">
        <v>352</v>
      </c>
      <c r="I820" s="5">
        <v>20</v>
      </c>
      <c r="J820" s="4" t="s">
        <v>38</v>
      </c>
      <c r="K820" s="5">
        <v>10</v>
      </c>
      <c r="L820" s="4" t="s">
        <v>937</v>
      </c>
      <c r="M820" s="4" t="s">
        <v>937</v>
      </c>
      <c r="N820" s="4" t="s">
        <v>33</v>
      </c>
      <c r="O820" s="6">
        <v>45061</v>
      </c>
      <c r="P820" s="4"/>
      <c r="Q820" s="4" t="s">
        <v>616</v>
      </c>
      <c r="R820" s="4" t="s">
        <v>36</v>
      </c>
      <c r="S820" s="4" t="s">
        <v>59</v>
      </c>
      <c r="T820" s="5">
        <v>10</v>
      </c>
      <c r="U820" s="6">
        <v>45061</v>
      </c>
      <c r="V820" s="4" t="s">
        <v>1373</v>
      </c>
      <c r="W820" s="10" t="s">
        <v>933</v>
      </c>
      <c r="X820" s="4"/>
      <c r="Y820" s="4"/>
      <c r="Z820" s="4"/>
      <c r="AA820" s="4"/>
      <c r="AB820" s="4"/>
      <c r="AC820" s="4"/>
      <c r="AD820" s="4">
        <f t="shared" si="12"/>
        <v>20</v>
      </c>
    </row>
    <row r="821" spans="1:30" ht="39.75" thickBot="1" x14ac:dyDescent="0.3">
      <c r="A821" s="3">
        <v>45060.414386574077</v>
      </c>
      <c r="B821" s="4" t="s">
        <v>79</v>
      </c>
      <c r="C821" s="4" t="s">
        <v>80</v>
      </c>
      <c r="D821" s="31" t="s">
        <v>27</v>
      </c>
      <c r="E821" s="4" t="s">
        <v>1515</v>
      </c>
      <c r="F821" s="5">
        <v>622238490</v>
      </c>
      <c r="G821" s="5">
        <v>0</v>
      </c>
      <c r="H821" s="4" t="s">
        <v>336</v>
      </c>
      <c r="I821" s="5">
        <v>40</v>
      </c>
      <c r="J821" s="4" t="s">
        <v>38</v>
      </c>
      <c r="K821" s="5">
        <v>4</v>
      </c>
      <c r="L821" s="4" t="s">
        <v>1516</v>
      </c>
      <c r="M821" s="4" t="s">
        <v>89</v>
      </c>
      <c r="N821" s="4" t="s">
        <v>33</v>
      </c>
      <c r="O821" s="6">
        <v>45062</v>
      </c>
      <c r="P821" s="4" t="s">
        <v>85</v>
      </c>
      <c r="Q821" s="4" t="s">
        <v>86</v>
      </c>
      <c r="R821" s="4" t="s">
        <v>36</v>
      </c>
      <c r="S821" s="4" t="s">
        <v>59</v>
      </c>
      <c r="T821" s="5">
        <v>6</v>
      </c>
      <c r="U821" s="6">
        <v>45061</v>
      </c>
      <c r="V821" s="4" t="s">
        <v>1373</v>
      </c>
      <c r="W821" s="4" t="s">
        <v>1190</v>
      </c>
      <c r="X821" s="4"/>
      <c r="Y821" s="4"/>
      <c r="Z821" s="4"/>
      <c r="AA821" s="4"/>
      <c r="AB821" s="4"/>
      <c r="AC821" s="4"/>
      <c r="AD821" s="4">
        <f t="shared" si="12"/>
        <v>20</v>
      </c>
    </row>
    <row r="822" spans="1:30" ht="27" thickBot="1" x14ac:dyDescent="0.3">
      <c r="A822" s="3">
        <v>45060.463125000002</v>
      </c>
      <c r="B822" s="4" t="s">
        <v>677</v>
      </c>
      <c r="C822" s="4" t="s">
        <v>678</v>
      </c>
      <c r="D822" s="31" t="s">
        <v>42</v>
      </c>
      <c r="E822" s="4" t="s">
        <v>1517</v>
      </c>
      <c r="F822" s="5">
        <v>621032935</v>
      </c>
      <c r="G822" s="4"/>
      <c r="H822" s="4" t="s">
        <v>680</v>
      </c>
      <c r="I822" s="5">
        <v>35</v>
      </c>
      <c r="J822" s="4" t="s">
        <v>38</v>
      </c>
      <c r="K822" s="5">
        <v>35</v>
      </c>
      <c r="L822" s="4" t="s">
        <v>93</v>
      </c>
      <c r="M822" s="4" t="s">
        <v>93</v>
      </c>
      <c r="N822" s="4" t="s">
        <v>47</v>
      </c>
      <c r="O822" s="6">
        <v>45063</v>
      </c>
      <c r="P822" s="4"/>
      <c r="Q822" s="4" t="s">
        <v>682</v>
      </c>
      <c r="R822" s="4" t="s">
        <v>36</v>
      </c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>
        <f t="shared" si="12"/>
        <v>20</v>
      </c>
    </row>
    <row r="823" spans="1:30" ht="27" thickBot="1" x14ac:dyDescent="0.3">
      <c r="A823" s="3">
        <v>45060.468124999999</v>
      </c>
      <c r="B823" s="4" t="s">
        <v>614</v>
      </c>
      <c r="C823" s="4" t="s">
        <v>614</v>
      </c>
      <c r="D823" s="31" t="s">
        <v>42</v>
      </c>
      <c r="E823" s="4" t="s">
        <v>1518</v>
      </c>
      <c r="F823" s="5">
        <v>622861653</v>
      </c>
      <c r="G823" s="4"/>
      <c r="H823" s="4" t="s">
        <v>936</v>
      </c>
      <c r="I823" s="5">
        <v>65</v>
      </c>
      <c r="J823" s="4" t="s">
        <v>38</v>
      </c>
      <c r="K823" s="5">
        <v>15</v>
      </c>
      <c r="L823" s="4" t="s">
        <v>1519</v>
      </c>
      <c r="M823" s="4" t="s">
        <v>1519</v>
      </c>
      <c r="N823" s="4" t="s">
        <v>41</v>
      </c>
      <c r="O823" s="6">
        <v>45061</v>
      </c>
      <c r="P823" s="4"/>
      <c r="Q823" s="4" t="s">
        <v>616</v>
      </c>
      <c r="R823" s="4" t="s">
        <v>1520</v>
      </c>
      <c r="S823" s="4" t="s">
        <v>59</v>
      </c>
      <c r="T823" s="5">
        <v>15</v>
      </c>
      <c r="U823" s="6">
        <v>45061</v>
      </c>
      <c r="V823" s="4" t="s">
        <v>1373</v>
      </c>
      <c r="W823" s="10" t="s">
        <v>1458</v>
      </c>
      <c r="X823" s="4"/>
      <c r="Y823" s="4"/>
      <c r="Z823" s="4"/>
      <c r="AA823" s="4"/>
      <c r="AB823" s="4"/>
      <c r="AC823" s="4"/>
      <c r="AD823" s="4">
        <f t="shared" si="12"/>
        <v>20</v>
      </c>
    </row>
    <row r="824" spans="1:30" ht="27" thickBot="1" x14ac:dyDescent="0.3">
      <c r="A824" s="3">
        <v>45060.46943287037</v>
      </c>
      <c r="B824" s="4" t="s">
        <v>677</v>
      </c>
      <c r="C824" s="4" t="s">
        <v>678</v>
      </c>
      <c r="D824" s="31" t="s">
        <v>42</v>
      </c>
      <c r="E824" s="4" t="s">
        <v>1521</v>
      </c>
      <c r="F824" s="5">
        <v>621032935</v>
      </c>
      <c r="G824" s="4"/>
      <c r="H824" s="4" t="s">
        <v>680</v>
      </c>
      <c r="I824" s="5">
        <v>35</v>
      </c>
      <c r="J824" s="4" t="s">
        <v>132</v>
      </c>
      <c r="K824" s="5">
        <v>20</v>
      </c>
      <c r="L824" s="4" t="s">
        <v>93</v>
      </c>
      <c r="M824" s="4" t="s">
        <v>93</v>
      </c>
      <c r="N824" s="4" t="s">
        <v>47</v>
      </c>
      <c r="O824" s="6">
        <v>45062</v>
      </c>
      <c r="P824" s="4"/>
      <c r="Q824" s="4" t="s">
        <v>682</v>
      </c>
      <c r="R824" s="4" t="s">
        <v>36</v>
      </c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>
        <f t="shared" si="12"/>
        <v>20</v>
      </c>
    </row>
    <row r="825" spans="1:30" ht="27" thickBot="1" x14ac:dyDescent="0.3">
      <c r="A825" s="3">
        <v>45060.488668981481</v>
      </c>
      <c r="B825" s="4" t="s">
        <v>1769</v>
      </c>
      <c r="C825" s="4" t="s">
        <v>1117</v>
      </c>
      <c r="D825" s="31" t="s">
        <v>42</v>
      </c>
      <c r="E825" s="4" t="s">
        <v>508</v>
      </c>
      <c r="F825" s="5">
        <v>621858667</v>
      </c>
      <c r="G825" s="5">
        <v>621858667</v>
      </c>
      <c r="H825" s="4" t="s">
        <v>277</v>
      </c>
      <c r="I825" s="5">
        <v>3</v>
      </c>
      <c r="J825" s="4" t="s">
        <v>38</v>
      </c>
      <c r="K825" s="5">
        <v>1</v>
      </c>
      <c r="L825" s="4" t="s">
        <v>93</v>
      </c>
      <c r="M825" s="4" t="s">
        <v>93</v>
      </c>
      <c r="N825" s="4" t="s">
        <v>47</v>
      </c>
      <c r="O825" s="6">
        <v>45060</v>
      </c>
      <c r="P825" s="4" t="s">
        <v>660</v>
      </c>
      <c r="Q825" s="4" t="s">
        <v>232</v>
      </c>
      <c r="R825" s="4" t="s">
        <v>36</v>
      </c>
      <c r="S825" s="4" t="s">
        <v>59</v>
      </c>
      <c r="T825" s="5">
        <v>1.5</v>
      </c>
      <c r="U825" s="6">
        <v>45061</v>
      </c>
      <c r="V825" s="4" t="s">
        <v>1373</v>
      </c>
      <c r="W825" s="4" t="s">
        <v>1119</v>
      </c>
      <c r="X825" s="4"/>
      <c r="Y825" s="4"/>
      <c r="Z825" s="4"/>
      <c r="AA825" s="4"/>
      <c r="AB825" s="4"/>
      <c r="AC825" s="4"/>
      <c r="AD825" s="4">
        <f t="shared" si="12"/>
        <v>20</v>
      </c>
    </row>
    <row r="826" spans="1:30" ht="27" thickBot="1" x14ac:dyDescent="0.3">
      <c r="A826" s="3">
        <v>45060.505300925928</v>
      </c>
      <c r="B826" s="4" t="s">
        <v>53</v>
      </c>
      <c r="C826" s="4" t="s">
        <v>53</v>
      </c>
      <c r="D826" s="31" t="s">
        <v>27</v>
      </c>
      <c r="E826" s="4" t="s">
        <v>1522</v>
      </c>
      <c r="F826" s="5">
        <v>628845822</v>
      </c>
      <c r="G826" s="4"/>
      <c r="H826" s="4" t="s">
        <v>286</v>
      </c>
      <c r="I826" s="5">
        <v>100</v>
      </c>
      <c r="J826" s="4" t="s">
        <v>132</v>
      </c>
      <c r="K826" s="5">
        <v>30</v>
      </c>
      <c r="L826" s="4" t="s">
        <v>369</v>
      </c>
      <c r="M826" s="4" t="s">
        <v>36</v>
      </c>
      <c r="N826" s="4" t="s">
        <v>33</v>
      </c>
      <c r="O826" s="6">
        <v>45066</v>
      </c>
      <c r="P826" s="4" t="s">
        <v>1523</v>
      </c>
      <c r="Q826" s="4" t="s">
        <v>58</v>
      </c>
      <c r="R826" s="4" t="s">
        <v>36</v>
      </c>
      <c r="S826" s="4" t="s">
        <v>59</v>
      </c>
      <c r="T826" s="5">
        <v>30</v>
      </c>
      <c r="U826" s="6">
        <v>45061</v>
      </c>
      <c r="V826" s="4" t="s">
        <v>1373</v>
      </c>
      <c r="W826" s="4" t="s">
        <v>1287</v>
      </c>
      <c r="X826" s="4"/>
      <c r="Y826" s="4"/>
      <c r="Z826" s="4"/>
      <c r="AA826" s="4"/>
      <c r="AB826" s="4"/>
      <c r="AC826" s="4"/>
      <c r="AD826" s="4">
        <f t="shared" si="12"/>
        <v>20</v>
      </c>
    </row>
    <row r="827" spans="1:30" ht="39.75" thickBot="1" x14ac:dyDescent="0.3">
      <c r="A827" s="3">
        <v>45060.548611111109</v>
      </c>
      <c r="B827" s="4" t="s">
        <v>1768</v>
      </c>
      <c r="C827" s="4" t="s">
        <v>158</v>
      </c>
      <c r="D827" s="31" t="s">
        <v>42</v>
      </c>
      <c r="E827" s="4" t="s">
        <v>1524</v>
      </c>
      <c r="F827" s="5">
        <v>620138754</v>
      </c>
      <c r="G827" s="5">
        <v>0</v>
      </c>
      <c r="H827" s="4" t="s">
        <v>126</v>
      </c>
      <c r="I827" s="5">
        <v>46</v>
      </c>
      <c r="J827" s="4" t="s">
        <v>101</v>
      </c>
      <c r="K827" s="5">
        <v>5</v>
      </c>
      <c r="L827" s="4" t="s">
        <v>161</v>
      </c>
      <c r="M827" s="4" t="s">
        <v>161</v>
      </c>
      <c r="N827" s="4" t="s">
        <v>47</v>
      </c>
      <c r="O827" s="6">
        <v>45061</v>
      </c>
      <c r="P827" s="4" t="s">
        <v>1525</v>
      </c>
      <c r="Q827" s="4" t="s">
        <v>130</v>
      </c>
      <c r="R827" s="4" t="s">
        <v>36</v>
      </c>
      <c r="S827" s="4" t="s">
        <v>59</v>
      </c>
      <c r="T827" s="5">
        <v>5</v>
      </c>
      <c r="U827" s="6">
        <v>45061</v>
      </c>
      <c r="V827" s="4" t="s">
        <v>1373</v>
      </c>
      <c r="W827" s="4" t="s">
        <v>1375</v>
      </c>
      <c r="X827" s="4"/>
      <c r="Y827" s="4"/>
      <c r="Z827" s="4"/>
      <c r="AA827" s="4"/>
      <c r="AB827" s="4"/>
      <c r="AC827" s="4"/>
      <c r="AD827" s="4">
        <f t="shared" si="12"/>
        <v>20</v>
      </c>
    </row>
    <row r="828" spans="1:30" ht="27" thickBot="1" x14ac:dyDescent="0.3">
      <c r="A828" s="3">
        <v>45060.619606481479</v>
      </c>
      <c r="B828" s="4" t="s">
        <v>677</v>
      </c>
      <c r="C828" s="4" t="s">
        <v>678</v>
      </c>
      <c r="D828" s="31" t="s">
        <v>42</v>
      </c>
      <c r="E828" s="4" t="s">
        <v>1526</v>
      </c>
      <c r="F828" s="5">
        <v>622681371</v>
      </c>
      <c r="G828" s="4"/>
      <c r="H828" s="4" t="s">
        <v>950</v>
      </c>
      <c r="I828" s="5">
        <v>45</v>
      </c>
      <c r="J828" s="4" t="s">
        <v>38</v>
      </c>
      <c r="K828" s="5">
        <v>12</v>
      </c>
      <c r="L828" s="4" t="s">
        <v>93</v>
      </c>
      <c r="M828" s="4" t="s">
        <v>93</v>
      </c>
      <c r="N828" s="4" t="s">
        <v>47</v>
      </c>
      <c r="O828" s="6">
        <v>45066</v>
      </c>
      <c r="P828" s="4"/>
      <c r="Q828" s="4" t="s">
        <v>682</v>
      </c>
      <c r="R828" s="4" t="s">
        <v>36</v>
      </c>
      <c r="S828" s="4"/>
      <c r="T828" s="4"/>
      <c r="U828" s="4"/>
      <c r="V828" s="4" t="s">
        <v>1372</v>
      </c>
      <c r="W828" s="4"/>
      <c r="X828" s="4"/>
      <c r="Y828" s="4"/>
      <c r="Z828" s="4"/>
      <c r="AA828" s="4"/>
      <c r="AB828" s="4"/>
      <c r="AC828" s="4"/>
      <c r="AD828" s="4">
        <f t="shared" si="12"/>
        <v>20</v>
      </c>
    </row>
    <row r="829" spans="1:30" ht="27" thickBot="1" x14ac:dyDescent="0.3">
      <c r="A829" s="3">
        <v>45060.712777777779</v>
      </c>
      <c r="B829" s="4" t="s">
        <v>234</v>
      </c>
      <c r="C829" s="4" t="s">
        <v>235</v>
      </c>
      <c r="D829" s="31" t="s">
        <v>42</v>
      </c>
      <c r="E829" s="4" t="s">
        <v>1527</v>
      </c>
      <c r="F829" s="5">
        <v>626064603</v>
      </c>
      <c r="G829" s="4"/>
      <c r="H829" s="4" t="s">
        <v>237</v>
      </c>
      <c r="I829" s="5">
        <v>67</v>
      </c>
      <c r="J829" s="4" t="s">
        <v>38</v>
      </c>
      <c r="K829" s="5">
        <v>5</v>
      </c>
      <c r="L829" s="4" t="s">
        <v>314</v>
      </c>
      <c r="M829" s="4" t="s">
        <v>314</v>
      </c>
      <c r="N829" s="4" t="s">
        <v>47</v>
      </c>
      <c r="O829" s="6">
        <v>45062</v>
      </c>
      <c r="P829" s="4"/>
      <c r="Q829" s="4" t="s">
        <v>240</v>
      </c>
      <c r="R829" s="4" t="s">
        <v>36</v>
      </c>
      <c r="S829" s="4" t="s">
        <v>59</v>
      </c>
      <c r="T829" s="5">
        <v>5</v>
      </c>
      <c r="U829" s="6">
        <v>45061</v>
      </c>
      <c r="V829" s="4" t="s">
        <v>1373</v>
      </c>
      <c r="W829" s="4" t="s">
        <v>694</v>
      </c>
      <c r="X829" s="4"/>
      <c r="Y829" s="4"/>
      <c r="Z829" s="4"/>
      <c r="AA829" s="4"/>
      <c r="AB829" s="4"/>
      <c r="AC829" s="4"/>
      <c r="AD829" s="4">
        <f t="shared" si="12"/>
        <v>20</v>
      </c>
    </row>
    <row r="830" spans="1:30" ht="39.75" thickBot="1" x14ac:dyDescent="0.3">
      <c r="A830" s="3">
        <v>45060.765844907408</v>
      </c>
      <c r="B830" s="4" t="s">
        <v>1336</v>
      </c>
      <c r="C830" s="4" t="s">
        <v>1336</v>
      </c>
      <c r="D830" s="31" t="s">
        <v>42</v>
      </c>
      <c r="E830" s="4" t="s">
        <v>1528</v>
      </c>
      <c r="F830" s="5">
        <v>620351445</v>
      </c>
      <c r="G830" s="4"/>
      <c r="H830" s="4" t="s">
        <v>1529</v>
      </c>
      <c r="I830" s="5">
        <v>25</v>
      </c>
      <c r="J830" s="4" t="s">
        <v>101</v>
      </c>
      <c r="K830" s="5">
        <v>1</v>
      </c>
      <c r="L830" s="4" t="s">
        <v>93</v>
      </c>
      <c r="M830" s="4" t="s">
        <v>1530</v>
      </c>
      <c r="N830" s="4" t="s">
        <v>57</v>
      </c>
      <c r="O830" s="6">
        <v>45066</v>
      </c>
      <c r="P830" s="4"/>
      <c r="Q830" s="4" t="s">
        <v>1531</v>
      </c>
      <c r="R830" s="4" t="s">
        <v>36</v>
      </c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>
        <f t="shared" si="12"/>
        <v>20</v>
      </c>
    </row>
    <row r="831" spans="1:30" ht="39.75" thickBot="1" x14ac:dyDescent="0.3">
      <c r="A831" s="3">
        <v>45060.771655092591</v>
      </c>
      <c r="B831" s="4" t="s">
        <v>1336</v>
      </c>
      <c r="C831" s="4" t="s">
        <v>1336</v>
      </c>
      <c r="D831" s="31" t="s">
        <v>42</v>
      </c>
      <c r="E831" s="4" t="s">
        <v>1532</v>
      </c>
      <c r="F831" s="5">
        <v>626348491</v>
      </c>
      <c r="G831" s="4"/>
      <c r="H831" s="4" t="s">
        <v>1533</v>
      </c>
      <c r="I831" s="5">
        <v>50</v>
      </c>
      <c r="J831" s="4" t="s">
        <v>101</v>
      </c>
      <c r="K831" s="5">
        <v>2</v>
      </c>
      <c r="L831" s="4" t="s">
        <v>93</v>
      </c>
      <c r="M831" s="4" t="s">
        <v>1530</v>
      </c>
      <c r="N831" s="4" t="s">
        <v>57</v>
      </c>
      <c r="O831" s="6">
        <v>45077</v>
      </c>
      <c r="P831" s="4"/>
      <c r="Q831" s="4" t="s">
        <v>1531</v>
      </c>
      <c r="R831" s="4" t="s">
        <v>36</v>
      </c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>
        <f t="shared" si="12"/>
        <v>20</v>
      </c>
    </row>
    <row r="832" spans="1:30" ht="39.75" thickBot="1" x14ac:dyDescent="0.3">
      <c r="A832" s="3">
        <v>45060.802453703705</v>
      </c>
      <c r="B832" s="4" t="s">
        <v>1773</v>
      </c>
      <c r="C832" s="4" t="s">
        <v>1534</v>
      </c>
      <c r="D832" s="31" t="s">
        <v>42</v>
      </c>
      <c r="E832" s="4" t="s">
        <v>1535</v>
      </c>
      <c r="F832" s="5">
        <v>628184118</v>
      </c>
      <c r="G832" s="4"/>
      <c r="H832" s="4" t="s">
        <v>1534</v>
      </c>
      <c r="I832" s="5">
        <v>4</v>
      </c>
      <c r="J832" s="4" t="s">
        <v>38</v>
      </c>
      <c r="K832" s="5">
        <v>7</v>
      </c>
      <c r="L832" s="4" t="s">
        <v>1536</v>
      </c>
      <c r="M832" s="4" t="s">
        <v>1537</v>
      </c>
      <c r="N832" s="4" t="s">
        <v>90</v>
      </c>
      <c r="O832" s="6">
        <v>45052</v>
      </c>
      <c r="P832" s="4" t="s">
        <v>1538</v>
      </c>
      <c r="Q832" s="4" t="s">
        <v>1539</v>
      </c>
      <c r="R832" s="4" t="s">
        <v>36</v>
      </c>
      <c r="S832" s="4" t="s">
        <v>59</v>
      </c>
      <c r="T832" s="5">
        <v>7</v>
      </c>
      <c r="U832" s="6">
        <v>45062</v>
      </c>
      <c r="V832" s="4" t="s">
        <v>1373</v>
      </c>
      <c r="W832" s="4" t="s">
        <v>1540</v>
      </c>
      <c r="X832" s="4"/>
      <c r="Y832" s="4"/>
      <c r="Z832" s="4"/>
      <c r="AA832" s="4"/>
      <c r="AB832" s="4"/>
      <c r="AC832" s="4"/>
      <c r="AD832" s="4">
        <f t="shared" si="12"/>
        <v>20</v>
      </c>
    </row>
    <row r="833" spans="1:30" ht="52.5" thickBot="1" x14ac:dyDescent="0.3">
      <c r="A833" s="3">
        <v>45060.807928240742</v>
      </c>
      <c r="B833" s="4" t="s">
        <v>1773</v>
      </c>
      <c r="C833" s="4" t="s">
        <v>1534</v>
      </c>
      <c r="D833" s="31" t="s">
        <v>42</v>
      </c>
      <c r="E833" s="4" t="s">
        <v>1541</v>
      </c>
      <c r="F833" s="5">
        <v>622480221</v>
      </c>
      <c r="G833" s="4"/>
      <c r="H833" s="4" t="s">
        <v>1534</v>
      </c>
      <c r="I833" s="5">
        <v>4</v>
      </c>
      <c r="J833" s="4" t="s">
        <v>38</v>
      </c>
      <c r="K833" s="5">
        <v>2</v>
      </c>
      <c r="L833" s="4" t="s">
        <v>1537</v>
      </c>
      <c r="M833" s="4" t="s">
        <v>1536</v>
      </c>
      <c r="N833" s="4" t="s">
        <v>90</v>
      </c>
      <c r="O833" s="6">
        <v>45052</v>
      </c>
      <c r="P833" s="4" t="s">
        <v>1542</v>
      </c>
      <c r="Q833" s="4" t="s">
        <v>1539</v>
      </c>
      <c r="R833" s="4" t="s">
        <v>36</v>
      </c>
      <c r="S833" s="4" t="s">
        <v>59</v>
      </c>
      <c r="T833" s="5">
        <v>2</v>
      </c>
      <c r="U833" s="6">
        <v>45062</v>
      </c>
      <c r="V833" s="4" t="s">
        <v>1373</v>
      </c>
      <c r="W833" s="4" t="s">
        <v>1540</v>
      </c>
      <c r="X833" s="4"/>
      <c r="Y833" s="4"/>
      <c r="Z833" s="4"/>
      <c r="AA833" s="4"/>
      <c r="AB833" s="4"/>
      <c r="AC833" s="4"/>
      <c r="AD833" s="4">
        <f t="shared" si="12"/>
        <v>20</v>
      </c>
    </row>
    <row r="834" spans="1:30" ht="52.5" thickBot="1" x14ac:dyDescent="0.3">
      <c r="A834" s="3">
        <v>45060.811655092592</v>
      </c>
      <c r="B834" s="4" t="s">
        <v>1773</v>
      </c>
      <c r="C834" s="4" t="s">
        <v>1534</v>
      </c>
      <c r="D834" s="31" t="s">
        <v>42</v>
      </c>
      <c r="E834" s="4" t="s">
        <v>1543</v>
      </c>
      <c r="F834" s="5">
        <v>628155908</v>
      </c>
      <c r="G834" s="4"/>
      <c r="H834" s="4" t="s">
        <v>1534</v>
      </c>
      <c r="I834" s="5">
        <v>4</v>
      </c>
      <c r="J834" s="4" t="s">
        <v>38</v>
      </c>
      <c r="K834" s="5">
        <v>2</v>
      </c>
      <c r="L834" s="4" t="s">
        <v>1537</v>
      </c>
      <c r="M834" s="4" t="s">
        <v>1536</v>
      </c>
      <c r="N834" s="4" t="s">
        <v>90</v>
      </c>
      <c r="O834" s="6">
        <v>45052</v>
      </c>
      <c r="P834" s="4" t="s">
        <v>1544</v>
      </c>
      <c r="Q834" s="4" t="s">
        <v>1539</v>
      </c>
      <c r="R834" s="4" t="s">
        <v>36</v>
      </c>
      <c r="S834" s="4" t="s">
        <v>59</v>
      </c>
      <c r="T834" s="5">
        <v>2</v>
      </c>
      <c r="U834" s="6">
        <v>45062</v>
      </c>
      <c r="V834" s="4" t="s">
        <v>1373</v>
      </c>
      <c r="W834" s="4" t="s">
        <v>1540</v>
      </c>
      <c r="X834" s="4"/>
      <c r="Y834" s="4"/>
      <c r="Z834" s="4"/>
      <c r="AA834" s="4"/>
      <c r="AB834" s="4"/>
      <c r="AC834" s="4"/>
      <c r="AD834" s="4">
        <f t="shared" si="12"/>
        <v>20</v>
      </c>
    </row>
    <row r="835" spans="1:30" ht="52.5" thickBot="1" x14ac:dyDescent="0.3">
      <c r="A835" s="3">
        <v>45060.816087962965</v>
      </c>
      <c r="B835" s="4" t="s">
        <v>1773</v>
      </c>
      <c r="C835" s="4" t="s">
        <v>1534</v>
      </c>
      <c r="D835" s="31" t="s">
        <v>42</v>
      </c>
      <c r="E835" s="4" t="s">
        <v>1545</v>
      </c>
      <c r="F835" s="5">
        <v>622426656</v>
      </c>
      <c r="G835" s="4"/>
      <c r="H835" s="4" t="s">
        <v>1534</v>
      </c>
      <c r="I835" s="5">
        <v>4</v>
      </c>
      <c r="J835" s="4" t="s">
        <v>38</v>
      </c>
      <c r="K835" s="5">
        <v>3</v>
      </c>
      <c r="L835" s="4" t="s">
        <v>1537</v>
      </c>
      <c r="M835" s="4" t="s">
        <v>1536</v>
      </c>
      <c r="N835" s="4" t="s">
        <v>90</v>
      </c>
      <c r="O835" s="6">
        <v>45052</v>
      </c>
      <c r="P835" s="4" t="s">
        <v>1546</v>
      </c>
      <c r="Q835" s="4" t="s">
        <v>1539</v>
      </c>
      <c r="R835" s="4" t="s">
        <v>36</v>
      </c>
      <c r="S835" s="4" t="s">
        <v>59</v>
      </c>
      <c r="T835" s="5">
        <v>3</v>
      </c>
      <c r="U835" s="6">
        <v>45062</v>
      </c>
      <c r="V835" s="4" t="s">
        <v>1373</v>
      </c>
      <c r="W835" s="4" t="s">
        <v>1540</v>
      </c>
      <c r="X835" s="4"/>
      <c r="Y835" s="4"/>
      <c r="Z835" s="4"/>
      <c r="AA835" s="4"/>
      <c r="AB835" s="4"/>
      <c r="AC835" s="4"/>
      <c r="AD835" s="4">
        <f t="shared" ref="AD835:AD898" si="13">WEEKNUM(LEFT(A835,10))</f>
        <v>20</v>
      </c>
    </row>
    <row r="836" spans="1:30" ht="52.5" thickBot="1" x14ac:dyDescent="0.3">
      <c r="A836" s="3">
        <v>45060.81962962963</v>
      </c>
      <c r="B836" s="4" t="s">
        <v>1773</v>
      </c>
      <c r="C836" s="4" t="s">
        <v>1534</v>
      </c>
      <c r="D836" s="31" t="s">
        <v>42</v>
      </c>
      <c r="E836" s="4" t="s">
        <v>1547</v>
      </c>
      <c r="F836" s="5">
        <v>622045513</v>
      </c>
      <c r="G836" s="5">
        <v>669461548</v>
      </c>
      <c r="H836" s="4" t="s">
        <v>1534</v>
      </c>
      <c r="I836" s="5">
        <v>4</v>
      </c>
      <c r="J836" s="4" t="s">
        <v>38</v>
      </c>
      <c r="K836" s="5">
        <v>2</v>
      </c>
      <c r="L836" s="4" t="s">
        <v>1537</v>
      </c>
      <c r="M836" s="4" t="s">
        <v>1536</v>
      </c>
      <c r="N836" s="4" t="s">
        <v>90</v>
      </c>
      <c r="O836" s="6">
        <v>45052</v>
      </c>
      <c r="P836" s="4" t="s">
        <v>1544</v>
      </c>
      <c r="Q836" s="4" t="s">
        <v>1539</v>
      </c>
      <c r="R836" s="4" t="s">
        <v>36</v>
      </c>
      <c r="S836" s="4" t="s">
        <v>59</v>
      </c>
      <c r="T836" s="5">
        <v>2</v>
      </c>
      <c r="U836" s="6">
        <v>45062</v>
      </c>
      <c r="V836" s="4" t="s">
        <v>1373</v>
      </c>
      <c r="W836" s="4" t="s">
        <v>1540</v>
      </c>
      <c r="X836" s="4"/>
      <c r="Y836" s="4"/>
      <c r="Z836" s="4"/>
      <c r="AA836" s="4"/>
      <c r="AB836" s="4"/>
      <c r="AC836" s="4"/>
      <c r="AD836" s="4">
        <f t="shared" si="13"/>
        <v>20</v>
      </c>
    </row>
    <row r="837" spans="1:30" ht="27" thickBot="1" x14ac:dyDescent="0.3">
      <c r="A837" s="3">
        <v>45061.024675925924</v>
      </c>
      <c r="B837" s="4" t="s">
        <v>241</v>
      </c>
      <c r="C837" s="4" t="s">
        <v>606</v>
      </c>
      <c r="D837" s="31" t="s">
        <v>42</v>
      </c>
      <c r="E837" s="4" t="s">
        <v>1548</v>
      </c>
      <c r="F837" s="5">
        <v>622878973</v>
      </c>
      <c r="G837" s="4"/>
      <c r="H837" s="4" t="s">
        <v>719</v>
      </c>
      <c r="I837" s="5">
        <v>11</v>
      </c>
      <c r="J837" s="4" t="s">
        <v>101</v>
      </c>
      <c r="K837" s="5">
        <v>7</v>
      </c>
      <c r="L837" s="4" t="s">
        <v>711</v>
      </c>
      <c r="M837" s="4" t="s">
        <v>246</v>
      </c>
      <c r="N837" s="4" t="s">
        <v>47</v>
      </c>
      <c r="O837" s="6">
        <v>45062</v>
      </c>
      <c r="P837" s="4" t="s">
        <v>706</v>
      </c>
      <c r="Q837" s="4" t="s">
        <v>247</v>
      </c>
      <c r="R837" s="4" t="s">
        <v>36</v>
      </c>
      <c r="S837" s="4" t="s">
        <v>59</v>
      </c>
      <c r="T837" s="5">
        <v>3</v>
      </c>
      <c r="U837" s="6">
        <v>45061</v>
      </c>
      <c r="V837" s="4" t="s">
        <v>1373</v>
      </c>
      <c r="W837" s="4" t="s">
        <v>1379</v>
      </c>
      <c r="X837" s="4"/>
      <c r="Y837" s="4"/>
      <c r="Z837" s="4"/>
      <c r="AA837" s="4"/>
      <c r="AB837" s="4"/>
      <c r="AC837" s="4"/>
      <c r="AD837" s="4">
        <f t="shared" si="13"/>
        <v>20</v>
      </c>
    </row>
    <row r="838" spans="1:30" ht="65.25" thickBot="1" x14ac:dyDescent="0.3">
      <c r="A838" s="3">
        <v>45061.312777777777</v>
      </c>
      <c r="B838" s="4" t="s">
        <v>25</v>
      </c>
      <c r="C838" s="4" t="s">
        <v>957</v>
      </c>
      <c r="D838" s="31" t="s">
        <v>27</v>
      </c>
      <c r="E838" s="4" t="s">
        <v>1549</v>
      </c>
      <c r="F838" s="5">
        <v>620279911</v>
      </c>
      <c r="G838" s="4"/>
      <c r="H838" s="4" t="s">
        <v>111</v>
      </c>
      <c r="I838" s="5">
        <v>18</v>
      </c>
      <c r="J838" s="4" t="s">
        <v>38</v>
      </c>
      <c r="K838" s="5">
        <v>5</v>
      </c>
      <c r="L838" s="4" t="s">
        <v>644</v>
      </c>
      <c r="M838" s="4" t="s">
        <v>32</v>
      </c>
      <c r="N838" s="4" t="s">
        <v>33</v>
      </c>
      <c r="O838" s="6">
        <v>45071</v>
      </c>
      <c r="P838" s="4" t="s">
        <v>34</v>
      </c>
      <c r="Q838" s="4" t="s">
        <v>35</v>
      </c>
      <c r="R838" s="4" t="s">
        <v>36</v>
      </c>
      <c r="S838" s="4" t="s">
        <v>59</v>
      </c>
      <c r="T838" s="5">
        <v>5</v>
      </c>
      <c r="U838" s="6">
        <v>45061</v>
      </c>
      <c r="V838" s="4" t="s">
        <v>1373</v>
      </c>
      <c r="W838" s="4" t="s">
        <v>733</v>
      </c>
      <c r="X838" s="4"/>
      <c r="Y838" s="4"/>
      <c r="Z838" s="4"/>
      <c r="AA838" s="4"/>
      <c r="AB838" s="4"/>
      <c r="AC838" s="4"/>
      <c r="AD838" s="4">
        <f t="shared" si="13"/>
        <v>20</v>
      </c>
    </row>
    <row r="839" spans="1:30" ht="27" thickBot="1" x14ac:dyDescent="0.3">
      <c r="A839" s="3">
        <v>45061.330497685187</v>
      </c>
      <c r="B839" s="4" t="s">
        <v>1004</v>
      </c>
      <c r="C839" s="4" t="s">
        <v>1005</v>
      </c>
      <c r="D839" s="31" t="s">
        <v>42</v>
      </c>
      <c r="E839" s="8" t="s">
        <v>1550</v>
      </c>
      <c r="F839" s="9">
        <v>620310360</v>
      </c>
      <c r="G839" s="8"/>
      <c r="H839" s="8" t="s">
        <v>1026</v>
      </c>
      <c r="I839" s="9">
        <v>12</v>
      </c>
      <c r="J839" s="8" t="s">
        <v>38</v>
      </c>
      <c r="K839" s="8">
        <v>2</v>
      </c>
      <c r="L839" s="8" t="s">
        <v>1007</v>
      </c>
      <c r="M839" s="8" t="s">
        <v>1007</v>
      </c>
      <c r="N839" s="8" t="s">
        <v>47</v>
      </c>
      <c r="O839" s="28">
        <v>45066</v>
      </c>
      <c r="P839" s="8"/>
      <c r="Q839" s="8" t="s">
        <v>1009</v>
      </c>
      <c r="R839" s="8" t="s">
        <v>36</v>
      </c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4">
        <f t="shared" si="13"/>
        <v>20</v>
      </c>
    </row>
    <row r="840" spans="1:30" ht="27" thickBot="1" x14ac:dyDescent="0.3">
      <c r="A840" s="3">
        <v>45061.333726851852</v>
      </c>
      <c r="B840" s="4" t="s">
        <v>1004</v>
      </c>
      <c r="C840" s="4" t="s">
        <v>1005</v>
      </c>
      <c r="D840" s="31" t="s">
        <v>42</v>
      </c>
      <c r="E840" s="8" t="s">
        <v>1551</v>
      </c>
      <c r="F840" s="9">
        <v>624052378</v>
      </c>
      <c r="G840" s="8"/>
      <c r="H840" s="8" t="s">
        <v>555</v>
      </c>
      <c r="I840" s="9">
        <v>42</v>
      </c>
      <c r="J840" s="8" t="s">
        <v>38</v>
      </c>
      <c r="K840" s="9">
        <v>40</v>
      </c>
      <c r="L840" s="8" t="s">
        <v>1552</v>
      </c>
      <c r="M840" s="8" t="s">
        <v>1552</v>
      </c>
      <c r="N840" s="8" t="s">
        <v>47</v>
      </c>
      <c r="O840" s="28">
        <v>45066</v>
      </c>
      <c r="P840" s="8"/>
      <c r="Q840" s="8" t="s">
        <v>1009</v>
      </c>
      <c r="R840" s="8" t="s">
        <v>36</v>
      </c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4">
        <f t="shared" si="13"/>
        <v>20</v>
      </c>
    </row>
    <row r="841" spans="1:30" ht="27" thickBot="1" x14ac:dyDescent="0.3">
      <c r="A841" s="3">
        <v>45061.338530092595</v>
      </c>
      <c r="B841" s="4" t="s">
        <v>1004</v>
      </c>
      <c r="C841" s="4" t="s">
        <v>1005</v>
      </c>
      <c r="D841" s="31" t="s">
        <v>42</v>
      </c>
      <c r="E841" s="8" t="s">
        <v>1553</v>
      </c>
      <c r="F841" s="9">
        <v>621307794</v>
      </c>
      <c r="G841" s="8"/>
      <c r="H841" s="8" t="s">
        <v>1554</v>
      </c>
      <c r="I841" s="9">
        <v>40</v>
      </c>
      <c r="J841" s="8" t="s">
        <v>38</v>
      </c>
      <c r="K841" s="9">
        <v>100</v>
      </c>
      <c r="L841" s="8" t="s">
        <v>1555</v>
      </c>
      <c r="M841" s="8" t="s">
        <v>1555</v>
      </c>
      <c r="N841" s="8" t="s">
        <v>47</v>
      </c>
      <c r="O841" s="28">
        <v>45087</v>
      </c>
      <c r="P841" s="8"/>
      <c r="Q841" s="8" t="s">
        <v>1009</v>
      </c>
      <c r="R841" s="8" t="s">
        <v>36</v>
      </c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4">
        <f t="shared" si="13"/>
        <v>20</v>
      </c>
    </row>
    <row r="842" spans="1:30" ht="27" thickBot="1" x14ac:dyDescent="0.3">
      <c r="A842" s="3">
        <v>45061.341435185182</v>
      </c>
      <c r="B842" s="4" t="s">
        <v>1004</v>
      </c>
      <c r="C842" s="4" t="s">
        <v>1005</v>
      </c>
      <c r="D842" s="31" t="s">
        <v>27</v>
      </c>
      <c r="E842" s="8" t="s">
        <v>1556</v>
      </c>
      <c r="F842" s="9">
        <v>621307794</v>
      </c>
      <c r="G842" s="8"/>
      <c r="H842" s="8" t="s">
        <v>1554</v>
      </c>
      <c r="I842" s="9">
        <v>40</v>
      </c>
      <c r="J842" s="8" t="s">
        <v>38</v>
      </c>
      <c r="K842" s="9">
        <v>100</v>
      </c>
      <c r="L842" s="8" t="s">
        <v>1007</v>
      </c>
      <c r="M842" s="8" t="s">
        <v>1007</v>
      </c>
      <c r="N842" s="8" t="s">
        <v>47</v>
      </c>
      <c r="O842" s="28">
        <v>45087</v>
      </c>
      <c r="P842" s="8"/>
      <c r="Q842" s="8" t="s">
        <v>1009</v>
      </c>
      <c r="R842" s="8" t="s">
        <v>36</v>
      </c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4">
        <f t="shared" si="13"/>
        <v>20</v>
      </c>
    </row>
    <row r="843" spans="1:30" ht="27" thickBot="1" x14ac:dyDescent="0.3">
      <c r="A843" s="3">
        <v>45061.382569444446</v>
      </c>
      <c r="B843" s="4" t="s">
        <v>253</v>
      </c>
      <c r="C843" s="4" t="s">
        <v>633</v>
      </c>
      <c r="D843" s="31" t="s">
        <v>42</v>
      </c>
      <c r="E843" s="4" t="s">
        <v>1557</v>
      </c>
      <c r="F843" s="5">
        <v>611664469</v>
      </c>
      <c r="G843" s="4"/>
      <c r="H843" s="4" t="s">
        <v>635</v>
      </c>
      <c r="I843" s="5">
        <v>10</v>
      </c>
      <c r="J843" s="4" t="s">
        <v>38</v>
      </c>
      <c r="K843" s="5">
        <v>7</v>
      </c>
      <c r="L843" s="4" t="s">
        <v>1558</v>
      </c>
      <c r="M843" s="4" t="s">
        <v>36</v>
      </c>
      <c r="N843" s="4" t="s">
        <v>90</v>
      </c>
      <c r="O843" s="6">
        <v>45061</v>
      </c>
      <c r="P843" s="4"/>
      <c r="Q843" s="4" t="s">
        <v>636</v>
      </c>
      <c r="R843" s="4" t="s">
        <v>36</v>
      </c>
      <c r="S843" s="4" t="s">
        <v>59</v>
      </c>
      <c r="T843" s="5">
        <v>7</v>
      </c>
      <c r="U843" s="6">
        <v>45061</v>
      </c>
      <c r="V843" s="4" t="s">
        <v>1373</v>
      </c>
      <c r="W843" s="4" t="s">
        <v>672</v>
      </c>
      <c r="X843" s="4"/>
      <c r="Y843" s="4"/>
      <c r="Z843" s="4"/>
      <c r="AA843" s="4"/>
      <c r="AB843" s="4"/>
      <c r="AC843" s="4"/>
      <c r="AD843" s="4">
        <f t="shared" si="13"/>
        <v>20</v>
      </c>
    </row>
    <row r="844" spans="1:30" ht="27" thickBot="1" x14ac:dyDescent="0.3">
      <c r="A844" s="3">
        <v>45061.391435185185</v>
      </c>
      <c r="B844" s="4" t="s">
        <v>1771</v>
      </c>
      <c r="C844" s="4" t="s">
        <v>496</v>
      </c>
      <c r="D844" s="31" t="s">
        <v>42</v>
      </c>
      <c r="E844" s="4" t="s">
        <v>1559</v>
      </c>
      <c r="F844" s="5">
        <v>621962157</v>
      </c>
      <c r="G844" s="5">
        <v>621962157</v>
      </c>
      <c r="H844" s="4" t="s">
        <v>525</v>
      </c>
      <c r="I844" s="5">
        <v>6</v>
      </c>
      <c r="J844" s="4" t="s">
        <v>38</v>
      </c>
      <c r="K844" s="5">
        <v>2</v>
      </c>
      <c r="L844" s="4" t="s">
        <v>982</v>
      </c>
      <c r="M844" s="4" t="s">
        <v>546</v>
      </c>
      <c r="N844" s="4" t="s">
        <v>90</v>
      </c>
      <c r="O844" s="6">
        <v>45059</v>
      </c>
      <c r="P844" s="4" t="s">
        <v>523</v>
      </c>
      <c r="Q844" s="4" t="s">
        <v>500</v>
      </c>
      <c r="R844" s="4" t="s">
        <v>36</v>
      </c>
      <c r="S844" s="4" t="s">
        <v>59</v>
      </c>
      <c r="T844" s="5">
        <v>2</v>
      </c>
      <c r="U844" s="6">
        <v>45061</v>
      </c>
      <c r="V844" s="4" t="s">
        <v>1373</v>
      </c>
      <c r="W844" s="4" t="s">
        <v>918</v>
      </c>
      <c r="X844" s="4"/>
      <c r="Y844" s="4"/>
      <c r="Z844" s="4"/>
      <c r="AA844" s="4"/>
      <c r="AB844" s="4"/>
      <c r="AC844" s="4"/>
      <c r="AD844" s="4">
        <f t="shared" si="13"/>
        <v>20</v>
      </c>
    </row>
    <row r="845" spans="1:30" ht="27" thickBot="1" x14ac:dyDescent="0.3">
      <c r="A845" s="3">
        <v>45061.402581018519</v>
      </c>
      <c r="B845" s="4" t="s">
        <v>253</v>
      </c>
      <c r="C845" s="4" t="s">
        <v>262</v>
      </c>
      <c r="D845" s="31" t="s">
        <v>42</v>
      </c>
      <c r="E845" s="4" t="s">
        <v>1560</v>
      </c>
      <c r="F845" s="5">
        <v>626530039</v>
      </c>
      <c r="G845" s="4"/>
      <c r="H845" s="4" t="s">
        <v>482</v>
      </c>
      <c r="I845" s="5">
        <v>30</v>
      </c>
      <c r="J845" s="4" t="s">
        <v>38</v>
      </c>
      <c r="K845" s="5">
        <v>8</v>
      </c>
      <c r="L845" s="4" t="s">
        <v>640</v>
      </c>
      <c r="M845" s="4" t="s">
        <v>1561</v>
      </c>
      <c r="N845" s="4" t="s">
        <v>33</v>
      </c>
      <c r="O845" s="6">
        <v>45061</v>
      </c>
      <c r="P845" s="4"/>
      <c r="Q845" s="4" t="s">
        <v>636</v>
      </c>
      <c r="R845" s="4" t="s">
        <v>36</v>
      </c>
      <c r="S845" s="4" t="s">
        <v>59</v>
      </c>
      <c r="T845" s="5">
        <v>8</v>
      </c>
      <c r="U845" s="6">
        <v>45061</v>
      </c>
      <c r="V845" s="4" t="s">
        <v>1373</v>
      </c>
      <c r="W845" s="4" t="s">
        <v>807</v>
      </c>
      <c r="X845" s="4"/>
      <c r="Y845" s="4"/>
      <c r="Z845" s="4"/>
      <c r="AA845" s="4"/>
      <c r="AB845" s="4"/>
      <c r="AC845" s="4"/>
      <c r="AD845" s="4">
        <f t="shared" si="13"/>
        <v>20</v>
      </c>
    </row>
    <row r="846" spans="1:30" ht="27" thickBot="1" x14ac:dyDescent="0.3">
      <c r="A846" s="3">
        <v>45061.450868055559</v>
      </c>
      <c r="B846" s="4" t="s">
        <v>677</v>
      </c>
      <c r="C846" s="4" t="s">
        <v>678</v>
      </c>
      <c r="D846" s="31" t="s">
        <v>42</v>
      </c>
      <c r="E846" s="4" t="s">
        <v>1562</v>
      </c>
      <c r="F846" s="5">
        <v>622300912</v>
      </c>
      <c r="G846" s="4"/>
      <c r="H846" s="4" t="s">
        <v>953</v>
      </c>
      <c r="I846" s="5">
        <v>10</v>
      </c>
      <c r="J846" s="4" t="s">
        <v>38</v>
      </c>
      <c r="K846" s="5">
        <v>10</v>
      </c>
      <c r="L846" s="4" t="s">
        <v>93</v>
      </c>
      <c r="M846" s="4" t="s">
        <v>93</v>
      </c>
      <c r="N846" s="4" t="s">
        <v>47</v>
      </c>
      <c r="O846" s="6">
        <v>45061</v>
      </c>
      <c r="P846" s="4"/>
      <c r="Q846" s="4" t="s">
        <v>682</v>
      </c>
      <c r="R846" s="4" t="s">
        <v>36</v>
      </c>
      <c r="S846" s="4" t="s">
        <v>59</v>
      </c>
      <c r="T846" s="5">
        <v>10</v>
      </c>
      <c r="U846" s="6">
        <v>45061</v>
      </c>
      <c r="V846" s="4" t="s">
        <v>1373</v>
      </c>
      <c r="W846" s="4" t="s">
        <v>1383</v>
      </c>
      <c r="X846" s="4"/>
      <c r="Y846" s="4"/>
      <c r="Z846" s="4"/>
      <c r="AA846" s="4"/>
      <c r="AB846" s="4"/>
      <c r="AC846" s="4"/>
      <c r="AD846" s="4">
        <f t="shared" si="13"/>
        <v>20</v>
      </c>
    </row>
    <row r="847" spans="1:30" ht="27" thickBot="1" x14ac:dyDescent="0.3">
      <c r="A847" s="3">
        <v>45061.464270833334</v>
      </c>
      <c r="B847" s="4" t="s">
        <v>1004</v>
      </c>
      <c r="C847" s="4" t="s">
        <v>1005</v>
      </c>
      <c r="D847" s="31" t="s">
        <v>27</v>
      </c>
      <c r="E847" s="8" t="s">
        <v>1563</v>
      </c>
      <c r="F847" s="9">
        <v>622642326</v>
      </c>
      <c r="G847" s="8"/>
      <c r="H847" s="8" t="s">
        <v>1021</v>
      </c>
      <c r="I847" s="9">
        <v>65</v>
      </c>
      <c r="J847" s="8" t="s">
        <v>38</v>
      </c>
      <c r="K847" s="9">
        <v>30</v>
      </c>
      <c r="L847" s="8" t="s">
        <v>1564</v>
      </c>
      <c r="M847" s="8" t="s">
        <v>1564</v>
      </c>
      <c r="N847" s="8" t="s">
        <v>33</v>
      </c>
      <c r="O847" s="28">
        <v>45062</v>
      </c>
      <c r="P847" s="8"/>
      <c r="Q847" s="8" t="s">
        <v>1009</v>
      </c>
      <c r="R847" s="8" t="s">
        <v>36</v>
      </c>
      <c r="S847" s="8" t="s">
        <v>59</v>
      </c>
      <c r="T847" s="9">
        <v>30</v>
      </c>
      <c r="U847" s="28">
        <v>45061</v>
      </c>
      <c r="V847" s="8" t="s">
        <v>1373</v>
      </c>
      <c r="W847" s="8" t="s">
        <v>1565</v>
      </c>
      <c r="X847" s="8"/>
      <c r="Y847" s="8"/>
      <c r="Z847" s="8"/>
      <c r="AA847" s="8"/>
      <c r="AB847" s="8"/>
      <c r="AC847" s="8"/>
      <c r="AD847" s="4">
        <f t="shared" si="13"/>
        <v>20</v>
      </c>
    </row>
    <row r="848" spans="1:30" ht="39.75" thickBot="1" x14ac:dyDescent="0.3">
      <c r="A848" s="3">
        <v>45061.471365740741</v>
      </c>
      <c r="B848" s="4" t="s">
        <v>1004</v>
      </c>
      <c r="C848" s="4" t="s">
        <v>1005</v>
      </c>
      <c r="D848" s="31" t="s">
        <v>42</v>
      </c>
      <c r="E848" s="8" t="s">
        <v>1566</v>
      </c>
      <c r="F848" s="9">
        <v>623522351</v>
      </c>
      <c r="G848" s="8"/>
      <c r="H848" s="8" t="s">
        <v>1026</v>
      </c>
      <c r="I848" s="8">
        <v>8</v>
      </c>
      <c r="J848" s="8" t="s">
        <v>38</v>
      </c>
      <c r="K848" s="8">
        <v>6</v>
      </c>
      <c r="L848" s="8" t="s">
        <v>1007</v>
      </c>
      <c r="M848" s="8" t="s">
        <v>1007</v>
      </c>
      <c r="N848" s="8" t="s">
        <v>47</v>
      </c>
      <c r="O848" s="28">
        <v>45078</v>
      </c>
      <c r="P848" s="8"/>
      <c r="Q848" s="8" t="s">
        <v>1009</v>
      </c>
      <c r="R848" s="8" t="s">
        <v>36</v>
      </c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4">
        <f t="shared" si="13"/>
        <v>20</v>
      </c>
    </row>
    <row r="849" spans="1:30" ht="27" thickBot="1" x14ac:dyDescent="0.3">
      <c r="A849" s="3">
        <v>45061.471956018519</v>
      </c>
      <c r="B849" s="4" t="s">
        <v>677</v>
      </c>
      <c r="C849" s="4" t="s">
        <v>678</v>
      </c>
      <c r="D849" s="31" t="s">
        <v>42</v>
      </c>
      <c r="E849" s="4" t="s">
        <v>1526</v>
      </c>
      <c r="F849" s="5">
        <v>622681371</v>
      </c>
      <c r="G849" s="4"/>
      <c r="H849" s="4" t="s">
        <v>950</v>
      </c>
      <c r="I849" s="5">
        <v>55</v>
      </c>
      <c r="J849" s="4" t="s">
        <v>38</v>
      </c>
      <c r="K849" s="5">
        <v>2</v>
      </c>
      <c r="L849" s="4" t="s">
        <v>93</v>
      </c>
      <c r="M849" s="4" t="s">
        <v>93</v>
      </c>
      <c r="N849" s="4" t="s">
        <v>47</v>
      </c>
      <c r="O849" s="6">
        <v>45061</v>
      </c>
      <c r="P849" s="4"/>
      <c r="Q849" s="4" t="s">
        <v>682</v>
      </c>
      <c r="R849" s="4" t="s">
        <v>36</v>
      </c>
      <c r="S849" s="4" t="s">
        <v>59</v>
      </c>
      <c r="T849" s="5">
        <v>2</v>
      </c>
      <c r="U849" s="6">
        <v>45061</v>
      </c>
      <c r="V849" s="4" t="s">
        <v>1373</v>
      </c>
      <c r="W849" s="4" t="s">
        <v>1376</v>
      </c>
      <c r="X849" s="4"/>
      <c r="Y849" s="4"/>
      <c r="Z849" s="4"/>
      <c r="AA849" s="4"/>
      <c r="AB849" s="4"/>
      <c r="AC849" s="4"/>
      <c r="AD849" s="4">
        <f t="shared" si="13"/>
        <v>20</v>
      </c>
    </row>
    <row r="850" spans="1:30" ht="27" thickBot="1" x14ac:dyDescent="0.3">
      <c r="A850" s="3">
        <v>45061.482719907406</v>
      </c>
      <c r="B850" s="4" t="s">
        <v>1769</v>
      </c>
      <c r="C850" s="4" t="s">
        <v>1117</v>
      </c>
      <c r="D850" s="31" t="s">
        <v>42</v>
      </c>
      <c r="E850" s="4" t="s">
        <v>1567</v>
      </c>
      <c r="F850" s="5">
        <v>623652019</v>
      </c>
      <c r="G850" s="5">
        <v>623652019</v>
      </c>
      <c r="H850" s="4" t="s">
        <v>445</v>
      </c>
      <c r="I850" s="5">
        <v>31</v>
      </c>
      <c r="J850" s="4" t="s">
        <v>38</v>
      </c>
      <c r="K850" s="5">
        <v>10</v>
      </c>
      <c r="L850" s="4" t="s">
        <v>93</v>
      </c>
      <c r="M850" s="4" t="s">
        <v>93</v>
      </c>
      <c r="N850" s="4" t="s">
        <v>47</v>
      </c>
      <c r="O850" s="6">
        <v>45063</v>
      </c>
      <c r="P850" s="4" t="s">
        <v>574</v>
      </c>
      <c r="Q850" s="4" t="s">
        <v>232</v>
      </c>
      <c r="R850" s="4" t="s">
        <v>36</v>
      </c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>
        <f t="shared" si="13"/>
        <v>20</v>
      </c>
    </row>
    <row r="851" spans="1:30" ht="27" thickBot="1" x14ac:dyDescent="0.3">
      <c r="A851" s="3">
        <v>45061.486724537041</v>
      </c>
      <c r="B851" s="4" t="s">
        <v>1769</v>
      </c>
      <c r="C851" s="4" t="s">
        <v>1117</v>
      </c>
      <c r="D851" s="31" t="s">
        <v>42</v>
      </c>
      <c r="E851" s="4" t="s">
        <v>1568</v>
      </c>
      <c r="F851" s="5">
        <v>656127202</v>
      </c>
      <c r="G851" s="5">
        <v>656127202</v>
      </c>
      <c r="H851" s="4" t="s">
        <v>277</v>
      </c>
      <c r="I851" s="5">
        <v>3</v>
      </c>
      <c r="J851" s="4" t="s">
        <v>38</v>
      </c>
      <c r="K851" s="5">
        <v>1</v>
      </c>
      <c r="L851" s="4" t="s">
        <v>93</v>
      </c>
      <c r="M851" s="4" t="s">
        <v>93</v>
      </c>
      <c r="N851" s="4" t="s">
        <v>47</v>
      </c>
      <c r="O851" s="6">
        <v>45061</v>
      </c>
      <c r="P851" s="4" t="s">
        <v>574</v>
      </c>
      <c r="Q851" s="4" t="s">
        <v>232</v>
      </c>
      <c r="R851" s="4" t="s">
        <v>36</v>
      </c>
      <c r="S851" s="4" t="s">
        <v>59</v>
      </c>
      <c r="T851" s="5">
        <v>1</v>
      </c>
      <c r="U851" s="6">
        <v>45061</v>
      </c>
      <c r="V851" s="4" t="s">
        <v>1373</v>
      </c>
      <c r="W851" s="4" t="s">
        <v>1119</v>
      </c>
      <c r="X851" s="4"/>
      <c r="Y851" s="4"/>
      <c r="Z851" s="4"/>
      <c r="AA851" s="4"/>
      <c r="AB851" s="4"/>
      <c r="AC851" s="4"/>
      <c r="AD851" s="4">
        <f t="shared" si="13"/>
        <v>20</v>
      </c>
    </row>
    <row r="852" spans="1:30" ht="39.75" thickBot="1" x14ac:dyDescent="0.3">
      <c r="A852" s="3">
        <v>45061.539861111109</v>
      </c>
      <c r="B852" s="4" t="s">
        <v>876</v>
      </c>
      <c r="C852" s="4" t="s">
        <v>890</v>
      </c>
      <c r="D852" s="31" t="s">
        <v>27</v>
      </c>
      <c r="E852" s="4" t="s">
        <v>1569</v>
      </c>
      <c r="F852" s="5">
        <v>628231428</v>
      </c>
      <c r="G852" s="4"/>
      <c r="H852" s="4" t="s">
        <v>879</v>
      </c>
      <c r="I852" s="5">
        <v>15</v>
      </c>
      <c r="J852" s="4" t="s">
        <v>101</v>
      </c>
      <c r="K852" s="5">
        <v>20</v>
      </c>
      <c r="L852" s="4" t="s">
        <v>323</v>
      </c>
      <c r="M852" s="4" t="s">
        <v>93</v>
      </c>
      <c r="N852" s="4" t="s">
        <v>57</v>
      </c>
      <c r="O852" s="6">
        <v>45072</v>
      </c>
      <c r="P852" s="4"/>
      <c r="Q852" s="4" t="s">
        <v>882</v>
      </c>
      <c r="R852" s="4" t="s">
        <v>36</v>
      </c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>
        <f t="shared" si="13"/>
        <v>20</v>
      </c>
    </row>
    <row r="853" spans="1:30" ht="27" thickBot="1" x14ac:dyDescent="0.3">
      <c r="A853" s="3">
        <v>45061.547048611108</v>
      </c>
      <c r="B853" s="4" t="s">
        <v>1770</v>
      </c>
      <c r="C853" s="4" t="s">
        <v>254</v>
      </c>
      <c r="D853" s="31" t="s">
        <v>42</v>
      </c>
      <c r="E853" s="4" t="s">
        <v>1570</v>
      </c>
      <c r="F853" s="5">
        <v>620769912</v>
      </c>
      <c r="G853" s="5">
        <v>620769912</v>
      </c>
      <c r="H853" s="4" t="s">
        <v>476</v>
      </c>
      <c r="I853" s="5">
        <v>3</v>
      </c>
      <c r="J853" s="4" t="s">
        <v>38</v>
      </c>
      <c r="K853" s="5">
        <v>1</v>
      </c>
      <c r="L853" s="4" t="s">
        <v>512</v>
      </c>
      <c r="M853" s="4" t="s">
        <v>512</v>
      </c>
      <c r="N853" s="4" t="s">
        <v>33</v>
      </c>
      <c r="O853" s="6">
        <v>45064</v>
      </c>
      <c r="P853" s="4"/>
      <c r="Q853" s="4" t="s">
        <v>405</v>
      </c>
      <c r="R853" s="4" t="s">
        <v>36</v>
      </c>
      <c r="S853" s="4" t="s">
        <v>59</v>
      </c>
      <c r="T853" s="5">
        <v>1</v>
      </c>
      <c r="U853" s="6">
        <v>45062</v>
      </c>
      <c r="V853" s="4" t="s">
        <v>1373</v>
      </c>
      <c r="W853" s="4" t="s">
        <v>1571</v>
      </c>
      <c r="X853" s="4"/>
      <c r="Y853" s="4"/>
      <c r="Z853" s="4"/>
      <c r="AA853" s="4"/>
      <c r="AB853" s="4"/>
      <c r="AC853" s="4"/>
      <c r="AD853" s="4">
        <f t="shared" si="13"/>
        <v>20</v>
      </c>
    </row>
    <row r="854" spans="1:30" ht="27" thickBot="1" x14ac:dyDescent="0.3">
      <c r="A854" s="3">
        <v>45061.548680555556</v>
      </c>
      <c r="B854" s="4" t="s">
        <v>1770</v>
      </c>
      <c r="C854" s="4" t="s">
        <v>254</v>
      </c>
      <c r="D854" s="31" t="s">
        <v>42</v>
      </c>
      <c r="E854" s="4" t="s">
        <v>1572</v>
      </c>
      <c r="F854" s="5">
        <v>623039062</v>
      </c>
      <c r="G854" s="5">
        <v>623039062</v>
      </c>
      <c r="H854" s="4" t="s">
        <v>476</v>
      </c>
      <c r="I854" s="5">
        <v>3</v>
      </c>
      <c r="J854" s="4" t="s">
        <v>38</v>
      </c>
      <c r="K854" s="5">
        <v>2</v>
      </c>
      <c r="L854" s="4" t="s">
        <v>493</v>
      </c>
      <c r="M854" s="4" t="s">
        <v>493</v>
      </c>
      <c r="N854" s="4" t="s">
        <v>90</v>
      </c>
      <c r="O854" s="6">
        <v>45064</v>
      </c>
      <c r="P854" s="4"/>
      <c r="Q854" s="4" t="s">
        <v>405</v>
      </c>
      <c r="R854" s="4" t="s">
        <v>36</v>
      </c>
      <c r="S854" s="4" t="s">
        <v>59</v>
      </c>
      <c r="T854" s="5">
        <v>2</v>
      </c>
      <c r="U854" s="6">
        <v>45062</v>
      </c>
      <c r="V854" s="4" t="s">
        <v>1373</v>
      </c>
      <c r="W854" s="4" t="s">
        <v>1571</v>
      </c>
      <c r="X854" s="4"/>
      <c r="Y854" s="4"/>
      <c r="Z854" s="4"/>
      <c r="AA854" s="4"/>
      <c r="AB854" s="4"/>
      <c r="AC854" s="4"/>
      <c r="AD854" s="4">
        <f t="shared" si="13"/>
        <v>20</v>
      </c>
    </row>
    <row r="855" spans="1:30" ht="27" thickBot="1" x14ac:dyDescent="0.3">
      <c r="A855" s="3">
        <v>45061.550486111111</v>
      </c>
      <c r="B855" s="4" t="s">
        <v>1770</v>
      </c>
      <c r="C855" s="4" t="s">
        <v>254</v>
      </c>
      <c r="D855" s="31" t="s">
        <v>42</v>
      </c>
      <c r="E855" s="4" t="s">
        <v>683</v>
      </c>
      <c r="F855" s="5">
        <v>624268775</v>
      </c>
      <c r="G855" s="5">
        <v>624268775</v>
      </c>
      <c r="H855" s="4" t="s">
        <v>476</v>
      </c>
      <c r="I855" s="5">
        <v>5</v>
      </c>
      <c r="J855" s="4" t="s">
        <v>38</v>
      </c>
      <c r="K855" s="5">
        <v>2</v>
      </c>
      <c r="L855" s="4" t="s">
        <v>512</v>
      </c>
      <c r="M855" s="4" t="s">
        <v>512</v>
      </c>
      <c r="N855" s="4" t="s">
        <v>33</v>
      </c>
      <c r="O855" s="6">
        <v>45065</v>
      </c>
      <c r="P855" s="4"/>
      <c r="Q855" s="4" t="s">
        <v>405</v>
      </c>
      <c r="R855" s="4" t="s">
        <v>36</v>
      </c>
      <c r="S855" s="4" t="s">
        <v>59</v>
      </c>
      <c r="T855" s="5">
        <v>2</v>
      </c>
      <c r="U855" s="6">
        <v>45062</v>
      </c>
      <c r="V855" s="4" t="s">
        <v>1373</v>
      </c>
      <c r="W855" s="4" t="s">
        <v>745</v>
      </c>
      <c r="X855" s="4"/>
      <c r="Y855" s="4"/>
      <c r="Z855" s="4"/>
      <c r="AA855" s="4"/>
      <c r="AB855" s="4"/>
      <c r="AC855" s="4"/>
      <c r="AD855" s="4">
        <f t="shared" si="13"/>
        <v>20</v>
      </c>
    </row>
    <row r="856" spans="1:30" ht="27" thickBot="1" x14ac:dyDescent="0.3">
      <c r="A856" s="3">
        <v>45061.552430555559</v>
      </c>
      <c r="B856" s="4" t="s">
        <v>1770</v>
      </c>
      <c r="C856" s="4" t="s">
        <v>254</v>
      </c>
      <c r="D856" s="31" t="s">
        <v>42</v>
      </c>
      <c r="E856" s="4" t="s">
        <v>1573</v>
      </c>
      <c r="F856" s="5">
        <v>627935149</v>
      </c>
      <c r="G856" s="5">
        <v>627935149</v>
      </c>
      <c r="H856" s="4" t="s">
        <v>476</v>
      </c>
      <c r="I856" s="5">
        <v>3</v>
      </c>
      <c r="J856" s="4" t="s">
        <v>38</v>
      </c>
      <c r="K856" s="5">
        <v>2</v>
      </c>
      <c r="L856" s="4" t="s">
        <v>512</v>
      </c>
      <c r="M856" s="4" t="s">
        <v>512</v>
      </c>
      <c r="N856" s="4" t="s">
        <v>33</v>
      </c>
      <c r="O856" s="6">
        <v>45065</v>
      </c>
      <c r="P856" s="4"/>
      <c r="Q856" s="4" t="s">
        <v>405</v>
      </c>
      <c r="R856" s="4" t="s">
        <v>36</v>
      </c>
      <c r="S856" s="4" t="s">
        <v>59</v>
      </c>
      <c r="T856" s="5">
        <v>2</v>
      </c>
      <c r="U856" s="6">
        <v>45062</v>
      </c>
      <c r="V856" s="4" t="s">
        <v>1373</v>
      </c>
      <c r="W856" s="4" t="s">
        <v>686</v>
      </c>
      <c r="X856" s="4"/>
      <c r="Y856" s="4"/>
      <c r="Z856" s="4"/>
      <c r="AA856" s="4"/>
      <c r="AB856" s="4"/>
      <c r="AC856" s="4"/>
      <c r="AD856" s="4">
        <f t="shared" si="13"/>
        <v>20</v>
      </c>
    </row>
    <row r="857" spans="1:30" ht="27" thickBot="1" x14ac:dyDescent="0.3">
      <c r="A857" s="3">
        <v>45061.554108796299</v>
      </c>
      <c r="B857" s="4" t="s">
        <v>1770</v>
      </c>
      <c r="C857" s="4" t="s">
        <v>254</v>
      </c>
      <c r="D857" s="31" t="s">
        <v>42</v>
      </c>
      <c r="E857" s="4" t="s">
        <v>1574</v>
      </c>
      <c r="F857" s="5">
        <v>628821714</v>
      </c>
      <c r="G857" s="5">
        <v>628821714</v>
      </c>
      <c r="H857" s="4" t="s">
        <v>476</v>
      </c>
      <c r="I857" s="5">
        <v>5</v>
      </c>
      <c r="J857" s="4" t="s">
        <v>38</v>
      </c>
      <c r="K857" s="5">
        <v>2</v>
      </c>
      <c r="L857" s="4" t="s">
        <v>1575</v>
      </c>
      <c r="M857" s="4" t="s">
        <v>1575</v>
      </c>
      <c r="N857" s="4" t="s">
        <v>33</v>
      </c>
      <c r="O857" s="6">
        <v>45065</v>
      </c>
      <c r="P857" s="4"/>
      <c r="Q857" s="4" t="s">
        <v>405</v>
      </c>
      <c r="R857" s="4" t="s">
        <v>36</v>
      </c>
      <c r="S857" s="4" t="s">
        <v>59</v>
      </c>
      <c r="T857" s="5">
        <v>2</v>
      </c>
      <c r="U857" s="6">
        <v>45062</v>
      </c>
      <c r="V857" s="4" t="s">
        <v>1373</v>
      </c>
      <c r="W857" s="4" t="s">
        <v>1571</v>
      </c>
      <c r="X857" s="4"/>
      <c r="Y857" s="4"/>
      <c r="Z857" s="4"/>
      <c r="AA857" s="4"/>
      <c r="AB857" s="4"/>
      <c r="AC857" s="4"/>
      <c r="AD857" s="4">
        <f t="shared" si="13"/>
        <v>20</v>
      </c>
    </row>
    <row r="858" spans="1:30" ht="27" thickBot="1" x14ac:dyDescent="0.3">
      <c r="A858" s="3">
        <v>45061.556192129632</v>
      </c>
      <c r="B858" s="4" t="s">
        <v>1770</v>
      </c>
      <c r="C858" s="4" t="s">
        <v>254</v>
      </c>
      <c r="D858" s="31" t="s">
        <v>42</v>
      </c>
      <c r="E858" s="4" t="s">
        <v>1576</v>
      </c>
      <c r="F858" s="5">
        <v>625342400</v>
      </c>
      <c r="G858" s="5">
        <v>625342400</v>
      </c>
      <c r="H858" s="4" t="s">
        <v>476</v>
      </c>
      <c r="I858" s="5">
        <v>8</v>
      </c>
      <c r="J858" s="4" t="s">
        <v>38</v>
      </c>
      <c r="K858" s="5">
        <v>2</v>
      </c>
      <c r="L858" s="4" t="s">
        <v>493</v>
      </c>
      <c r="M858" s="4" t="s">
        <v>493</v>
      </c>
      <c r="N858" s="4" t="s">
        <v>90</v>
      </c>
      <c r="O858" s="6">
        <v>45066</v>
      </c>
      <c r="P858" s="4"/>
      <c r="Q858" s="4" t="s">
        <v>405</v>
      </c>
      <c r="R858" s="4" t="s">
        <v>36</v>
      </c>
      <c r="S858" s="4" t="s">
        <v>59</v>
      </c>
      <c r="T858" s="5">
        <v>2</v>
      </c>
      <c r="U858" s="6">
        <v>45062</v>
      </c>
      <c r="V858" s="4" t="s">
        <v>1373</v>
      </c>
      <c r="W858" s="4" t="s">
        <v>748</v>
      </c>
      <c r="X858" s="4"/>
      <c r="Y858" s="4"/>
      <c r="Z858" s="4"/>
      <c r="AA858" s="4"/>
      <c r="AB858" s="4"/>
      <c r="AC858" s="4"/>
      <c r="AD858" s="4">
        <f t="shared" si="13"/>
        <v>20</v>
      </c>
    </row>
    <row r="859" spans="1:30" ht="27" thickBot="1" x14ac:dyDescent="0.3">
      <c r="A859" s="3">
        <v>45061.558831018519</v>
      </c>
      <c r="B859" s="4" t="s">
        <v>1770</v>
      </c>
      <c r="C859" s="4" t="s">
        <v>254</v>
      </c>
      <c r="D859" s="31" t="s">
        <v>42</v>
      </c>
      <c r="E859" s="4" t="s">
        <v>157</v>
      </c>
      <c r="F859" s="5">
        <v>610712706</v>
      </c>
      <c r="G859" s="5">
        <v>610712706</v>
      </c>
      <c r="H859" s="4" t="s">
        <v>476</v>
      </c>
      <c r="I859" s="5">
        <v>7</v>
      </c>
      <c r="J859" s="4" t="s">
        <v>38</v>
      </c>
      <c r="K859" s="5">
        <v>3</v>
      </c>
      <c r="L859" s="4" t="s">
        <v>493</v>
      </c>
      <c r="M859" s="4" t="s">
        <v>493</v>
      </c>
      <c r="N859" s="4" t="s">
        <v>90</v>
      </c>
      <c r="O859" s="6">
        <v>45067</v>
      </c>
      <c r="P859" s="4"/>
      <c r="Q859" s="4" t="s">
        <v>405</v>
      </c>
      <c r="R859" s="4" t="s">
        <v>36</v>
      </c>
      <c r="S859" s="4" t="s">
        <v>59</v>
      </c>
      <c r="T859" s="5">
        <v>3</v>
      </c>
      <c r="U859" s="6">
        <v>45062</v>
      </c>
      <c r="V859" s="4" t="s">
        <v>1373</v>
      </c>
      <c r="W859" s="4" t="s">
        <v>747</v>
      </c>
      <c r="X859" s="4"/>
      <c r="Y859" s="4"/>
      <c r="Z859" s="4"/>
      <c r="AA859" s="4"/>
      <c r="AB859" s="4"/>
      <c r="AC859" s="4"/>
      <c r="AD859" s="4">
        <f t="shared" si="13"/>
        <v>20</v>
      </c>
    </row>
    <row r="860" spans="1:30" ht="39.75" thickBot="1" x14ac:dyDescent="0.3">
      <c r="A860" s="3">
        <v>45061.560717592591</v>
      </c>
      <c r="B860" s="4" t="s">
        <v>1770</v>
      </c>
      <c r="C860" s="4" t="s">
        <v>254</v>
      </c>
      <c r="D860" s="31" t="s">
        <v>42</v>
      </c>
      <c r="E860" s="4" t="s">
        <v>1577</v>
      </c>
      <c r="F860" s="5">
        <v>620013765</v>
      </c>
      <c r="G860" s="5">
        <v>620013765</v>
      </c>
      <c r="H860" s="4" t="s">
        <v>476</v>
      </c>
      <c r="I860" s="5">
        <v>3</v>
      </c>
      <c r="J860" s="4" t="s">
        <v>38</v>
      </c>
      <c r="K860" s="5">
        <v>2</v>
      </c>
      <c r="L860" s="4" t="s">
        <v>512</v>
      </c>
      <c r="M860" s="4" t="s">
        <v>512</v>
      </c>
      <c r="N860" s="4" t="s">
        <v>33</v>
      </c>
      <c r="O860" s="6">
        <v>45067</v>
      </c>
      <c r="P860" s="4"/>
      <c r="Q860" s="4" t="s">
        <v>405</v>
      </c>
      <c r="R860" s="4" t="s">
        <v>36</v>
      </c>
      <c r="S860" s="4" t="s">
        <v>59</v>
      </c>
      <c r="T860" s="5">
        <v>2</v>
      </c>
      <c r="U860" s="6">
        <v>45062</v>
      </c>
      <c r="V860" s="4" t="s">
        <v>1373</v>
      </c>
      <c r="W860" s="4" t="s">
        <v>745</v>
      </c>
      <c r="X860" s="4"/>
      <c r="Y860" s="4"/>
      <c r="Z860" s="4"/>
      <c r="AA860" s="4"/>
      <c r="AB860" s="4"/>
      <c r="AC860" s="4"/>
      <c r="AD860" s="4">
        <f t="shared" si="13"/>
        <v>20</v>
      </c>
    </row>
    <row r="861" spans="1:30" ht="27" thickBot="1" x14ac:dyDescent="0.3">
      <c r="A861" s="3">
        <v>45061.562581018516</v>
      </c>
      <c r="B861" s="4" t="s">
        <v>1770</v>
      </c>
      <c r="C861" s="4" t="s">
        <v>254</v>
      </c>
      <c r="D861" s="31" t="s">
        <v>42</v>
      </c>
      <c r="E861" s="4" t="s">
        <v>1578</v>
      </c>
      <c r="F861" s="5">
        <v>622067506</v>
      </c>
      <c r="G861" s="5">
        <v>622067506</v>
      </c>
      <c r="H861" s="4" t="s">
        <v>476</v>
      </c>
      <c r="I861" s="5">
        <v>8</v>
      </c>
      <c r="J861" s="4" t="s">
        <v>38</v>
      </c>
      <c r="K861" s="5">
        <v>2</v>
      </c>
      <c r="L861" s="4" t="s">
        <v>512</v>
      </c>
      <c r="M861" s="4" t="s">
        <v>512</v>
      </c>
      <c r="N861" s="4" t="s">
        <v>33</v>
      </c>
      <c r="O861" s="6">
        <v>45068</v>
      </c>
      <c r="P861" s="4"/>
      <c r="Q861" s="4" t="s">
        <v>405</v>
      </c>
      <c r="R861" s="4" t="s">
        <v>36</v>
      </c>
      <c r="S861" s="4" t="s">
        <v>59</v>
      </c>
      <c r="T861" s="5">
        <v>2</v>
      </c>
      <c r="U861" s="6">
        <v>45062</v>
      </c>
      <c r="V861" s="4" t="s">
        <v>1373</v>
      </c>
      <c r="W861" s="4" t="s">
        <v>747</v>
      </c>
      <c r="X861" s="4"/>
      <c r="Y861" s="4"/>
      <c r="Z861" s="4"/>
      <c r="AA861" s="4"/>
      <c r="AB861" s="4"/>
      <c r="AC861" s="4"/>
      <c r="AD861" s="4">
        <f t="shared" si="13"/>
        <v>20</v>
      </c>
    </row>
    <row r="862" spans="1:30" ht="27" thickBot="1" x14ac:dyDescent="0.3">
      <c r="A862" s="3">
        <v>45061.564432870371</v>
      </c>
      <c r="B862" s="4" t="s">
        <v>1770</v>
      </c>
      <c r="C862" s="4" t="s">
        <v>1579</v>
      </c>
      <c r="D862" s="31" t="s">
        <v>42</v>
      </c>
      <c r="E862" s="4" t="s">
        <v>1580</v>
      </c>
      <c r="F862" s="5">
        <v>627330235</v>
      </c>
      <c r="G862" s="5">
        <v>627330235</v>
      </c>
      <c r="H862" s="4" t="s">
        <v>476</v>
      </c>
      <c r="I862" s="5">
        <v>12</v>
      </c>
      <c r="J862" s="4" t="s">
        <v>38</v>
      </c>
      <c r="K862" s="5">
        <v>1</v>
      </c>
      <c r="L862" s="4" t="s">
        <v>512</v>
      </c>
      <c r="M862" s="4" t="s">
        <v>512</v>
      </c>
      <c r="N862" s="4" t="s">
        <v>33</v>
      </c>
      <c r="O862" s="6">
        <v>45068</v>
      </c>
      <c r="P862" s="4"/>
      <c r="Q862" s="4" t="s">
        <v>405</v>
      </c>
      <c r="R862" s="4" t="s">
        <v>36</v>
      </c>
      <c r="S862" s="4" t="s">
        <v>59</v>
      </c>
      <c r="T862" s="5">
        <v>1</v>
      </c>
      <c r="U862" s="6">
        <v>45062</v>
      </c>
      <c r="V862" s="4" t="s">
        <v>1373</v>
      </c>
      <c r="W862" s="4" t="s">
        <v>747</v>
      </c>
      <c r="X862" s="4"/>
      <c r="Y862" s="4"/>
      <c r="Z862" s="4"/>
      <c r="AA862" s="4"/>
      <c r="AB862" s="4"/>
      <c r="AC862" s="4"/>
      <c r="AD862" s="4">
        <f t="shared" si="13"/>
        <v>20</v>
      </c>
    </row>
    <row r="863" spans="1:30" ht="27" thickBot="1" x14ac:dyDescent="0.3">
      <c r="A863" s="3">
        <v>45061.565844907411</v>
      </c>
      <c r="B863" s="4" t="s">
        <v>1770</v>
      </c>
      <c r="C863" s="4" t="s">
        <v>254</v>
      </c>
      <c r="D863" s="31" t="s">
        <v>42</v>
      </c>
      <c r="E863" s="4" t="s">
        <v>1581</v>
      </c>
      <c r="F863" s="5">
        <v>629777011</v>
      </c>
      <c r="G863" s="5">
        <v>629777011</v>
      </c>
      <c r="H863" s="4" t="s">
        <v>476</v>
      </c>
      <c r="I863" s="5">
        <v>2</v>
      </c>
      <c r="J863" s="4" t="s">
        <v>38</v>
      </c>
      <c r="K863" s="5">
        <v>2</v>
      </c>
      <c r="L863" s="4" t="s">
        <v>512</v>
      </c>
      <c r="M863" s="4" t="s">
        <v>512</v>
      </c>
      <c r="N863" s="4" t="s">
        <v>33</v>
      </c>
      <c r="O863" s="6">
        <v>45068</v>
      </c>
      <c r="P863" s="4"/>
      <c r="Q863" s="4" t="s">
        <v>405</v>
      </c>
      <c r="R863" s="4" t="s">
        <v>36</v>
      </c>
      <c r="S863" s="4" t="s">
        <v>59</v>
      </c>
      <c r="T863" s="5">
        <v>2</v>
      </c>
      <c r="U863" s="6">
        <v>45062</v>
      </c>
      <c r="V863" s="4" t="s">
        <v>1373</v>
      </c>
      <c r="W863" s="4" t="s">
        <v>745</v>
      </c>
      <c r="X863" s="4"/>
      <c r="Y863" s="4"/>
      <c r="Z863" s="4"/>
      <c r="AA863" s="4"/>
      <c r="AB863" s="4"/>
      <c r="AC863" s="4"/>
      <c r="AD863" s="4">
        <f t="shared" si="13"/>
        <v>20</v>
      </c>
    </row>
    <row r="864" spans="1:30" ht="27" thickBot="1" x14ac:dyDescent="0.3">
      <c r="A864" s="3">
        <v>45061.567546296297</v>
      </c>
      <c r="B864" s="4" t="s">
        <v>1770</v>
      </c>
      <c r="C864" s="4" t="s">
        <v>254</v>
      </c>
      <c r="D864" s="31" t="s">
        <v>42</v>
      </c>
      <c r="E864" s="4" t="s">
        <v>1582</v>
      </c>
      <c r="F864" s="5">
        <v>622721370</v>
      </c>
      <c r="G864" s="5">
        <v>622721370</v>
      </c>
      <c r="H864" s="4" t="s">
        <v>476</v>
      </c>
      <c r="I864" s="5">
        <v>2</v>
      </c>
      <c r="J864" s="4" t="s">
        <v>38</v>
      </c>
      <c r="K864" s="5">
        <v>3</v>
      </c>
      <c r="L864" s="4" t="s">
        <v>512</v>
      </c>
      <c r="M864" s="4" t="s">
        <v>512</v>
      </c>
      <c r="N864" s="4" t="s">
        <v>33</v>
      </c>
      <c r="O864" s="6">
        <v>45068</v>
      </c>
      <c r="P864" s="4"/>
      <c r="Q864" s="4" t="s">
        <v>405</v>
      </c>
      <c r="R864" s="4" t="s">
        <v>36</v>
      </c>
      <c r="S864" s="4" t="s">
        <v>59</v>
      </c>
      <c r="T864" s="5">
        <v>3</v>
      </c>
      <c r="U864" s="6">
        <v>45062</v>
      </c>
      <c r="V864" s="4" t="s">
        <v>1373</v>
      </c>
      <c r="W864" s="4" t="s">
        <v>686</v>
      </c>
      <c r="X864" s="4"/>
      <c r="Y864" s="4"/>
      <c r="Z864" s="4"/>
      <c r="AA864" s="4"/>
      <c r="AB864" s="4"/>
      <c r="AC864" s="4"/>
      <c r="AD864" s="4">
        <f t="shared" si="13"/>
        <v>20</v>
      </c>
    </row>
    <row r="865" spans="1:30" ht="39.75" thickBot="1" x14ac:dyDescent="0.3">
      <c r="A865" s="3">
        <v>45061.568645833337</v>
      </c>
      <c r="B865" s="4" t="s">
        <v>1123</v>
      </c>
      <c r="C865" s="4" t="s">
        <v>1123</v>
      </c>
      <c r="D865" s="31" t="s">
        <v>27</v>
      </c>
      <c r="E865" s="4" t="s">
        <v>1583</v>
      </c>
      <c r="F865" s="5">
        <v>628334356</v>
      </c>
      <c r="G865" s="5">
        <v>664334356</v>
      </c>
      <c r="H865" s="4" t="s">
        <v>1399</v>
      </c>
      <c r="I865" s="5">
        <v>88</v>
      </c>
      <c r="J865" s="4" t="s">
        <v>38</v>
      </c>
      <c r="K865" s="5">
        <v>20</v>
      </c>
      <c r="L865" s="4" t="s">
        <v>1584</v>
      </c>
      <c r="M865" s="4" t="s">
        <v>1126</v>
      </c>
      <c r="N865" s="4" t="s">
        <v>33</v>
      </c>
      <c r="O865" s="6">
        <v>45062</v>
      </c>
      <c r="P865" s="4" t="s">
        <v>1134</v>
      </c>
      <c r="Q865" s="4" t="s">
        <v>1128</v>
      </c>
      <c r="R865" s="4" t="s">
        <v>36</v>
      </c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>
        <f t="shared" si="13"/>
        <v>20</v>
      </c>
    </row>
    <row r="866" spans="1:30" ht="39.75" thickBot="1" x14ac:dyDescent="0.3">
      <c r="A866" s="3">
        <v>45061.57403935185</v>
      </c>
      <c r="B866" s="4" t="s">
        <v>552</v>
      </c>
      <c r="C866" s="4" t="s">
        <v>553</v>
      </c>
      <c r="D866" s="31" t="s">
        <v>42</v>
      </c>
      <c r="E866" s="4" t="s">
        <v>1585</v>
      </c>
      <c r="F866" s="5">
        <v>627209323</v>
      </c>
      <c r="G866" s="4"/>
      <c r="H866" s="4" t="s">
        <v>1153</v>
      </c>
      <c r="I866" s="5">
        <v>16</v>
      </c>
      <c r="J866" s="4" t="s">
        <v>38</v>
      </c>
      <c r="K866" s="5">
        <v>2</v>
      </c>
      <c r="L866" s="4" t="s">
        <v>1586</v>
      </c>
      <c r="M866" s="4" t="s">
        <v>1586</v>
      </c>
      <c r="N866" s="4" t="s">
        <v>90</v>
      </c>
      <c r="O866" s="6">
        <v>45062</v>
      </c>
      <c r="P866" s="4"/>
      <c r="Q866" s="4" t="s">
        <v>558</v>
      </c>
      <c r="R866" s="4" t="s">
        <v>36</v>
      </c>
      <c r="S866" s="4" t="s">
        <v>59</v>
      </c>
      <c r="T866" s="5">
        <v>2</v>
      </c>
      <c r="U866" s="6">
        <v>45062</v>
      </c>
      <c r="V866" s="4" t="s">
        <v>1373</v>
      </c>
      <c r="W866" s="4" t="s">
        <v>1154</v>
      </c>
      <c r="X866" s="4"/>
      <c r="Y866" s="4"/>
      <c r="Z866" s="4"/>
      <c r="AA866" s="4"/>
      <c r="AB866" s="4"/>
      <c r="AC866" s="4"/>
      <c r="AD866" s="4">
        <f t="shared" si="13"/>
        <v>20</v>
      </c>
    </row>
    <row r="867" spans="1:30" ht="27" thickBot="1" x14ac:dyDescent="0.3">
      <c r="A867" s="3">
        <v>45061.587500000001</v>
      </c>
      <c r="B867" s="4" t="s">
        <v>1004</v>
      </c>
      <c r="C867" s="4" t="s">
        <v>1005</v>
      </c>
      <c r="D867" s="31" t="s">
        <v>27</v>
      </c>
      <c r="E867" s="8" t="s">
        <v>1587</v>
      </c>
      <c r="F867" s="9">
        <v>628205979</v>
      </c>
      <c r="G867" s="8"/>
      <c r="H867" s="8" t="s">
        <v>1021</v>
      </c>
      <c r="I867" s="9">
        <v>48</v>
      </c>
      <c r="J867" s="8" t="s">
        <v>38</v>
      </c>
      <c r="K867" s="9">
        <v>50</v>
      </c>
      <c r="L867" s="8" t="s">
        <v>1007</v>
      </c>
      <c r="M867" s="8" t="s">
        <v>1007</v>
      </c>
      <c r="N867" s="8" t="s">
        <v>47</v>
      </c>
      <c r="O867" s="28">
        <v>45066</v>
      </c>
      <c r="P867" s="8"/>
      <c r="Q867" s="8" t="s">
        <v>1009</v>
      </c>
      <c r="R867" s="8" t="s">
        <v>36</v>
      </c>
      <c r="S867" s="8" t="s">
        <v>59</v>
      </c>
      <c r="T867" s="9">
        <v>31</v>
      </c>
      <c r="U867" s="28">
        <v>45061</v>
      </c>
      <c r="V867" s="8" t="s">
        <v>1373</v>
      </c>
      <c r="W867" s="8" t="s">
        <v>1384</v>
      </c>
      <c r="X867" s="8"/>
      <c r="Y867" s="8"/>
      <c r="Z867" s="8"/>
      <c r="AA867" s="8"/>
      <c r="AB867" s="8"/>
      <c r="AC867" s="8"/>
      <c r="AD867" s="4">
        <f t="shared" si="13"/>
        <v>20</v>
      </c>
    </row>
    <row r="868" spans="1:30" ht="27" thickBot="1" x14ac:dyDescent="0.3">
      <c r="A868" s="3">
        <v>45061.64335648148</v>
      </c>
      <c r="B868" s="4" t="s">
        <v>1769</v>
      </c>
      <c r="C868" s="4" t="s">
        <v>1117</v>
      </c>
      <c r="D868" s="31" t="s">
        <v>42</v>
      </c>
      <c r="E868" s="4" t="s">
        <v>1567</v>
      </c>
      <c r="F868" s="5">
        <v>623652019</v>
      </c>
      <c r="G868" s="5">
        <v>623652019</v>
      </c>
      <c r="H868" s="4" t="s">
        <v>445</v>
      </c>
      <c r="I868" s="5">
        <v>32</v>
      </c>
      <c r="J868" s="4" t="s">
        <v>38</v>
      </c>
      <c r="K868" s="5">
        <v>10</v>
      </c>
      <c r="L868" s="4" t="s">
        <v>93</v>
      </c>
      <c r="M868" s="4" t="s">
        <v>93</v>
      </c>
      <c r="N868" s="4" t="s">
        <v>47</v>
      </c>
      <c r="O868" s="6">
        <v>45063</v>
      </c>
      <c r="P868" s="4" t="s">
        <v>574</v>
      </c>
      <c r="Q868" s="4" t="s">
        <v>232</v>
      </c>
      <c r="R868" s="4" t="s">
        <v>36</v>
      </c>
      <c r="S868" s="4" t="s">
        <v>59</v>
      </c>
      <c r="T868" s="5">
        <v>10</v>
      </c>
      <c r="U868" s="6">
        <v>45061</v>
      </c>
      <c r="V868" s="8" t="s">
        <v>1373</v>
      </c>
      <c r="W868" s="4" t="s">
        <v>1119</v>
      </c>
      <c r="X868" s="4"/>
      <c r="Y868" s="4"/>
      <c r="Z868" s="4"/>
      <c r="AA868" s="4"/>
      <c r="AB868" s="4"/>
      <c r="AC868" s="4"/>
      <c r="AD868" s="4">
        <f t="shared" si="13"/>
        <v>20</v>
      </c>
    </row>
    <row r="869" spans="1:30" ht="27" thickBot="1" x14ac:dyDescent="0.3">
      <c r="A869" s="3">
        <v>45061.655613425923</v>
      </c>
      <c r="B869" s="4" t="s">
        <v>1772</v>
      </c>
      <c r="C869" s="4" t="s">
        <v>1248</v>
      </c>
      <c r="D869" s="31" t="s">
        <v>42</v>
      </c>
      <c r="E869" s="4" t="s">
        <v>1495</v>
      </c>
      <c r="F869" s="5">
        <v>628601528</v>
      </c>
      <c r="G869" s="4"/>
      <c r="H869" s="4" t="s">
        <v>45</v>
      </c>
      <c r="I869" s="5">
        <v>3</v>
      </c>
      <c r="J869" s="4" t="s">
        <v>38</v>
      </c>
      <c r="K869" s="5">
        <v>1</v>
      </c>
      <c r="L869" s="4" t="s">
        <v>1252</v>
      </c>
      <c r="M869" s="4" t="s">
        <v>1253</v>
      </c>
      <c r="N869" s="4" t="s">
        <v>33</v>
      </c>
      <c r="O869" s="6">
        <v>45053</v>
      </c>
      <c r="P869" s="4"/>
      <c r="Q869" s="4" t="s">
        <v>1246</v>
      </c>
      <c r="R869" s="4" t="s">
        <v>1254</v>
      </c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>
        <f t="shared" si="13"/>
        <v>20</v>
      </c>
    </row>
    <row r="870" spans="1:30" ht="27" thickBot="1" x14ac:dyDescent="0.3">
      <c r="A870" s="3">
        <v>45061.65861111111</v>
      </c>
      <c r="B870" s="4" t="s">
        <v>1772</v>
      </c>
      <c r="C870" s="4" t="s">
        <v>1248</v>
      </c>
      <c r="D870" s="31" t="s">
        <v>42</v>
      </c>
      <c r="E870" s="4" t="s">
        <v>1244</v>
      </c>
      <c r="F870" s="5">
        <v>622833959</v>
      </c>
      <c r="G870" s="4"/>
      <c r="H870" s="4" t="s">
        <v>45</v>
      </c>
      <c r="I870" s="5">
        <v>4</v>
      </c>
      <c r="J870" s="4" t="s">
        <v>38</v>
      </c>
      <c r="K870" s="5">
        <v>3</v>
      </c>
      <c r="L870" s="4" t="s">
        <v>36</v>
      </c>
      <c r="M870" s="4" t="s">
        <v>1245</v>
      </c>
      <c r="N870" s="4" t="s">
        <v>47</v>
      </c>
      <c r="O870" s="6">
        <v>45055</v>
      </c>
      <c r="P870" s="4"/>
      <c r="Q870" s="4" t="s">
        <v>1246</v>
      </c>
      <c r="R870" s="4" t="s">
        <v>36</v>
      </c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>
        <f t="shared" si="13"/>
        <v>20</v>
      </c>
    </row>
    <row r="871" spans="1:30" ht="27" thickBot="1" x14ac:dyDescent="0.3">
      <c r="A871" s="3">
        <v>45061.662187499998</v>
      </c>
      <c r="B871" s="4" t="s">
        <v>1772</v>
      </c>
      <c r="C871" s="4" t="s">
        <v>1248</v>
      </c>
      <c r="D871" s="31" t="s">
        <v>42</v>
      </c>
      <c r="E871" s="4" t="s">
        <v>1588</v>
      </c>
      <c r="F871" s="5">
        <v>620495470</v>
      </c>
      <c r="G871" s="4"/>
      <c r="H871" s="4" t="s">
        <v>45</v>
      </c>
      <c r="I871" s="5">
        <v>5</v>
      </c>
      <c r="J871" s="4" t="s">
        <v>38</v>
      </c>
      <c r="K871" s="5">
        <v>3</v>
      </c>
      <c r="L871" s="4" t="s">
        <v>36</v>
      </c>
      <c r="M871" s="4" t="s">
        <v>1245</v>
      </c>
      <c r="N871" s="4" t="s">
        <v>47</v>
      </c>
      <c r="O871" s="6">
        <v>45062</v>
      </c>
      <c r="P871" s="4"/>
      <c r="Q871" s="4" t="s">
        <v>1246</v>
      </c>
      <c r="R871" s="4" t="s">
        <v>36</v>
      </c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>
        <f t="shared" si="13"/>
        <v>20</v>
      </c>
    </row>
    <row r="872" spans="1:30" ht="27" thickBot="1" x14ac:dyDescent="0.3">
      <c r="A872" s="3">
        <v>45061.712442129632</v>
      </c>
      <c r="B872" s="4" t="s">
        <v>241</v>
      </c>
      <c r="C872" s="4" t="s">
        <v>606</v>
      </c>
      <c r="D872" s="31" t="s">
        <v>42</v>
      </c>
      <c r="E872" s="4" t="s">
        <v>1589</v>
      </c>
      <c r="F872" s="5">
        <v>622661297</v>
      </c>
      <c r="G872" s="4"/>
      <c r="H872" s="4" t="s">
        <v>610</v>
      </c>
      <c r="I872" s="5">
        <v>9</v>
      </c>
      <c r="J872" s="4" t="s">
        <v>101</v>
      </c>
      <c r="K872" s="5">
        <v>4</v>
      </c>
      <c r="L872" s="4" t="s">
        <v>1590</v>
      </c>
      <c r="M872" s="4" t="s">
        <v>246</v>
      </c>
      <c r="N872" s="4" t="s">
        <v>47</v>
      </c>
      <c r="O872" s="6">
        <v>45062</v>
      </c>
      <c r="P872" s="4" t="s">
        <v>706</v>
      </c>
      <c r="Q872" s="4" t="s">
        <v>247</v>
      </c>
      <c r="R872" s="4" t="s">
        <v>36</v>
      </c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>
        <f t="shared" si="13"/>
        <v>20</v>
      </c>
    </row>
    <row r="873" spans="1:30" ht="27" thickBot="1" x14ac:dyDescent="0.3">
      <c r="A873" s="3">
        <v>45061.801539351851</v>
      </c>
      <c r="B873" s="4" t="s">
        <v>241</v>
      </c>
      <c r="C873" s="4" t="s">
        <v>606</v>
      </c>
      <c r="D873" s="31" t="s">
        <v>27</v>
      </c>
      <c r="E873" s="4" t="s">
        <v>1591</v>
      </c>
      <c r="F873" s="5">
        <v>622103945</v>
      </c>
      <c r="G873" s="4"/>
      <c r="H873" s="4" t="s">
        <v>1592</v>
      </c>
      <c r="I873" s="5">
        <v>28</v>
      </c>
      <c r="J873" s="4" t="s">
        <v>101</v>
      </c>
      <c r="K873" s="5">
        <v>115</v>
      </c>
      <c r="L873" s="4" t="s">
        <v>1593</v>
      </c>
      <c r="M873" s="4" t="s">
        <v>246</v>
      </c>
      <c r="N873" s="4" t="s">
        <v>33</v>
      </c>
      <c r="O873" s="6">
        <v>45064</v>
      </c>
      <c r="P873" s="4" t="s">
        <v>706</v>
      </c>
      <c r="Q873" s="4" t="s">
        <v>247</v>
      </c>
      <c r="R873" s="4" t="s">
        <v>36</v>
      </c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>
        <f t="shared" si="13"/>
        <v>20</v>
      </c>
    </row>
    <row r="874" spans="1:30" ht="27" thickBot="1" x14ac:dyDescent="0.3">
      <c r="A874" s="3">
        <v>45061.803182870368</v>
      </c>
      <c r="B874" s="4" t="s">
        <v>241</v>
      </c>
      <c r="C874" s="4" t="s">
        <v>606</v>
      </c>
      <c r="D874" s="31" t="s">
        <v>27</v>
      </c>
      <c r="E874" s="4" t="s">
        <v>721</v>
      </c>
      <c r="F874" s="5">
        <v>628925165</v>
      </c>
      <c r="G874" s="4"/>
      <c r="H874" s="4" t="s">
        <v>1592</v>
      </c>
      <c r="I874" s="5">
        <v>40</v>
      </c>
      <c r="J874" s="4" t="s">
        <v>101</v>
      </c>
      <c r="K874" s="5">
        <v>45</v>
      </c>
      <c r="L874" s="4" t="s">
        <v>1594</v>
      </c>
      <c r="M874" s="4" t="s">
        <v>147</v>
      </c>
      <c r="N874" s="4" t="s">
        <v>47</v>
      </c>
      <c r="O874" s="6">
        <v>45076</v>
      </c>
      <c r="P874" s="4" t="s">
        <v>706</v>
      </c>
      <c r="Q874" s="4" t="s">
        <v>247</v>
      </c>
      <c r="R874" s="4" t="s">
        <v>36</v>
      </c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>
        <f t="shared" si="13"/>
        <v>20</v>
      </c>
    </row>
    <row r="875" spans="1:30" ht="27" thickBot="1" x14ac:dyDescent="0.3">
      <c r="A875" s="3">
        <v>45061.804849537039</v>
      </c>
      <c r="B875" s="4" t="s">
        <v>241</v>
      </c>
      <c r="C875" s="4" t="s">
        <v>606</v>
      </c>
      <c r="D875" s="31" t="s">
        <v>27</v>
      </c>
      <c r="E875" s="4" t="s">
        <v>1595</v>
      </c>
      <c r="F875" s="5">
        <v>6284199966</v>
      </c>
      <c r="G875" s="4"/>
      <c r="H875" s="4" t="s">
        <v>1592</v>
      </c>
      <c r="I875" s="5">
        <v>35</v>
      </c>
      <c r="J875" s="4" t="s">
        <v>101</v>
      </c>
      <c r="K875" s="5">
        <v>55</v>
      </c>
      <c r="L875" s="4" t="s">
        <v>1596</v>
      </c>
      <c r="M875" s="4" t="s">
        <v>1262</v>
      </c>
      <c r="N875" s="4" t="s">
        <v>33</v>
      </c>
      <c r="O875" s="6">
        <v>45066</v>
      </c>
      <c r="P875" s="4" t="s">
        <v>706</v>
      </c>
      <c r="Q875" s="4" t="s">
        <v>247</v>
      </c>
      <c r="R875" s="4" t="s">
        <v>36</v>
      </c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>
        <f t="shared" si="13"/>
        <v>20</v>
      </c>
    </row>
    <row r="876" spans="1:30" ht="39.75" thickBot="1" x14ac:dyDescent="0.3">
      <c r="A876" s="3">
        <v>45061.80709490741</v>
      </c>
      <c r="B876" s="4" t="s">
        <v>241</v>
      </c>
      <c r="C876" s="4" t="s">
        <v>606</v>
      </c>
      <c r="D876" s="31" t="s">
        <v>27</v>
      </c>
      <c r="E876" s="4" t="s">
        <v>1597</v>
      </c>
      <c r="F876" s="5">
        <v>628487583</v>
      </c>
      <c r="G876" s="4"/>
      <c r="H876" s="4" t="s">
        <v>1592</v>
      </c>
      <c r="I876" s="5">
        <v>28</v>
      </c>
      <c r="J876" s="4" t="s">
        <v>101</v>
      </c>
      <c r="K876" s="5">
        <v>125</v>
      </c>
      <c r="L876" s="4" t="s">
        <v>1598</v>
      </c>
      <c r="M876" s="4" t="s">
        <v>1262</v>
      </c>
      <c r="N876" s="4" t="s">
        <v>33</v>
      </c>
      <c r="O876" s="6">
        <v>45077</v>
      </c>
      <c r="P876" s="4" t="s">
        <v>706</v>
      </c>
      <c r="Q876" s="4" t="s">
        <v>247</v>
      </c>
      <c r="R876" s="4" t="s">
        <v>36</v>
      </c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>
        <f t="shared" si="13"/>
        <v>20</v>
      </c>
    </row>
    <row r="877" spans="1:30" ht="27" thickBot="1" x14ac:dyDescent="0.3">
      <c r="A877" s="3">
        <v>45062.283622685187</v>
      </c>
      <c r="B877" s="4" t="s">
        <v>253</v>
      </c>
      <c r="C877" s="4" t="s">
        <v>633</v>
      </c>
      <c r="D877" s="31" t="s">
        <v>42</v>
      </c>
      <c r="E877" s="4" t="s">
        <v>636</v>
      </c>
      <c r="F877" s="5">
        <v>621618541</v>
      </c>
      <c r="G877" s="4"/>
      <c r="H877" s="4" t="s">
        <v>1130</v>
      </c>
      <c r="I877" s="5">
        <v>30</v>
      </c>
      <c r="J877" s="4" t="s">
        <v>38</v>
      </c>
      <c r="K877" s="5">
        <v>5</v>
      </c>
      <c r="L877" s="4" t="s">
        <v>410</v>
      </c>
      <c r="M877" s="4" t="s">
        <v>36</v>
      </c>
      <c r="N877" s="4" t="s">
        <v>90</v>
      </c>
      <c r="O877" s="6">
        <v>45062</v>
      </c>
      <c r="P877" s="4"/>
      <c r="Q877" s="4" t="s">
        <v>636</v>
      </c>
      <c r="R877" s="4" t="s">
        <v>36</v>
      </c>
      <c r="S877" s="4" t="s">
        <v>59</v>
      </c>
      <c r="T877" s="5">
        <v>5</v>
      </c>
      <c r="U877" s="6">
        <v>45062</v>
      </c>
      <c r="V877" s="4" t="s">
        <v>1373</v>
      </c>
      <c r="W877" s="4" t="s">
        <v>809</v>
      </c>
      <c r="X877" s="4"/>
      <c r="Y877" s="4"/>
      <c r="Z877" s="4"/>
      <c r="AA877" s="4"/>
      <c r="AB877" s="4"/>
      <c r="AC877" s="4"/>
      <c r="AD877" s="4">
        <f t="shared" si="13"/>
        <v>20</v>
      </c>
    </row>
    <row r="878" spans="1:30" ht="27" thickBot="1" x14ac:dyDescent="0.3">
      <c r="A878" s="3">
        <v>45062.291759259257</v>
      </c>
      <c r="B878" s="4" t="s">
        <v>253</v>
      </c>
      <c r="C878" s="4" t="s">
        <v>262</v>
      </c>
      <c r="D878" s="31" t="s">
        <v>42</v>
      </c>
      <c r="E878" s="4" t="s">
        <v>637</v>
      </c>
      <c r="F878" s="5">
        <v>629086697</v>
      </c>
      <c r="G878" s="4"/>
      <c r="H878" s="4" t="s">
        <v>638</v>
      </c>
      <c r="I878" s="5">
        <v>30</v>
      </c>
      <c r="J878" s="4" t="s">
        <v>38</v>
      </c>
      <c r="K878" s="5">
        <v>10</v>
      </c>
      <c r="L878" s="4" t="s">
        <v>493</v>
      </c>
      <c r="M878" s="4" t="s">
        <v>36</v>
      </c>
      <c r="N878" s="4" t="s">
        <v>47</v>
      </c>
      <c r="O878" s="6">
        <v>45062</v>
      </c>
      <c r="P878" s="4"/>
      <c r="Q878" s="4" t="s">
        <v>636</v>
      </c>
      <c r="R878" s="4" t="s">
        <v>36</v>
      </c>
      <c r="S878" s="4" t="s">
        <v>59</v>
      </c>
      <c r="T878" s="5">
        <v>10</v>
      </c>
      <c r="U878" s="6">
        <v>45062</v>
      </c>
      <c r="V878" s="4" t="s">
        <v>1373</v>
      </c>
      <c r="W878" s="4" t="s">
        <v>1381</v>
      </c>
      <c r="X878" s="4"/>
      <c r="Y878" s="4"/>
      <c r="Z878" s="4"/>
      <c r="AA878" s="4"/>
      <c r="AB878" s="4"/>
      <c r="AC878" s="4"/>
      <c r="AD878" s="4">
        <f t="shared" si="13"/>
        <v>20</v>
      </c>
    </row>
    <row r="879" spans="1:30" ht="27" thickBot="1" x14ac:dyDescent="0.3">
      <c r="A879" s="3">
        <v>45062.29550925926</v>
      </c>
      <c r="B879" s="4" t="s">
        <v>253</v>
      </c>
      <c r="C879" s="4" t="s">
        <v>633</v>
      </c>
      <c r="D879" s="31" t="s">
        <v>42</v>
      </c>
      <c r="E879" s="4" t="s">
        <v>1210</v>
      </c>
      <c r="F879" s="5">
        <v>620453004</v>
      </c>
      <c r="G879" s="4"/>
      <c r="H879" s="4" t="s">
        <v>408</v>
      </c>
      <c r="I879" s="5">
        <v>20</v>
      </c>
      <c r="J879" s="4" t="s">
        <v>38</v>
      </c>
      <c r="K879" s="5">
        <v>5</v>
      </c>
      <c r="L879" s="4" t="s">
        <v>1211</v>
      </c>
      <c r="M879" s="4" t="s">
        <v>36</v>
      </c>
      <c r="N879" s="4" t="s">
        <v>90</v>
      </c>
      <c r="O879" s="6">
        <v>45062</v>
      </c>
      <c r="P879" s="4"/>
      <c r="Q879" s="4" t="s">
        <v>636</v>
      </c>
      <c r="R879" s="4" t="s">
        <v>36</v>
      </c>
      <c r="S879" s="4" t="s">
        <v>59</v>
      </c>
      <c r="T879" s="5">
        <v>5</v>
      </c>
      <c r="U879" s="6">
        <v>45062</v>
      </c>
      <c r="V879" s="4" t="s">
        <v>1373</v>
      </c>
      <c r="W879" s="4" t="s">
        <v>1382</v>
      </c>
      <c r="X879" s="4"/>
      <c r="Y879" s="4"/>
      <c r="Z879" s="4"/>
      <c r="AA879" s="4"/>
      <c r="AB879" s="4"/>
      <c r="AC879" s="4"/>
      <c r="AD879" s="4">
        <f t="shared" si="13"/>
        <v>20</v>
      </c>
    </row>
    <row r="880" spans="1:30" ht="27" thickBot="1" x14ac:dyDescent="0.3">
      <c r="A880" s="3">
        <v>45062.300752314812</v>
      </c>
      <c r="B880" s="4" t="s">
        <v>253</v>
      </c>
      <c r="C880" s="4" t="s">
        <v>262</v>
      </c>
      <c r="D880" s="31" t="s">
        <v>42</v>
      </c>
      <c r="E880" s="4" t="s">
        <v>198</v>
      </c>
      <c r="F880" s="5">
        <v>621636457</v>
      </c>
      <c r="G880" s="4"/>
      <c r="H880" s="4" t="s">
        <v>670</v>
      </c>
      <c r="I880" s="5">
        <v>30</v>
      </c>
      <c r="J880" s="4" t="s">
        <v>38</v>
      </c>
      <c r="K880" s="5">
        <v>10</v>
      </c>
      <c r="L880" s="4" t="s">
        <v>410</v>
      </c>
      <c r="M880" s="4" t="s">
        <v>36</v>
      </c>
      <c r="N880" s="4" t="s">
        <v>90</v>
      </c>
      <c r="O880" s="6">
        <v>45062</v>
      </c>
      <c r="P880" s="4"/>
      <c r="Q880" s="4" t="s">
        <v>636</v>
      </c>
      <c r="R880" s="4" t="s">
        <v>36</v>
      </c>
      <c r="S880" s="4" t="s">
        <v>59</v>
      </c>
      <c r="T880" s="5">
        <v>10</v>
      </c>
      <c r="U880" s="6">
        <v>45062</v>
      </c>
      <c r="V880" s="4" t="s">
        <v>1373</v>
      </c>
      <c r="W880" s="4" t="s">
        <v>898</v>
      </c>
      <c r="X880" s="4"/>
      <c r="Y880" s="4"/>
      <c r="Z880" s="4"/>
      <c r="AA880" s="4"/>
      <c r="AB880" s="4"/>
      <c r="AC880" s="4"/>
      <c r="AD880" s="4">
        <f t="shared" si="13"/>
        <v>20</v>
      </c>
    </row>
    <row r="881" spans="1:30" ht="78" thickBot="1" x14ac:dyDescent="0.3">
      <c r="A881" s="3">
        <v>45062.428310185183</v>
      </c>
      <c r="B881" s="4" t="s">
        <v>623</v>
      </c>
      <c r="C881" s="4" t="s">
        <v>1599</v>
      </c>
      <c r="D881" s="31" t="s">
        <v>42</v>
      </c>
      <c r="E881" s="4" t="s">
        <v>1600</v>
      </c>
      <c r="F881" s="5">
        <v>610308767</v>
      </c>
      <c r="G881" s="4"/>
      <c r="H881" s="4" t="s">
        <v>626</v>
      </c>
      <c r="I881" s="5">
        <v>15</v>
      </c>
      <c r="J881" s="4" t="s">
        <v>38</v>
      </c>
      <c r="K881" s="5">
        <v>3</v>
      </c>
      <c r="L881" s="4" t="s">
        <v>1601</v>
      </c>
      <c r="M881" s="4" t="s">
        <v>416</v>
      </c>
      <c r="N881" s="4" t="s">
        <v>57</v>
      </c>
      <c r="O881" s="6">
        <v>45066</v>
      </c>
      <c r="P881" s="4"/>
      <c r="Q881" s="4" t="s">
        <v>628</v>
      </c>
      <c r="R881" s="4" t="s">
        <v>252</v>
      </c>
      <c r="S881" s="4" t="s">
        <v>59</v>
      </c>
      <c r="T881" s="5">
        <v>3</v>
      </c>
      <c r="U881" s="6">
        <v>45062</v>
      </c>
      <c r="V881" s="4" t="s">
        <v>1373</v>
      </c>
      <c r="W881" s="4" t="s">
        <v>651</v>
      </c>
      <c r="X881" s="4"/>
      <c r="Y881" s="4"/>
      <c r="Z881" s="4"/>
      <c r="AA881" s="4"/>
      <c r="AB881" s="4"/>
      <c r="AC881" s="4"/>
      <c r="AD881" s="4">
        <f t="shared" si="13"/>
        <v>20</v>
      </c>
    </row>
    <row r="882" spans="1:30" ht="27" thickBot="1" x14ac:dyDescent="0.3">
      <c r="A882" s="3">
        <v>45062.492291666669</v>
      </c>
      <c r="B882" s="4" t="s">
        <v>677</v>
      </c>
      <c r="C882" s="4" t="s">
        <v>678</v>
      </c>
      <c r="D882" s="31" t="s">
        <v>42</v>
      </c>
      <c r="E882" s="4" t="s">
        <v>563</v>
      </c>
      <c r="F882" s="5">
        <v>622740045</v>
      </c>
      <c r="G882" s="4"/>
      <c r="H882" s="4" t="s">
        <v>950</v>
      </c>
      <c r="I882" s="5">
        <v>55</v>
      </c>
      <c r="J882" s="4" t="s">
        <v>38</v>
      </c>
      <c r="K882" s="5">
        <v>10</v>
      </c>
      <c r="L882" s="4" t="s">
        <v>1223</v>
      </c>
      <c r="M882" s="4" t="s">
        <v>1223</v>
      </c>
      <c r="N882" s="4" t="s">
        <v>90</v>
      </c>
      <c r="O882" s="6">
        <v>45064</v>
      </c>
      <c r="P882" s="4"/>
      <c r="Q882" s="4" t="s">
        <v>682</v>
      </c>
      <c r="R882" s="4" t="s">
        <v>36</v>
      </c>
      <c r="S882" s="4" t="s">
        <v>59</v>
      </c>
      <c r="T882" s="5">
        <v>8</v>
      </c>
      <c r="U882" s="6">
        <v>45064</v>
      </c>
      <c r="V882" s="4" t="s">
        <v>1373</v>
      </c>
      <c r="W882" s="4" t="s">
        <v>1376</v>
      </c>
      <c r="X882" s="4"/>
      <c r="Y882" s="4"/>
      <c r="Z882" s="4"/>
      <c r="AA882" s="4"/>
      <c r="AB882" s="4"/>
      <c r="AC882" s="4"/>
      <c r="AD882" s="4">
        <f t="shared" si="13"/>
        <v>20</v>
      </c>
    </row>
    <row r="883" spans="1:30" ht="27" thickBot="1" x14ac:dyDescent="0.3">
      <c r="A883" s="3">
        <v>45062.507060185184</v>
      </c>
      <c r="B883" s="4" t="s">
        <v>1771</v>
      </c>
      <c r="C883" s="4" t="s">
        <v>496</v>
      </c>
      <c r="D883" s="31" t="s">
        <v>42</v>
      </c>
      <c r="E883" s="4" t="s">
        <v>1602</v>
      </c>
      <c r="F883" s="5">
        <v>622334085</v>
      </c>
      <c r="G883" s="5">
        <v>622334085</v>
      </c>
      <c r="H883" s="4" t="s">
        <v>525</v>
      </c>
      <c r="I883" s="5">
        <v>7</v>
      </c>
      <c r="J883" s="4" t="s">
        <v>38</v>
      </c>
      <c r="K883" s="5">
        <v>2</v>
      </c>
      <c r="L883" s="4" t="s">
        <v>526</v>
      </c>
      <c r="M883" s="4" t="s">
        <v>527</v>
      </c>
      <c r="N883" s="4" t="s">
        <v>90</v>
      </c>
      <c r="O883" s="6">
        <v>45061</v>
      </c>
      <c r="P883" s="4" t="s">
        <v>523</v>
      </c>
      <c r="Q883" s="4" t="s">
        <v>500</v>
      </c>
      <c r="R883" s="4" t="s">
        <v>36</v>
      </c>
      <c r="S883" s="4" t="s">
        <v>59</v>
      </c>
      <c r="T883" s="5">
        <v>2</v>
      </c>
      <c r="U883" s="6">
        <v>45062</v>
      </c>
      <c r="V883" s="4" t="s">
        <v>1373</v>
      </c>
      <c r="W883" s="4" t="s">
        <v>918</v>
      </c>
      <c r="X883" s="4"/>
      <c r="Y883" s="4"/>
      <c r="Z883" s="4"/>
      <c r="AA883" s="4"/>
      <c r="AB883" s="4"/>
      <c r="AC883" s="4"/>
      <c r="AD883" s="4">
        <f t="shared" si="13"/>
        <v>20</v>
      </c>
    </row>
    <row r="884" spans="1:30" ht="27" thickBot="1" x14ac:dyDescent="0.3">
      <c r="A884" s="3">
        <v>45062.518090277779</v>
      </c>
      <c r="B884" s="4" t="s">
        <v>1771</v>
      </c>
      <c r="C884" s="4" t="s">
        <v>496</v>
      </c>
      <c r="D884" s="31" t="s">
        <v>42</v>
      </c>
      <c r="E884" s="4" t="s">
        <v>1603</v>
      </c>
      <c r="F884" s="5">
        <v>624357406</v>
      </c>
      <c r="G884" s="5">
        <v>624357406</v>
      </c>
      <c r="H884" s="4" t="s">
        <v>525</v>
      </c>
      <c r="I884" s="5">
        <v>9</v>
      </c>
      <c r="J884" s="4" t="s">
        <v>38</v>
      </c>
      <c r="K884" s="5">
        <v>1</v>
      </c>
      <c r="L884" s="4" t="s">
        <v>982</v>
      </c>
      <c r="M884" s="4" t="s">
        <v>546</v>
      </c>
      <c r="N884" s="4" t="s">
        <v>90</v>
      </c>
      <c r="O884" s="6">
        <v>45062</v>
      </c>
      <c r="P884" s="4" t="s">
        <v>523</v>
      </c>
      <c r="Q884" s="4" t="s">
        <v>500</v>
      </c>
      <c r="R884" s="4" t="s">
        <v>36</v>
      </c>
      <c r="S884" s="4" t="s">
        <v>59</v>
      </c>
      <c r="T884" s="5">
        <v>1</v>
      </c>
      <c r="U884" s="6">
        <v>45062</v>
      </c>
      <c r="V884" s="4" t="s">
        <v>1373</v>
      </c>
      <c r="W884" s="4" t="s">
        <v>918</v>
      </c>
      <c r="X884" s="4"/>
      <c r="Y884" s="4"/>
      <c r="Z884" s="4"/>
      <c r="AA884" s="4"/>
      <c r="AB884" s="4"/>
      <c r="AC884" s="4"/>
      <c r="AD884" s="4">
        <f t="shared" si="13"/>
        <v>20</v>
      </c>
    </row>
    <row r="885" spans="1:30" ht="39.75" thickBot="1" x14ac:dyDescent="0.3">
      <c r="A885" s="3">
        <v>45062.551342592589</v>
      </c>
      <c r="B885" s="4" t="s">
        <v>552</v>
      </c>
      <c r="C885" s="4" t="s">
        <v>553</v>
      </c>
      <c r="D885" s="31" t="s">
        <v>42</v>
      </c>
      <c r="E885" s="4" t="s">
        <v>1604</v>
      </c>
      <c r="F885" s="5">
        <v>628225978</v>
      </c>
      <c r="G885" s="4"/>
      <c r="H885" s="4" t="s">
        <v>555</v>
      </c>
      <c r="I885" s="5">
        <v>150</v>
      </c>
      <c r="J885" s="4" t="s">
        <v>38</v>
      </c>
      <c r="K885" s="5">
        <v>14</v>
      </c>
      <c r="L885" s="4" t="s">
        <v>556</v>
      </c>
      <c r="M885" s="4" t="s">
        <v>556</v>
      </c>
      <c r="N885" s="4" t="s">
        <v>90</v>
      </c>
      <c r="O885" s="6">
        <v>45063</v>
      </c>
      <c r="P885" s="4"/>
      <c r="Q885" s="4" t="s">
        <v>558</v>
      </c>
      <c r="R885" s="4" t="s">
        <v>36</v>
      </c>
      <c r="S885" s="4" t="s">
        <v>59</v>
      </c>
      <c r="T885" s="5">
        <v>14</v>
      </c>
      <c r="U885" s="6">
        <v>45062</v>
      </c>
      <c r="V885" s="4" t="s">
        <v>1373</v>
      </c>
      <c r="W885" s="4" t="s">
        <v>698</v>
      </c>
      <c r="X885" s="4"/>
      <c r="Y885" s="4"/>
      <c r="Z885" s="4"/>
      <c r="AA885" s="4"/>
      <c r="AB885" s="4"/>
      <c r="AC885" s="4"/>
      <c r="AD885" s="4">
        <f t="shared" si="13"/>
        <v>20</v>
      </c>
    </row>
    <row r="886" spans="1:30" ht="27" thickBot="1" x14ac:dyDescent="0.3">
      <c r="A886" s="3">
        <v>45062.598946759259</v>
      </c>
      <c r="B886" s="4" t="s">
        <v>1769</v>
      </c>
      <c r="C886" s="4" t="s">
        <v>1117</v>
      </c>
      <c r="D886" s="31" t="s">
        <v>42</v>
      </c>
      <c r="E886" s="4" t="s">
        <v>1605</v>
      </c>
      <c r="F886" s="5">
        <v>626952233</v>
      </c>
      <c r="G886" s="5">
        <v>626952233</v>
      </c>
      <c r="H886" s="4" t="s">
        <v>277</v>
      </c>
      <c r="I886" s="5">
        <v>4</v>
      </c>
      <c r="J886" s="4" t="s">
        <v>38</v>
      </c>
      <c r="K886" s="5">
        <v>1</v>
      </c>
      <c r="L886" s="4" t="s">
        <v>93</v>
      </c>
      <c r="M886" s="4" t="s">
        <v>93</v>
      </c>
      <c r="N886" s="4" t="s">
        <v>47</v>
      </c>
      <c r="O886" s="6">
        <v>45062</v>
      </c>
      <c r="P886" s="4" t="s">
        <v>574</v>
      </c>
      <c r="Q886" s="4" t="s">
        <v>232</v>
      </c>
      <c r="R886" s="4" t="s">
        <v>36</v>
      </c>
      <c r="S886" s="4" t="s">
        <v>59</v>
      </c>
      <c r="T886" s="5">
        <v>1.5</v>
      </c>
      <c r="U886" s="6">
        <v>45062</v>
      </c>
      <c r="V886" s="4" t="s">
        <v>1373</v>
      </c>
      <c r="W886" s="4" t="s">
        <v>1119</v>
      </c>
      <c r="X886" s="4"/>
      <c r="Y886" s="4"/>
      <c r="Z886" s="4"/>
      <c r="AA886" s="4"/>
      <c r="AB886" s="4"/>
      <c r="AC886" s="4"/>
      <c r="AD886" s="4">
        <f t="shared" si="13"/>
        <v>20</v>
      </c>
    </row>
    <row r="887" spans="1:30" ht="27" thickBot="1" x14ac:dyDescent="0.3">
      <c r="A887" s="3">
        <v>45062.602662037039</v>
      </c>
      <c r="B887" s="4" t="s">
        <v>1086</v>
      </c>
      <c r="C887" s="4" t="s">
        <v>1606</v>
      </c>
      <c r="D887" s="31" t="s">
        <v>42</v>
      </c>
      <c r="E887" s="4" t="s">
        <v>1280</v>
      </c>
      <c r="F887" s="5">
        <v>610211215</v>
      </c>
      <c r="G887" s="4"/>
      <c r="H887" s="4" t="s">
        <v>597</v>
      </c>
      <c r="I887" s="5">
        <v>42</v>
      </c>
      <c r="J887" s="4" t="s">
        <v>38</v>
      </c>
      <c r="K887" s="5">
        <v>5</v>
      </c>
      <c r="L887" s="4" t="s">
        <v>1466</v>
      </c>
      <c r="M887" s="4" t="s">
        <v>1290</v>
      </c>
      <c r="N887" s="4" t="s">
        <v>33</v>
      </c>
      <c r="O887" s="6">
        <v>45064</v>
      </c>
      <c r="P887" s="4"/>
      <c r="Q887" s="4" t="s">
        <v>1090</v>
      </c>
      <c r="R887" s="4" t="s">
        <v>36</v>
      </c>
      <c r="S887" s="4" t="s">
        <v>59</v>
      </c>
      <c r="T887" s="5">
        <v>5</v>
      </c>
      <c r="U887" s="6">
        <v>45069</v>
      </c>
      <c r="V887" s="4" t="s">
        <v>1624</v>
      </c>
      <c r="W887" s="4" t="s">
        <v>1623</v>
      </c>
      <c r="X887" s="4"/>
      <c r="Y887" s="4"/>
      <c r="Z887" s="4"/>
      <c r="AA887" s="4"/>
      <c r="AB887" s="4"/>
      <c r="AC887" s="4"/>
      <c r="AD887" s="4">
        <f t="shared" si="13"/>
        <v>20</v>
      </c>
    </row>
    <row r="888" spans="1:30" ht="27" thickBot="1" x14ac:dyDescent="0.3">
      <c r="A888" s="3">
        <v>45062.678749999999</v>
      </c>
      <c r="B888" s="4" t="s">
        <v>115</v>
      </c>
      <c r="C888" s="4" t="s">
        <v>116</v>
      </c>
      <c r="D888" s="31" t="s">
        <v>42</v>
      </c>
      <c r="E888" s="4" t="s">
        <v>1068</v>
      </c>
      <c r="F888" s="5">
        <v>621278650</v>
      </c>
      <c r="G888" s="4"/>
      <c r="H888" s="4" t="s">
        <v>925</v>
      </c>
      <c r="I888" s="5">
        <v>80</v>
      </c>
      <c r="J888" s="4" t="s">
        <v>38</v>
      </c>
      <c r="K888" s="5">
        <v>2</v>
      </c>
      <c r="L888" s="4" t="s">
        <v>146</v>
      </c>
      <c r="M888" s="4" t="s">
        <v>395</v>
      </c>
      <c r="N888" s="4" t="s">
        <v>47</v>
      </c>
      <c r="O888" s="6">
        <v>45248</v>
      </c>
      <c r="P888" s="4" t="s">
        <v>932</v>
      </c>
      <c r="Q888" s="4" t="s">
        <v>122</v>
      </c>
      <c r="R888" s="4" t="s">
        <v>36</v>
      </c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>
        <f t="shared" si="13"/>
        <v>20</v>
      </c>
    </row>
    <row r="889" spans="1:30" ht="27" thickBot="1" x14ac:dyDescent="0.3">
      <c r="A889" s="3">
        <v>45063.244131944448</v>
      </c>
      <c r="B889" s="4" t="s">
        <v>241</v>
      </c>
      <c r="C889" s="4" t="s">
        <v>606</v>
      </c>
      <c r="D889" s="31" t="s">
        <v>42</v>
      </c>
      <c r="E889" s="4" t="s">
        <v>1607</v>
      </c>
      <c r="F889" s="5">
        <v>628155244</v>
      </c>
      <c r="G889" s="4"/>
      <c r="H889" s="4" t="s">
        <v>1592</v>
      </c>
      <c r="I889" s="5">
        <v>27</v>
      </c>
      <c r="J889" s="4" t="s">
        <v>101</v>
      </c>
      <c r="K889" s="5">
        <v>35</v>
      </c>
      <c r="L889" s="4" t="s">
        <v>1608</v>
      </c>
      <c r="M889" s="4" t="s">
        <v>246</v>
      </c>
      <c r="N889" s="4" t="s">
        <v>33</v>
      </c>
      <c r="O889" s="6">
        <v>45077</v>
      </c>
      <c r="P889" s="4" t="s">
        <v>706</v>
      </c>
      <c r="Q889" s="4" t="s">
        <v>247</v>
      </c>
      <c r="R889" s="4" t="s">
        <v>36</v>
      </c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>
        <f t="shared" si="13"/>
        <v>20</v>
      </c>
    </row>
    <row r="890" spans="1:30" ht="27" thickBot="1" x14ac:dyDescent="0.3">
      <c r="A890" s="3">
        <v>45063.334687499999</v>
      </c>
      <c r="B890" s="4" t="s">
        <v>1769</v>
      </c>
      <c r="C890" s="4" t="s">
        <v>1117</v>
      </c>
      <c r="D890" s="31" t="s">
        <v>42</v>
      </c>
      <c r="E890" s="4" t="s">
        <v>1609</v>
      </c>
      <c r="F890" s="5">
        <v>629447171</v>
      </c>
      <c r="G890" s="5">
        <v>629447171</v>
      </c>
      <c r="H890" s="4" t="s">
        <v>228</v>
      </c>
      <c r="I890" s="5">
        <v>20</v>
      </c>
      <c r="J890" s="4" t="s">
        <v>38</v>
      </c>
      <c r="K890" s="5">
        <v>4</v>
      </c>
      <c r="L890" s="4" t="s">
        <v>93</v>
      </c>
      <c r="M890" s="4" t="s">
        <v>93</v>
      </c>
      <c r="N890" s="4" t="s">
        <v>47</v>
      </c>
      <c r="O890" s="6">
        <v>45063</v>
      </c>
      <c r="P890" s="4" t="s">
        <v>574</v>
      </c>
      <c r="Q890" s="4" t="s">
        <v>1610</v>
      </c>
      <c r="R890" s="4" t="s">
        <v>36</v>
      </c>
      <c r="S890" s="4" t="s">
        <v>59</v>
      </c>
      <c r="T890" s="5">
        <v>4</v>
      </c>
      <c r="U890" s="6">
        <v>45063</v>
      </c>
      <c r="V890" s="4" t="s">
        <v>1373</v>
      </c>
      <c r="W890" s="4" t="s">
        <v>1109</v>
      </c>
      <c r="X890" s="4"/>
      <c r="Y890" s="4"/>
      <c r="Z890" s="4"/>
      <c r="AA890" s="4"/>
      <c r="AB890" s="4"/>
      <c r="AC890" s="4"/>
      <c r="AD890" s="4">
        <f t="shared" si="13"/>
        <v>20</v>
      </c>
    </row>
    <row r="891" spans="1:30" ht="27" thickBot="1" x14ac:dyDescent="0.3">
      <c r="A891" s="3">
        <v>45063.374907407408</v>
      </c>
      <c r="B891" s="4" t="s">
        <v>1771</v>
      </c>
      <c r="C891" s="4" t="s">
        <v>496</v>
      </c>
      <c r="D891" s="31" t="s">
        <v>42</v>
      </c>
      <c r="E891" s="4" t="s">
        <v>987</v>
      </c>
      <c r="F891" s="5">
        <v>622564290</v>
      </c>
      <c r="G891" s="5">
        <v>622564290</v>
      </c>
      <c r="H891" s="4" t="s">
        <v>525</v>
      </c>
      <c r="I891" s="5">
        <v>7</v>
      </c>
      <c r="J891" s="4" t="s">
        <v>38</v>
      </c>
      <c r="K891" s="5">
        <v>3</v>
      </c>
      <c r="L891" s="4" t="s">
        <v>982</v>
      </c>
      <c r="M891" s="4" t="s">
        <v>546</v>
      </c>
      <c r="N891" s="4" t="s">
        <v>90</v>
      </c>
      <c r="O891" s="6">
        <v>45063</v>
      </c>
      <c r="P891" s="4" t="s">
        <v>523</v>
      </c>
      <c r="Q891" s="4" t="s">
        <v>500</v>
      </c>
      <c r="R891" s="4" t="s">
        <v>36</v>
      </c>
      <c r="S891" s="4" t="s">
        <v>59</v>
      </c>
      <c r="T891" s="5">
        <v>3</v>
      </c>
      <c r="U891" s="6">
        <v>45063</v>
      </c>
      <c r="V891" s="4" t="s">
        <v>1373</v>
      </c>
      <c r="W891" s="4" t="s">
        <v>918</v>
      </c>
      <c r="X891" s="4"/>
      <c r="Y891" s="4"/>
      <c r="Z891" s="4"/>
      <c r="AA891" s="4"/>
      <c r="AB891" s="4"/>
      <c r="AC891" s="4"/>
      <c r="AD891" s="4">
        <f t="shared" si="13"/>
        <v>20</v>
      </c>
    </row>
    <row r="892" spans="1:30" ht="27" thickBot="1" x14ac:dyDescent="0.3">
      <c r="A892" s="3">
        <v>45063.481747685182</v>
      </c>
      <c r="B892" s="4" t="s">
        <v>53</v>
      </c>
      <c r="C892" s="4" t="s">
        <v>53</v>
      </c>
      <c r="D892" s="31" t="s">
        <v>27</v>
      </c>
      <c r="E892" s="4" t="s">
        <v>75</v>
      </c>
      <c r="F892" s="5">
        <v>628729355</v>
      </c>
      <c r="G892" s="4"/>
      <c r="H892" s="4" t="s">
        <v>76</v>
      </c>
      <c r="I892" s="5">
        <v>15</v>
      </c>
      <c r="J892" s="4" t="s">
        <v>38</v>
      </c>
      <c r="K892" s="5">
        <v>30</v>
      </c>
      <c r="L892" s="4" t="s">
        <v>1611</v>
      </c>
      <c r="M892" s="4" t="s">
        <v>1611</v>
      </c>
      <c r="N892" s="4" t="s">
        <v>47</v>
      </c>
      <c r="O892" s="6">
        <v>45065</v>
      </c>
      <c r="P892" s="4"/>
      <c r="Q892" s="4" t="s">
        <v>58</v>
      </c>
      <c r="R892" s="4" t="s">
        <v>36</v>
      </c>
      <c r="S892" s="4" t="s">
        <v>59</v>
      </c>
      <c r="T892" s="5">
        <v>30</v>
      </c>
      <c r="U892" s="6">
        <v>45064</v>
      </c>
      <c r="V892" s="4" t="s">
        <v>1373</v>
      </c>
      <c r="W892" s="4" t="s">
        <v>1625</v>
      </c>
      <c r="X892" s="4"/>
      <c r="Y892" s="4"/>
      <c r="Z892" s="4"/>
      <c r="AA892" s="4"/>
      <c r="AB892" s="4"/>
      <c r="AC892" s="4"/>
      <c r="AD892" s="4">
        <f t="shared" si="13"/>
        <v>20</v>
      </c>
    </row>
    <row r="893" spans="1:30" ht="27" thickBot="1" x14ac:dyDescent="0.3">
      <c r="A893" s="3">
        <v>45063.505671296298</v>
      </c>
      <c r="B893" s="4" t="s">
        <v>253</v>
      </c>
      <c r="C893" s="4" t="s">
        <v>633</v>
      </c>
      <c r="D893" s="31" t="s">
        <v>42</v>
      </c>
      <c r="E893" s="4" t="s">
        <v>636</v>
      </c>
      <c r="F893" s="5">
        <v>621618541</v>
      </c>
      <c r="G893" s="4"/>
      <c r="H893" s="4" t="s">
        <v>1130</v>
      </c>
      <c r="I893" s="5">
        <v>30</v>
      </c>
      <c r="J893" s="4" t="s">
        <v>38</v>
      </c>
      <c r="K893" s="5">
        <v>10</v>
      </c>
      <c r="L893" s="4" t="s">
        <v>410</v>
      </c>
      <c r="M893" s="4" t="s">
        <v>36</v>
      </c>
      <c r="N893" s="4" t="s">
        <v>90</v>
      </c>
      <c r="O893" s="6">
        <v>45063</v>
      </c>
      <c r="P893" s="4"/>
      <c r="Q893" s="4" t="s">
        <v>636</v>
      </c>
      <c r="R893" s="4" t="s">
        <v>36</v>
      </c>
      <c r="S893" s="4" t="s">
        <v>59</v>
      </c>
      <c r="T893" s="5">
        <v>10</v>
      </c>
      <c r="U893" s="6">
        <v>45063</v>
      </c>
      <c r="V893" s="4" t="s">
        <v>1373</v>
      </c>
      <c r="W893" s="4" t="s">
        <v>1612</v>
      </c>
      <c r="X893" s="4"/>
      <c r="Y893" s="4"/>
      <c r="Z893" s="4"/>
      <c r="AA893" s="4"/>
      <c r="AB893" s="4"/>
      <c r="AC893" s="4"/>
      <c r="AD893" s="4">
        <f t="shared" si="13"/>
        <v>20</v>
      </c>
    </row>
    <row r="894" spans="1:30" ht="39.75" thickBot="1" x14ac:dyDescent="0.3">
      <c r="A894" s="11">
        <v>45063.609166666669</v>
      </c>
      <c r="B894" s="12" t="s">
        <v>552</v>
      </c>
      <c r="C894" s="12" t="s">
        <v>553</v>
      </c>
      <c r="D894" s="32" t="s">
        <v>42</v>
      </c>
      <c r="E894" s="12" t="s">
        <v>1613</v>
      </c>
      <c r="F894" s="13">
        <v>620755506</v>
      </c>
      <c r="G894" s="12"/>
      <c r="H894" s="12" t="s">
        <v>1153</v>
      </c>
      <c r="I894" s="13">
        <v>3</v>
      </c>
      <c r="J894" s="12" t="s">
        <v>38</v>
      </c>
      <c r="K894" s="13">
        <v>3</v>
      </c>
      <c r="L894" s="12" t="s">
        <v>1614</v>
      </c>
      <c r="M894" s="12" t="s">
        <v>1614</v>
      </c>
      <c r="N894" s="12" t="s">
        <v>90</v>
      </c>
      <c r="O894" s="14">
        <v>45063</v>
      </c>
      <c r="P894" s="12"/>
      <c r="Q894" s="12" t="s">
        <v>558</v>
      </c>
      <c r="R894" s="12" t="s">
        <v>36</v>
      </c>
      <c r="S894" s="12" t="s">
        <v>59</v>
      </c>
      <c r="T894" s="13">
        <v>3</v>
      </c>
      <c r="U894" s="29">
        <v>45064</v>
      </c>
      <c r="V894" s="4" t="s">
        <v>1373</v>
      </c>
      <c r="W894" s="4" t="s">
        <v>1154</v>
      </c>
      <c r="X894" s="12"/>
      <c r="Y894" s="12"/>
      <c r="Z894" s="12"/>
      <c r="AA894" s="12"/>
      <c r="AB894" s="12"/>
      <c r="AC894" s="12"/>
      <c r="AD894" s="4">
        <f t="shared" si="13"/>
        <v>20</v>
      </c>
    </row>
    <row r="895" spans="1:30" ht="78" thickBot="1" x14ac:dyDescent="0.3">
      <c r="A895" s="11">
        <v>45064.264456018522</v>
      </c>
      <c r="B895" s="12" t="s">
        <v>623</v>
      </c>
      <c r="C895" s="12" t="s">
        <v>1599</v>
      </c>
      <c r="D895" s="32" t="s">
        <v>27</v>
      </c>
      <c r="E895" s="12" t="s">
        <v>1615</v>
      </c>
      <c r="F895" s="13">
        <v>624910129</v>
      </c>
      <c r="G895" s="12"/>
      <c r="H895" s="12" t="s">
        <v>626</v>
      </c>
      <c r="I895" s="13">
        <v>12</v>
      </c>
      <c r="J895" s="12" t="s">
        <v>132</v>
      </c>
      <c r="K895" s="13">
        <v>27</v>
      </c>
      <c r="L895" s="12" t="s">
        <v>871</v>
      </c>
      <c r="M895" s="12" t="s">
        <v>1616</v>
      </c>
      <c r="N895" s="12" t="s">
        <v>57</v>
      </c>
      <c r="O895" s="14">
        <v>45065</v>
      </c>
      <c r="P895" s="12"/>
      <c r="Q895" s="12" t="s">
        <v>628</v>
      </c>
      <c r="R895" s="12" t="s">
        <v>252</v>
      </c>
      <c r="S895" s="12"/>
      <c r="T895" s="12"/>
      <c r="U895" s="29">
        <v>45064</v>
      </c>
      <c r="V895" s="4" t="s">
        <v>1373</v>
      </c>
      <c r="W895" s="12" t="s">
        <v>1617</v>
      </c>
      <c r="X895" s="12"/>
      <c r="Y895" s="12"/>
      <c r="Z895" s="12"/>
      <c r="AA895" s="12"/>
      <c r="AB895" s="12"/>
      <c r="AC895" s="12"/>
      <c r="AD895" s="4">
        <f t="shared" si="13"/>
        <v>20</v>
      </c>
    </row>
    <row r="896" spans="1:30" ht="39.75" thickBot="1" x14ac:dyDescent="0.3">
      <c r="A896" s="11">
        <v>45064.371018518519</v>
      </c>
      <c r="B896" s="12" t="s">
        <v>677</v>
      </c>
      <c r="C896" s="12" t="s">
        <v>678</v>
      </c>
      <c r="D896" s="32" t="s">
        <v>42</v>
      </c>
      <c r="E896" s="12" t="s">
        <v>1618</v>
      </c>
      <c r="F896" s="13">
        <v>628153800</v>
      </c>
      <c r="G896" s="12"/>
      <c r="H896" s="12" t="s">
        <v>953</v>
      </c>
      <c r="I896" s="13">
        <v>10</v>
      </c>
      <c r="J896" s="12" t="s">
        <v>132</v>
      </c>
      <c r="K896" s="13">
        <v>3</v>
      </c>
      <c r="L896" s="12" t="s">
        <v>93</v>
      </c>
      <c r="M896" s="12" t="s">
        <v>93</v>
      </c>
      <c r="N896" s="12" t="s">
        <v>47</v>
      </c>
      <c r="O896" s="14">
        <v>45066</v>
      </c>
      <c r="P896" s="12"/>
      <c r="Q896" s="12" t="s">
        <v>682</v>
      </c>
      <c r="R896" s="12" t="s">
        <v>36</v>
      </c>
      <c r="S896" s="12" t="s">
        <v>59</v>
      </c>
      <c r="T896" s="13">
        <v>27</v>
      </c>
      <c r="U896" s="29">
        <v>45064</v>
      </c>
      <c r="V896" s="4" t="s">
        <v>1373</v>
      </c>
      <c r="W896" s="12"/>
      <c r="X896" s="12"/>
      <c r="Y896" s="12"/>
      <c r="Z896" s="12"/>
      <c r="AA896" s="12"/>
      <c r="AB896" s="12"/>
      <c r="AC896" s="12"/>
      <c r="AD896" s="4">
        <f t="shared" si="13"/>
        <v>20</v>
      </c>
    </row>
    <row r="897" spans="1:30" ht="78" thickBot="1" x14ac:dyDescent="0.3">
      <c r="A897" s="11">
        <v>45064.406469907408</v>
      </c>
      <c r="B897" s="12" t="s">
        <v>623</v>
      </c>
      <c r="C897" s="12" t="s">
        <v>1599</v>
      </c>
      <c r="D897" s="32" t="s">
        <v>27</v>
      </c>
      <c r="E897" s="12" t="s">
        <v>1615</v>
      </c>
      <c r="F897" s="13">
        <v>624910129</v>
      </c>
      <c r="G897" s="12"/>
      <c r="H897" s="12" t="s">
        <v>626</v>
      </c>
      <c r="I897" s="13">
        <v>15</v>
      </c>
      <c r="J897" s="12" t="s">
        <v>38</v>
      </c>
      <c r="K897" s="13">
        <v>27</v>
      </c>
      <c r="L897" s="12" t="s">
        <v>871</v>
      </c>
      <c r="M897" s="12" t="s">
        <v>416</v>
      </c>
      <c r="N897" s="12" t="s">
        <v>57</v>
      </c>
      <c r="O897" s="14">
        <v>45065</v>
      </c>
      <c r="P897" s="12"/>
      <c r="Q897" s="12" t="s">
        <v>628</v>
      </c>
      <c r="R897" s="12" t="s">
        <v>252</v>
      </c>
      <c r="S897" s="12"/>
      <c r="T897" s="12"/>
      <c r="U897" s="29">
        <v>45064</v>
      </c>
      <c r="V897" s="4" t="s">
        <v>1373</v>
      </c>
      <c r="W897" s="16"/>
      <c r="X897" s="12"/>
      <c r="Y897" s="12"/>
      <c r="Z897" s="12"/>
      <c r="AA897" s="12"/>
      <c r="AB897" s="12"/>
      <c r="AC897" s="12"/>
      <c r="AD897" s="4">
        <f t="shared" si="13"/>
        <v>20</v>
      </c>
    </row>
    <row r="898" spans="1:30" ht="39.75" thickBot="1" x14ac:dyDescent="0.3">
      <c r="A898" s="15">
        <v>45064.425671296296</v>
      </c>
      <c r="B898" s="16" t="s">
        <v>241</v>
      </c>
      <c r="C898" s="16" t="s">
        <v>606</v>
      </c>
      <c r="D898" s="33" t="s">
        <v>42</v>
      </c>
      <c r="E898" s="16" t="s">
        <v>1619</v>
      </c>
      <c r="F898" s="17">
        <v>629219069</v>
      </c>
      <c r="G898" s="16"/>
      <c r="H898" s="16" t="s">
        <v>610</v>
      </c>
      <c r="I898" s="17">
        <v>11</v>
      </c>
      <c r="J898" s="16" t="s">
        <v>101</v>
      </c>
      <c r="K898" s="17">
        <v>8</v>
      </c>
      <c r="L898" s="16" t="s">
        <v>711</v>
      </c>
      <c r="M898" s="16" t="s">
        <v>246</v>
      </c>
      <c r="N898" s="16" t="s">
        <v>47</v>
      </c>
      <c r="O898" s="18">
        <v>45065</v>
      </c>
      <c r="P898" s="16" t="s">
        <v>706</v>
      </c>
      <c r="Q898" s="16" t="s">
        <v>247</v>
      </c>
      <c r="R898" s="16" t="s">
        <v>36</v>
      </c>
      <c r="S898" s="16" t="s">
        <v>59</v>
      </c>
      <c r="T898" s="17">
        <v>4</v>
      </c>
      <c r="U898" s="6">
        <v>45065</v>
      </c>
      <c r="V898" s="4" t="s">
        <v>1373</v>
      </c>
      <c r="W898" s="4" t="s">
        <v>1626</v>
      </c>
      <c r="X898" s="16"/>
      <c r="Y898" s="16"/>
      <c r="Z898" s="16"/>
      <c r="AA898" s="16"/>
      <c r="AB898" s="16"/>
      <c r="AC898" s="16"/>
      <c r="AD898" s="4">
        <f t="shared" si="13"/>
        <v>20</v>
      </c>
    </row>
    <row r="899" spans="1:30" ht="27" thickBot="1" x14ac:dyDescent="0.3">
      <c r="A899" s="3">
        <v>45064.441446759258</v>
      </c>
      <c r="B899" s="4" t="s">
        <v>53</v>
      </c>
      <c r="C899" s="4" t="s">
        <v>53</v>
      </c>
      <c r="D899" s="31" t="s">
        <v>42</v>
      </c>
      <c r="E899" s="4" t="s">
        <v>1620</v>
      </c>
      <c r="F899" s="5">
        <v>628962191</v>
      </c>
      <c r="G899" s="4"/>
      <c r="H899" s="4" t="s">
        <v>62</v>
      </c>
      <c r="I899" s="5">
        <v>2</v>
      </c>
      <c r="J899" s="4" t="s">
        <v>38</v>
      </c>
      <c r="K899" s="5">
        <v>2</v>
      </c>
      <c r="L899" s="4" t="s">
        <v>1621</v>
      </c>
      <c r="M899" s="4" t="s">
        <v>1621</v>
      </c>
      <c r="N899" s="4" t="s">
        <v>47</v>
      </c>
      <c r="O899" s="6">
        <v>45064</v>
      </c>
      <c r="P899" s="4"/>
      <c r="Q899" s="4" t="s">
        <v>58</v>
      </c>
      <c r="R899" s="4" t="s">
        <v>36</v>
      </c>
      <c r="S899" s="4" t="s">
        <v>59</v>
      </c>
      <c r="T899" s="5">
        <v>2.5</v>
      </c>
      <c r="U899" s="6">
        <v>45064</v>
      </c>
      <c r="V899" s="4" t="s">
        <v>1373</v>
      </c>
      <c r="W899" s="4" t="s">
        <v>1625</v>
      </c>
      <c r="X899" s="4"/>
      <c r="Y899" s="4"/>
      <c r="Z899" s="4"/>
      <c r="AA899" s="4"/>
      <c r="AB899" s="4"/>
      <c r="AC899" s="4"/>
      <c r="AD899" s="4">
        <f t="shared" ref="AD899:AD962" si="14">WEEKNUM(LEFT(A899,10))</f>
        <v>20</v>
      </c>
    </row>
    <row r="900" spans="1:30" ht="27" thickBot="1" x14ac:dyDescent="0.3">
      <c r="A900" s="3">
        <v>45064.482175925928</v>
      </c>
      <c r="B900" s="4" t="s">
        <v>614</v>
      </c>
      <c r="C900" s="4" t="s">
        <v>614</v>
      </c>
      <c r="D900" s="31" t="s">
        <v>27</v>
      </c>
      <c r="E900" s="4" t="s">
        <v>1622</v>
      </c>
      <c r="F900" s="5">
        <v>628067765</v>
      </c>
      <c r="G900" s="4"/>
      <c r="H900" s="4" t="s">
        <v>1466</v>
      </c>
      <c r="I900" s="5">
        <v>5</v>
      </c>
      <c r="J900" s="4" t="s">
        <v>38</v>
      </c>
      <c r="K900" s="5">
        <v>5</v>
      </c>
      <c r="L900" s="4" t="s">
        <v>937</v>
      </c>
      <c r="M900" s="4" t="s">
        <v>937</v>
      </c>
      <c r="N900" s="4" t="s">
        <v>33</v>
      </c>
      <c r="O900" s="6">
        <v>45065</v>
      </c>
      <c r="P900" s="4"/>
      <c r="Q900" s="4" t="s">
        <v>616</v>
      </c>
      <c r="R900" s="4" t="s">
        <v>36</v>
      </c>
      <c r="S900" s="4" t="s">
        <v>59</v>
      </c>
      <c r="T900" s="5">
        <v>5</v>
      </c>
      <c r="U900" s="6">
        <v>45064</v>
      </c>
      <c r="V900" s="4" t="s">
        <v>1373</v>
      </c>
      <c r="W900" s="10" t="s">
        <v>1467</v>
      </c>
      <c r="X900" s="4"/>
      <c r="Y900" s="4"/>
      <c r="Z900" s="4"/>
      <c r="AA900" s="4"/>
      <c r="AB900" s="4"/>
      <c r="AC900" s="4"/>
      <c r="AD900" s="4">
        <f t="shared" si="14"/>
        <v>20</v>
      </c>
    </row>
    <row r="901" spans="1:30" ht="27" thickBot="1" x14ac:dyDescent="0.3">
      <c r="A901" s="3">
        <v>45064.484513888892</v>
      </c>
      <c r="B901" s="4" t="s">
        <v>614</v>
      </c>
      <c r="C901" s="4" t="s">
        <v>614</v>
      </c>
      <c r="D901" s="31" t="s">
        <v>42</v>
      </c>
      <c r="E901" s="4" t="s">
        <v>920</v>
      </c>
      <c r="F901" s="5">
        <v>623597802</v>
      </c>
      <c r="G901" s="4"/>
      <c r="H901" s="4" t="s">
        <v>921</v>
      </c>
      <c r="I901" s="5">
        <v>63</v>
      </c>
      <c r="J901" s="4" t="s">
        <v>132</v>
      </c>
      <c r="K901" s="5">
        <v>3</v>
      </c>
      <c r="L901" s="4" t="s">
        <v>937</v>
      </c>
      <c r="M901" s="4" t="s">
        <v>937</v>
      </c>
      <c r="N901" s="4" t="s">
        <v>33</v>
      </c>
      <c r="O901" s="6">
        <v>45065</v>
      </c>
      <c r="P901" s="4"/>
      <c r="Q901" s="4" t="s">
        <v>616</v>
      </c>
      <c r="R901" s="4" t="s">
        <v>36</v>
      </c>
      <c r="S901" s="4" t="s">
        <v>59</v>
      </c>
      <c r="T901" s="5">
        <v>3</v>
      </c>
      <c r="U901" s="6">
        <v>45064</v>
      </c>
      <c r="V901" s="4" t="s">
        <v>1373</v>
      </c>
      <c r="W901" s="10" t="s">
        <v>1458</v>
      </c>
      <c r="X901" s="4"/>
      <c r="Y901" s="4"/>
      <c r="Z901" s="4"/>
      <c r="AA901" s="4"/>
      <c r="AB901" s="4"/>
      <c r="AC901" s="4"/>
      <c r="AD901" s="4">
        <f t="shared" si="14"/>
        <v>20</v>
      </c>
    </row>
    <row r="902" spans="1:30" ht="39.75" thickBot="1" x14ac:dyDescent="0.3">
      <c r="A902" s="3">
        <v>45064.502210648148</v>
      </c>
      <c r="B902" s="4" t="s">
        <v>876</v>
      </c>
      <c r="C902" s="4" t="s">
        <v>890</v>
      </c>
      <c r="D902" s="31" t="s">
        <v>27</v>
      </c>
      <c r="E902" s="4" t="s">
        <v>1627</v>
      </c>
      <c r="F902" s="5">
        <v>624429142</v>
      </c>
      <c r="G902" s="4"/>
      <c r="H902" s="4" t="s">
        <v>1628</v>
      </c>
      <c r="I902" s="5">
        <v>85</v>
      </c>
      <c r="J902" s="4" t="s">
        <v>38</v>
      </c>
      <c r="K902" s="5">
        <v>8</v>
      </c>
      <c r="L902" s="4" t="s">
        <v>881</v>
      </c>
      <c r="M902" s="4" t="s">
        <v>395</v>
      </c>
      <c r="N902" s="4" t="s">
        <v>57</v>
      </c>
      <c r="O902" s="6">
        <v>45067</v>
      </c>
      <c r="P902" s="4"/>
      <c r="Q902" s="4" t="s">
        <v>882</v>
      </c>
      <c r="R902" s="4" t="s">
        <v>36</v>
      </c>
      <c r="S902" s="4" t="s">
        <v>59</v>
      </c>
      <c r="T902" s="5">
        <v>8</v>
      </c>
      <c r="U902" s="6">
        <v>45064</v>
      </c>
      <c r="V902" s="4" t="s">
        <v>1373</v>
      </c>
      <c r="W902" s="4" t="s">
        <v>1629</v>
      </c>
      <c r="X902" s="4"/>
      <c r="Y902" s="4"/>
      <c r="Z902" s="4"/>
      <c r="AA902" s="4"/>
      <c r="AB902" s="4"/>
      <c r="AC902" s="4"/>
      <c r="AD902" s="4">
        <f t="shared" si="14"/>
        <v>20</v>
      </c>
    </row>
    <row r="903" spans="1:30" ht="154.5" thickBot="1" x14ac:dyDescent="0.3">
      <c r="A903" s="3">
        <v>45064.559305555558</v>
      </c>
      <c r="B903" s="4" t="s">
        <v>1768</v>
      </c>
      <c r="C903" s="4" t="s">
        <v>158</v>
      </c>
      <c r="D903" s="31" t="s">
        <v>27</v>
      </c>
      <c r="E903" s="4" t="s">
        <v>1679</v>
      </c>
      <c r="F903" s="5">
        <v>629007465</v>
      </c>
      <c r="G903" s="5">
        <v>0</v>
      </c>
      <c r="H903" s="4" t="s">
        <v>126</v>
      </c>
      <c r="I903" s="5">
        <v>34</v>
      </c>
      <c r="J903" s="4" t="s">
        <v>101</v>
      </c>
      <c r="K903" s="5">
        <v>37.5</v>
      </c>
      <c r="L903" s="4" t="s">
        <v>1680</v>
      </c>
      <c r="M903" s="4" t="s">
        <v>161</v>
      </c>
      <c r="N903" s="4" t="s">
        <v>90</v>
      </c>
      <c r="O903" s="6">
        <v>45065</v>
      </c>
      <c r="P903" s="4" t="s">
        <v>1681</v>
      </c>
      <c r="Q903" s="4" t="s">
        <v>130</v>
      </c>
      <c r="R903" s="4" t="s">
        <v>36</v>
      </c>
      <c r="S903" s="4" t="s">
        <v>59</v>
      </c>
      <c r="T903" s="5">
        <v>37.5</v>
      </c>
      <c r="U903" s="6">
        <v>45069</v>
      </c>
      <c r="V903" s="4" t="s">
        <v>1624</v>
      </c>
      <c r="W903" s="4" t="s">
        <v>1375</v>
      </c>
      <c r="X903" s="4"/>
      <c r="Y903" s="4"/>
      <c r="Z903" s="4"/>
      <c r="AA903" s="4"/>
      <c r="AB903" s="4"/>
      <c r="AC903" s="4"/>
      <c r="AD903" s="4">
        <f t="shared" si="14"/>
        <v>20</v>
      </c>
    </row>
    <row r="904" spans="1:30" ht="78" thickBot="1" x14ac:dyDescent="0.3">
      <c r="A904" s="3">
        <v>45064.571597222224</v>
      </c>
      <c r="B904" s="4" t="s">
        <v>623</v>
      </c>
      <c r="C904" s="4" t="s">
        <v>1599</v>
      </c>
      <c r="D904" s="31" t="s">
        <v>42</v>
      </c>
      <c r="E904" s="4" t="s">
        <v>1630</v>
      </c>
      <c r="F904" s="5">
        <v>611238914</v>
      </c>
      <c r="G904" s="4"/>
      <c r="H904" s="4" t="s">
        <v>626</v>
      </c>
      <c r="I904" s="5">
        <v>10</v>
      </c>
      <c r="J904" s="4" t="s">
        <v>38</v>
      </c>
      <c r="K904" s="5">
        <v>3</v>
      </c>
      <c r="L904" s="4" t="s">
        <v>1631</v>
      </c>
      <c r="M904" s="4" t="s">
        <v>873</v>
      </c>
      <c r="N904" s="4" t="s">
        <v>47</v>
      </c>
      <c r="O904" s="6">
        <v>45067</v>
      </c>
      <c r="P904" s="4"/>
      <c r="Q904" s="4" t="s">
        <v>628</v>
      </c>
      <c r="R904" s="4" t="s">
        <v>36</v>
      </c>
      <c r="S904" s="4" t="s">
        <v>59</v>
      </c>
      <c r="T904" s="5">
        <v>7.5</v>
      </c>
      <c r="U904" s="6">
        <v>45064</v>
      </c>
      <c r="V904" s="4" t="s">
        <v>1373</v>
      </c>
      <c r="W904" s="4" t="s">
        <v>651</v>
      </c>
      <c r="X904" s="4"/>
      <c r="Y904" s="4"/>
      <c r="Z904" s="4"/>
      <c r="AA904" s="4"/>
      <c r="AB904" s="4"/>
      <c r="AC904" s="4"/>
      <c r="AD904" s="4">
        <f t="shared" si="14"/>
        <v>20</v>
      </c>
    </row>
    <row r="905" spans="1:30" ht="27" thickBot="1" x14ac:dyDescent="0.3">
      <c r="A905" s="3">
        <v>45064.604027777779</v>
      </c>
      <c r="B905" s="4" t="s">
        <v>1770</v>
      </c>
      <c r="C905" s="4" t="s">
        <v>254</v>
      </c>
      <c r="D905" s="31" t="s">
        <v>42</v>
      </c>
      <c r="E905" s="4" t="s">
        <v>1632</v>
      </c>
      <c r="F905" s="5">
        <v>624958161</v>
      </c>
      <c r="G905" s="5">
        <v>624958161</v>
      </c>
      <c r="H905" s="4" t="s">
        <v>476</v>
      </c>
      <c r="I905" s="5">
        <v>7</v>
      </c>
      <c r="J905" s="4" t="s">
        <v>38</v>
      </c>
      <c r="K905" s="5">
        <v>1</v>
      </c>
      <c r="L905" s="4" t="s">
        <v>512</v>
      </c>
      <c r="M905" s="4" t="s">
        <v>512</v>
      </c>
      <c r="N905" s="4" t="s">
        <v>33</v>
      </c>
      <c r="O905" s="6">
        <v>45067</v>
      </c>
      <c r="P905" s="4"/>
      <c r="Q905" s="4" t="s">
        <v>405</v>
      </c>
      <c r="R905" s="4" t="s">
        <v>36</v>
      </c>
      <c r="S905" s="4" t="s">
        <v>59</v>
      </c>
      <c r="T905" s="5">
        <v>1</v>
      </c>
      <c r="U905" s="6">
        <v>45065</v>
      </c>
      <c r="V905" s="4" t="s">
        <v>1373</v>
      </c>
      <c r="W905" s="4" t="s">
        <v>1633</v>
      </c>
      <c r="X905" s="4"/>
      <c r="Y905" s="4"/>
      <c r="Z905" s="4"/>
      <c r="AA905" s="4"/>
      <c r="AB905" s="4"/>
      <c r="AC905" s="4"/>
      <c r="AD905" s="4">
        <f t="shared" si="14"/>
        <v>20</v>
      </c>
    </row>
    <row r="906" spans="1:30" ht="27" thickBot="1" x14ac:dyDescent="0.3">
      <c r="A906" s="3">
        <v>45064.605810185189</v>
      </c>
      <c r="B906" s="4" t="s">
        <v>1770</v>
      </c>
      <c r="C906" s="4" t="s">
        <v>254</v>
      </c>
      <c r="D906" s="31" t="s">
        <v>42</v>
      </c>
      <c r="E906" s="4" t="s">
        <v>563</v>
      </c>
      <c r="F906" s="5">
        <v>622240942</v>
      </c>
      <c r="G906" s="5">
        <v>622240942</v>
      </c>
      <c r="H906" s="4" t="s">
        <v>476</v>
      </c>
      <c r="I906" s="5">
        <v>35</v>
      </c>
      <c r="J906" s="4" t="s">
        <v>38</v>
      </c>
      <c r="K906" s="5">
        <v>30</v>
      </c>
      <c r="L906" s="4" t="s">
        <v>1634</v>
      </c>
      <c r="M906" s="4" t="s">
        <v>1634</v>
      </c>
      <c r="N906" s="4" t="s">
        <v>41</v>
      </c>
      <c r="O906" s="6">
        <v>45068</v>
      </c>
      <c r="P906" s="4"/>
      <c r="Q906" s="4" t="s">
        <v>405</v>
      </c>
      <c r="R906" s="4" t="s">
        <v>36</v>
      </c>
      <c r="S906" s="4" t="s">
        <v>59</v>
      </c>
      <c r="T906" s="5">
        <v>30</v>
      </c>
      <c r="U906" s="6">
        <v>45065</v>
      </c>
      <c r="V906" s="4" t="s">
        <v>1373</v>
      </c>
      <c r="W906" s="4" t="s">
        <v>748</v>
      </c>
      <c r="X906" s="4"/>
      <c r="Y906" s="4"/>
      <c r="Z906" s="4"/>
      <c r="AA906" s="4"/>
      <c r="AB906" s="4"/>
      <c r="AC906" s="4"/>
      <c r="AD906" s="4">
        <f t="shared" si="14"/>
        <v>20</v>
      </c>
    </row>
    <row r="907" spans="1:30" ht="39.75" thickBot="1" x14ac:dyDescent="0.3">
      <c r="A907" s="3">
        <v>45064.609432870369</v>
      </c>
      <c r="B907" s="4" t="s">
        <v>1770</v>
      </c>
      <c r="C907" s="4" t="s">
        <v>254</v>
      </c>
      <c r="D907" s="31" t="s">
        <v>42</v>
      </c>
      <c r="E907" s="4" t="s">
        <v>1635</v>
      </c>
      <c r="F907" s="5">
        <v>624539690</v>
      </c>
      <c r="G907" s="5">
        <v>624539690</v>
      </c>
      <c r="H907" s="4" t="s">
        <v>476</v>
      </c>
      <c r="I907" s="5">
        <v>70</v>
      </c>
      <c r="J907" s="4" t="s">
        <v>38</v>
      </c>
      <c r="K907" s="5">
        <v>18</v>
      </c>
      <c r="L907" s="4" t="s">
        <v>1636</v>
      </c>
      <c r="M907" s="4" t="s">
        <v>1637</v>
      </c>
      <c r="N907" s="4" t="s">
        <v>41</v>
      </c>
      <c r="O907" s="6">
        <v>45069</v>
      </c>
      <c r="P907" s="4"/>
      <c r="Q907" s="4" t="s">
        <v>405</v>
      </c>
      <c r="R907" s="4" t="s">
        <v>36</v>
      </c>
      <c r="S907" s="4" t="s">
        <v>59</v>
      </c>
      <c r="T907" s="5">
        <v>18</v>
      </c>
      <c r="U907" s="6">
        <v>45065</v>
      </c>
      <c r="V907" s="4" t="s">
        <v>1373</v>
      </c>
      <c r="W907" s="4" t="s">
        <v>747</v>
      </c>
      <c r="X907" s="4"/>
      <c r="Y907" s="4"/>
      <c r="Z907" s="4"/>
      <c r="AA907" s="4"/>
      <c r="AB907" s="4"/>
      <c r="AC907" s="4"/>
      <c r="AD907" s="4">
        <f t="shared" si="14"/>
        <v>20</v>
      </c>
    </row>
    <row r="908" spans="1:30" ht="27" thickBot="1" x14ac:dyDescent="0.3">
      <c r="A908" s="3">
        <v>45064.612326388888</v>
      </c>
      <c r="B908" s="4" t="s">
        <v>1770</v>
      </c>
      <c r="C908" s="4" t="s">
        <v>254</v>
      </c>
      <c r="D908" s="31" t="s">
        <v>42</v>
      </c>
      <c r="E908" s="4" t="s">
        <v>1638</v>
      </c>
      <c r="F908" s="5">
        <v>621107684</v>
      </c>
      <c r="G908" s="5">
        <v>621107684</v>
      </c>
      <c r="H908" s="4" t="s">
        <v>1639</v>
      </c>
      <c r="I908" s="5">
        <v>70</v>
      </c>
      <c r="J908" s="4" t="s">
        <v>38</v>
      </c>
      <c r="K908" s="5">
        <v>29</v>
      </c>
      <c r="L908" s="4" t="s">
        <v>1640</v>
      </c>
      <c r="M908" s="4" t="s">
        <v>1640</v>
      </c>
      <c r="N908" s="4" t="s">
        <v>41</v>
      </c>
      <c r="O908" s="6">
        <v>45069</v>
      </c>
      <c r="P908" s="4"/>
      <c r="Q908" s="4" t="s">
        <v>405</v>
      </c>
      <c r="R908" s="4" t="s">
        <v>36</v>
      </c>
      <c r="S908" s="4" t="s">
        <v>59</v>
      </c>
      <c r="T908" s="5">
        <v>29</v>
      </c>
      <c r="U908" s="6">
        <v>45065</v>
      </c>
      <c r="V908" s="4" t="s">
        <v>1373</v>
      </c>
      <c r="W908" s="4" t="s">
        <v>747</v>
      </c>
      <c r="X908" s="4"/>
      <c r="Y908" s="4"/>
      <c r="Z908" s="4"/>
      <c r="AA908" s="4"/>
      <c r="AB908" s="4"/>
      <c r="AC908" s="4"/>
      <c r="AD908" s="4">
        <f t="shared" si="14"/>
        <v>20</v>
      </c>
    </row>
    <row r="909" spans="1:30" ht="27" thickBot="1" x14ac:dyDescent="0.3">
      <c r="A909" s="3">
        <v>45064.614050925928</v>
      </c>
      <c r="B909" s="4" t="s">
        <v>1770</v>
      </c>
      <c r="C909" s="4" t="s">
        <v>254</v>
      </c>
      <c r="D909" s="31" t="s">
        <v>42</v>
      </c>
      <c r="E909" s="4" t="s">
        <v>1641</v>
      </c>
      <c r="F909" s="5">
        <v>621802097</v>
      </c>
      <c r="G909" s="5">
        <v>621802097</v>
      </c>
      <c r="H909" s="4" t="s">
        <v>476</v>
      </c>
      <c r="I909" s="5">
        <v>12</v>
      </c>
      <c r="J909" s="4" t="s">
        <v>38</v>
      </c>
      <c r="K909" s="5">
        <v>3</v>
      </c>
      <c r="L909" s="4" t="s">
        <v>568</v>
      </c>
      <c r="M909" s="4" t="s">
        <v>568</v>
      </c>
      <c r="N909" s="4" t="s">
        <v>90</v>
      </c>
      <c r="O909" s="6">
        <v>45068</v>
      </c>
      <c r="P909" s="4"/>
      <c r="Q909" s="4" t="s">
        <v>405</v>
      </c>
      <c r="R909" s="4" t="s">
        <v>36</v>
      </c>
      <c r="S909" s="4" t="s">
        <v>59</v>
      </c>
      <c r="T909" s="5">
        <v>3</v>
      </c>
      <c r="U909" s="6">
        <v>45065</v>
      </c>
      <c r="V909" s="4" t="s">
        <v>1373</v>
      </c>
      <c r="W909" s="4" t="s">
        <v>1642</v>
      </c>
      <c r="X909" s="4"/>
      <c r="Y909" s="4"/>
      <c r="Z909" s="4"/>
      <c r="AA909" s="4"/>
      <c r="AB909" s="4"/>
      <c r="AC909" s="4"/>
      <c r="AD909" s="4">
        <f t="shared" si="14"/>
        <v>20</v>
      </c>
    </row>
    <row r="910" spans="1:30" ht="27" thickBot="1" x14ac:dyDescent="0.3">
      <c r="A910" s="3">
        <v>45064.615648148145</v>
      </c>
      <c r="B910" s="4" t="s">
        <v>1770</v>
      </c>
      <c r="C910" s="4" t="s">
        <v>254</v>
      </c>
      <c r="D910" s="31" t="s">
        <v>42</v>
      </c>
      <c r="E910" s="4" t="s">
        <v>533</v>
      </c>
      <c r="F910" s="5">
        <v>622129932</v>
      </c>
      <c r="G910" s="5">
        <v>622129932</v>
      </c>
      <c r="H910" s="4" t="s">
        <v>476</v>
      </c>
      <c r="I910" s="5">
        <v>7</v>
      </c>
      <c r="J910" s="4" t="s">
        <v>38</v>
      </c>
      <c r="K910" s="5">
        <v>5</v>
      </c>
      <c r="L910" s="4" t="s">
        <v>512</v>
      </c>
      <c r="M910" s="4" t="s">
        <v>512</v>
      </c>
      <c r="N910" s="4" t="s">
        <v>33</v>
      </c>
      <c r="O910" s="6">
        <v>45067</v>
      </c>
      <c r="P910" s="4"/>
      <c r="Q910" s="4" t="s">
        <v>405</v>
      </c>
      <c r="R910" s="4" t="s">
        <v>36</v>
      </c>
      <c r="S910" s="4" t="s">
        <v>59</v>
      </c>
      <c r="T910" s="5">
        <v>5</v>
      </c>
      <c r="U910" s="6">
        <v>45065</v>
      </c>
      <c r="V910" s="4" t="s">
        <v>1373</v>
      </c>
      <c r="W910" s="4" t="s">
        <v>745</v>
      </c>
      <c r="X910" s="4"/>
      <c r="Y910" s="4"/>
      <c r="Z910" s="4"/>
      <c r="AA910" s="4"/>
      <c r="AB910" s="4"/>
      <c r="AC910" s="4"/>
      <c r="AD910" s="4">
        <f t="shared" si="14"/>
        <v>20</v>
      </c>
    </row>
    <row r="911" spans="1:30" ht="27" thickBot="1" x14ac:dyDescent="0.3">
      <c r="A911" s="3">
        <v>45064.618217592593</v>
      </c>
      <c r="B911" s="4" t="s">
        <v>1770</v>
      </c>
      <c r="C911" s="4" t="s">
        <v>254</v>
      </c>
      <c r="D911" s="31" t="s">
        <v>42</v>
      </c>
      <c r="E911" s="4" t="s">
        <v>1643</v>
      </c>
      <c r="F911" s="5">
        <v>623697128</v>
      </c>
      <c r="G911" s="5">
        <v>623697128</v>
      </c>
      <c r="H911" s="4" t="s">
        <v>476</v>
      </c>
      <c r="I911" s="5">
        <v>3</v>
      </c>
      <c r="J911" s="4" t="s">
        <v>38</v>
      </c>
      <c r="K911" s="5">
        <v>2</v>
      </c>
      <c r="L911" s="4" t="s">
        <v>512</v>
      </c>
      <c r="M911" s="4" t="s">
        <v>512</v>
      </c>
      <c r="N911" s="4" t="s">
        <v>33</v>
      </c>
      <c r="O911" s="6">
        <v>45078</v>
      </c>
      <c r="P911" s="4"/>
      <c r="Q911" s="4" t="s">
        <v>405</v>
      </c>
      <c r="R911" s="4" t="s">
        <v>36</v>
      </c>
      <c r="S911" s="4" t="s">
        <v>59</v>
      </c>
      <c r="T911" s="5">
        <v>2</v>
      </c>
      <c r="U911" s="6">
        <v>45065</v>
      </c>
      <c r="V911" s="4" t="s">
        <v>1373</v>
      </c>
      <c r="W911" s="4" t="s">
        <v>745</v>
      </c>
      <c r="X911" s="4"/>
      <c r="Y911" s="4"/>
      <c r="Z911" s="4"/>
      <c r="AA911" s="4"/>
      <c r="AB911" s="4"/>
      <c r="AC911" s="4"/>
      <c r="AD911" s="4">
        <f t="shared" si="14"/>
        <v>20</v>
      </c>
    </row>
    <row r="912" spans="1:30" ht="39.75" thickBot="1" x14ac:dyDescent="0.3">
      <c r="A912" s="3">
        <v>45064.641215277778</v>
      </c>
      <c r="B912" s="4" t="s">
        <v>552</v>
      </c>
      <c r="C912" s="4" t="s">
        <v>553</v>
      </c>
      <c r="D912" s="31" t="s">
        <v>42</v>
      </c>
      <c r="E912" s="4" t="s">
        <v>1682</v>
      </c>
      <c r="F912" s="5">
        <v>625414814</v>
      </c>
      <c r="G912" s="4"/>
      <c r="H912" s="4" t="s">
        <v>1153</v>
      </c>
      <c r="I912" s="5">
        <v>1</v>
      </c>
      <c r="J912" s="4" t="s">
        <v>38</v>
      </c>
      <c r="K912" s="5">
        <v>1</v>
      </c>
      <c r="L912" s="4" t="s">
        <v>1614</v>
      </c>
      <c r="M912" s="4" t="s">
        <v>1614</v>
      </c>
      <c r="N912" s="4" t="s">
        <v>90</v>
      </c>
      <c r="O912" s="6">
        <v>45064</v>
      </c>
      <c r="P912" s="4"/>
      <c r="Q912" s="4" t="s">
        <v>558</v>
      </c>
      <c r="R912" s="4" t="s">
        <v>36</v>
      </c>
      <c r="S912" s="4"/>
      <c r="T912" s="4"/>
      <c r="U912" s="4"/>
      <c r="V912" s="4" t="s">
        <v>1372</v>
      </c>
      <c r="W912" s="4"/>
      <c r="X912" s="4"/>
      <c r="Y912" s="4"/>
      <c r="Z912" s="4"/>
      <c r="AA912" s="4"/>
      <c r="AB912" s="4"/>
      <c r="AC912" s="4"/>
      <c r="AD912" s="4">
        <f t="shared" si="14"/>
        <v>20</v>
      </c>
    </row>
    <row r="913" spans="1:30" ht="39.75" thickBot="1" x14ac:dyDescent="0.3">
      <c r="A913" s="3">
        <v>45064.646157407406</v>
      </c>
      <c r="B913" s="4" t="s">
        <v>552</v>
      </c>
      <c r="C913" s="4" t="s">
        <v>553</v>
      </c>
      <c r="D913" s="31" t="s">
        <v>42</v>
      </c>
      <c r="E913" s="4" t="s">
        <v>1683</v>
      </c>
      <c r="F913" s="5">
        <v>620344951</v>
      </c>
      <c r="G913" s="4"/>
      <c r="H913" s="4" t="s">
        <v>1153</v>
      </c>
      <c r="I913" s="5">
        <v>1</v>
      </c>
      <c r="J913" s="4" t="s">
        <v>38</v>
      </c>
      <c r="K913" s="5">
        <v>1</v>
      </c>
      <c r="L913" s="4" t="s">
        <v>93</v>
      </c>
      <c r="M913" s="4" t="s">
        <v>93</v>
      </c>
      <c r="N913" s="4" t="s">
        <v>47</v>
      </c>
      <c r="O913" s="6">
        <v>45064</v>
      </c>
      <c r="P913" s="4"/>
      <c r="Q913" s="4" t="s">
        <v>558</v>
      </c>
      <c r="R913" s="4" t="s">
        <v>36</v>
      </c>
      <c r="S913" s="4"/>
      <c r="T913" s="4"/>
      <c r="U913" s="4"/>
      <c r="V913" s="4" t="s">
        <v>1372</v>
      </c>
      <c r="W913" s="4"/>
      <c r="X913" s="4"/>
      <c r="Y913" s="4"/>
      <c r="Z913" s="4"/>
      <c r="AA913" s="4"/>
      <c r="AB913" s="4"/>
      <c r="AC913" s="4"/>
      <c r="AD913" s="4">
        <f t="shared" si="14"/>
        <v>20</v>
      </c>
    </row>
    <row r="914" spans="1:30" ht="27" thickBot="1" x14ac:dyDescent="0.3">
      <c r="A914" s="3">
        <v>45064.719155092593</v>
      </c>
      <c r="B914" s="4" t="s">
        <v>53</v>
      </c>
      <c r="C914" s="4" t="s">
        <v>53</v>
      </c>
      <c r="D914" s="31" t="s">
        <v>42</v>
      </c>
      <c r="E914" s="4" t="s">
        <v>72</v>
      </c>
      <c r="F914" s="5">
        <v>628305638</v>
      </c>
      <c r="G914" s="4"/>
      <c r="H914" s="4" t="s">
        <v>62</v>
      </c>
      <c r="I914" s="5">
        <v>2</v>
      </c>
      <c r="J914" s="4" t="s">
        <v>38</v>
      </c>
      <c r="K914" s="5">
        <v>2</v>
      </c>
      <c r="L914" s="4" t="s">
        <v>73</v>
      </c>
      <c r="M914" s="4" t="s">
        <v>73</v>
      </c>
      <c r="N914" s="4" t="s">
        <v>33</v>
      </c>
      <c r="O914" s="6">
        <v>45065</v>
      </c>
      <c r="P914" s="4"/>
      <c r="Q914" s="4" t="s">
        <v>58</v>
      </c>
      <c r="R914" s="4" t="s">
        <v>36</v>
      </c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>
        <f t="shared" si="14"/>
        <v>20</v>
      </c>
    </row>
    <row r="915" spans="1:30" ht="39.75" thickBot="1" x14ac:dyDescent="0.3">
      <c r="A915" s="3">
        <v>45064.9062037037</v>
      </c>
      <c r="B915" s="4" t="s">
        <v>595</v>
      </c>
      <c r="C915" s="4" t="s">
        <v>1684</v>
      </c>
      <c r="D915" s="31" t="s">
        <v>42</v>
      </c>
      <c r="E915" s="4" t="s">
        <v>596</v>
      </c>
      <c r="F915" s="5">
        <v>621044012</v>
      </c>
      <c r="G915" s="4"/>
      <c r="H915" s="4" t="s">
        <v>597</v>
      </c>
      <c r="I915" s="5">
        <v>175</v>
      </c>
      <c r="J915" s="4" t="s">
        <v>132</v>
      </c>
      <c r="K915" s="5">
        <v>21</v>
      </c>
      <c r="L915" s="4" t="s">
        <v>598</v>
      </c>
      <c r="M915" s="4" t="s">
        <v>599</v>
      </c>
      <c r="N915" s="4" t="s">
        <v>41</v>
      </c>
      <c r="O915" s="6">
        <v>45065</v>
      </c>
      <c r="P915" s="4" t="s">
        <v>1041</v>
      </c>
      <c r="Q915" s="4" t="s">
        <v>600</v>
      </c>
      <c r="R915" s="4" t="s">
        <v>36</v>
      </c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>
        <f t="shared" si="14"/>
        <v>20</v>
      </c>
    </row>
    <row r="916" spans="1:30" ht="27" thickBot="1" x14ac:dyDescent="0.3">
      <c r="A916" s="3">
        <v>45065.096689814818</v>
      </c>
      <c r="B916" s="4" t="s">
        <v>234</v>
      </c>
      <c r="C916" s="4" t="s">
        <v>235</v>
      </c>
      <c r="D916" s="31" t="s">
        <v>42</v>
      </c>
      <c r="E916" s="4" t="s">
        <v>1685</v>
      </c>
      <c r="F916" s="5">
        <v>622064066</v>
      </c>
      <c r="G916" s="4"/>
      <c r="H916" s="4" t="s">
        <v>237</v>
      </c>
      <c r="I916" s="5">
        <v>67</v>
      </c>
      <c r="J916" s="4" t="s">
        <v>132</v>
      </c>
      <c r="K916" s="5">
        <v>16</v>
      </c>
      <c r="L916" s="4" t="s">
        <v>314</v>
      </c>
      <c r="M916" s="4" t="s">
        <v>314</v>
      </c>
      <c r="N916" s="4" t="s">
        <v>47</v>
      </c>
      <c r="O916" s="6">
        <v>45069</v>
      </c>
      <c r="P916" s="4"/>
      <c r="Q916" s="4" t="s">
        <v>240</v>
      </c>
      <c r="R916" s="4" t="s">
        <v>36</v>
      </c>
      <c r="S916" s="4"/>
      <c r="T916" s="4"/>
      <c r="U916" s="4"/>
      <c r="V916" s="4" t="s">
        <v>1372</v>
      </c>
      <c r="W916" s="4"/>
      <c r="X916" s="4"/>
      <c r="Y916" s="4"/>
      <c r="Z916" s="4"/>
      <c r="AA916" s="4"/>
      <c r="AB916" s="4"/>
      <c r="AC916" s="4"/>
      <c r="AD916" s="4">
        <f t="shared" si="14"/>
        <v>20</v>
      </c>
    </row>
    <row r="917" spans="1:30" ht="39.75" thickBot="1" x14ac:dyDescent="0.3">
      <c r="A917" s="3">
        <v>45065.345995370371</v>
      </c>
      <c r="B917" s="4" t="s">
        <v>79</v>
      </c>
      <c r="C917" s="4" t="s">
        <v>80</v>
      </c>
      <c r="D917" s="31" t="s">
        <v>27</v>
      </c>
      <c r="E917" s="4" t="s">
        <v>1644</v>
      </c>
      <c r="F917" s="5">
        <v>623430001</v>
      </c>
      <c r="G917" s="5">
        <v>0</v>
      </c>
      <c r="H917" s="4" t="s">
        <v>336</v>
      </c>
      <c r="I917" s="5">
        <v>40</v>
      </c>
      <c r="J917" s="4" t="s">
        <v>38</v>
      </c>
      <c r="K917" s="5">
        <v>8</v>
      </c>
      <c r="L917" s="4" t="s">
        <v>366</v>
      </c>
      <c r="M917" s="4" t="s">
        <v>89</v>
      </c>
      <c r="N917" s="4" t="s">
        <v>90</v>
      </c>
      <c r="O917" s="6">
        <v>45065</v>
      </c>
      <c r="P917" s="4" t="s">
        <v>1645</v>
      </c>
      <c r="Q917" s="4" t="s">
        <v>86</v>
      </c>
      <c r="R917" s="4" t="s">
        <v>36</v>
      </c>
      <c r="S917" s="4" t="s">
        <v>59</v>
      </c>
      <c r="T917" s="5">
        <v>8</v>
      </c>
      <c r="U917" s="6">
        <v>45065</v>
      </c>
      <c r="V917" s="4" t="s">
        <v>1373</v>
      </c>
      <c r="W917" s="4" t="s">
        <v>1190</v>
      </c>
      <c r="X917" s="4"/>
      <c r="Y917" s="4"/>
      <c r="Z917" s="4"/>
      <c r="AA917" s="4"/>
      <c r="AB917" s="4"/>
      <c r="AC917" s="4"/>
      <c r="AD917" s="4">
        <f t="shared" si="14"/>
        <v>20</v>
      </c>
    </row>
    <row r="918" spans="1:30" ht="39.75" thickBot="1" x14ac:dyDescent="0.3">
      <c r="A918" s="3">
        <v>45065.349363425928</v>
      </c>
      <c r="B918" s="4" t="s">
        <v>79</v>
      </c>
      <c r="C918" s="4" t="s">
        <v>80</v>
      </c>
      <c r="D918" s="31" t="s">
        <v>42</v>
      </c>
      <c r="E918" s="4" t="s">
        <v>1646</v>
      </c>
      <c r="F918" s="5">
        <v>624337750</v>
      </c>
      <c r="G918" s="5">
        <v>0</v>
      </c>
      <c r="H918" s="4" t="s">
        <v>365</v>
      </c>
      <c r="I918" s="5">
        <v>80</v>
      </c>
      <c r="J918" s="4" t="s">
        <v>38</v>
      </c>
      <c r="K918" s="5">
        <v>4</v>
      </c>
      <c r="L918" s="4" t="s">
        <v>366</v>
      </c>
      <c r="M918" s="4" t="s">
        <v>89</v>
      </c>
      <c r="N918" s="4" t="s">
        <v>90</v>
      </c>
      <c r="O918" s="6">
        <v>45065</v>
      </c>
      <c r="P918" s="4" t="s">
        <v>85</v>
      </c>
      <c r="Q918" s="4" t="s">
        <v>86</v>
      </c>
      <c r="R918" s="4" t="s">
        <v>36</v>
      </c>
      <c r="S918" s="4" t="s">
        <v>59</v>
      </c>
      <c r="T918" s="5">
        <v>4</v>
      </c>
      <c r="U918" s="6">
        <v>45065</v>
      </c>
      <c r="V918" s="4" t="s">
        <v>1373</v>
      </c>
      <c r="W918" s="4" t="s">
        <v>897</v>
      </c>
      <c r="X918" s="4"/>
      <c r="Y918" s="4"/>
      <c r="Z918" s="4"/>
      <c r="AA918" s="4"/>
      <c r="AB918" s="4"/>
      <c r="AC918" s="4"/>
      <c r="AD918" s="4">
        <f t="shared" si="14"/>
        <v>20</v>
      </c>
    </row>
    <row r="919" spans="1:30" ht="39.75" thickBot="1" x14ac:dyDescent="0.3">
      <c r="A919" s="3">
        <v>45065.415462962963</v>
      </c>
      <c r="B919" s="4" t="s">
        <v>1123</v>
      </c>
      <c r="C919" s="4" t="s">
        <v>1123</v>
      </c>
      <c r="D919" s="31" t="s">
        <v>42</v>
      </c>
      <c r="E919" s="4" t="s">
        <v>1583</v>
      </c>
      <c r="F919" s="5">
        <v>628334356</v>
      </c>
      <c r="G919" s="4"/>
      <c r="H919" s="4" t="s">
        <v>1399</v>
      </c>
      <c r="I919" s="5">
        <v>88</v>
      </c>
      <c r="J919" s="4" t="s">
        <v>38</v>
      </c>
      <c r="K919" s="5">
        <v>20</v>
      </c>
      <c r="L919" s="4" t="s">
        <v>705</v>
      </c>
      <c r="M919" s="4" t="s">
        <v>705</v>
      </c>
      <c r="N919" s="4" t="s">
        <v>33</v>
      </c>
      <c r="O919" s="6">
        <v>45066</v>
      </c>
      <c r="P919" s="4" t="s">
        <v>1127</v>
      </c>
      <c r="Q919" s="4" t="s">
        <v>1128</v>
      </c>
      <c r="R919" s="4" t="s">
        <v>36</v>
      </c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>
        <f t="shared" si="14"/>
        <v>20</v>
      </c>
    </row>
    <row r="920" spans="1:30" ht="27" thickBot="1" x14ac:dyDescent="0.3">
      <c r="A920" s="3">
        <v>45065.420416666668</v>
      </c>
      <c r="B920" s="4" t="s">
        <v>1123</v>
      </c>
      <c r="C920" s="4" t="s">
        <v>1123</v>
      </c>
      <c r="D920" s="31" t="s">
        <v>42</v>
      </c>
      <c r="E920" s="4" t="s">
        <v>1686</v>
      </c>
      <c r="F920" s="5">
        <v>628065504</v>
      </c>
      <c r="G920" s="4"/>
      <c r="H920" s="4" t="s">
        <v>1399</v>
      </c>
      <c r="I920" s="5">
        <v>80</v>
      </c>
      <c r="J920" s="4" t="s">
        <v>38</v>
      </c>
      <c r="K920" s="5">
        <v>5</v>
      </c>
      <c r="L920" s="4" t="s">
        <v>1254</v>
      </c>
      <c r="M920" s="4" t="s">
        <v>1687</v>
      </c>
      <c r="N920" s="4" t="s">
        <v>57</v>
      </c>
      <c r="O920" s="6">
        <v>45069</v>
      </c>
      <c r="P920" s="4" t="s">
        <v>1127</v>
      </c>
      <c r="Q920" s="4" t="s">
        <v>1128</v>
      </c>
      <c r="R920" s="4" t="s">
        <v>1254</v>
      </c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>
        <f t="shared" si="14"/>
        <v>20</v>
      </c>
    </row>
    <row r="921" spans="1:30" ht="27" thickBot="1" x14ac:dyDescent="0.3">
      <c r="A921" s="3">
        <v>45065.425844907404</v>
      </c>
      <c r="B921" s="4" t="s">
        <v>1123</v>
      </c>
      <c r="C921" s="4" t="s">
        <v>1123</v>
      </c>
      <c r="D921" s="31" t="s">
        <v>42</v>
      </c>
      <c r="E921" s="4" t="s">
        <v>1688</v>
      </c>
      <c r="F921" s="5">
        <v>622815817</v>
      </c>
      <c r="G921" s="4"/>
      <c r="H921" s="4" t="s">
        <v>1125</v>
      </c>
      <c r="I921" s="5">
        <v>12</v>
      </c>
      <c r="J921" s="4" t="s">
        <v>38</v>
      </c>
      <c r="K921" s="5">
        <v>1</v>
      </c>
      <c r="L921" s="4" t="s">
        <v>1689</v>
      </c>
      <c r="M921" s="4" t="s">
        <v>1689</v>
      </c>
      <c r="N921" s="4" t="s">
        <v>57</v>
      </c>
      <c r="O921" s="6">
        <v>45070</v>
      </c>
      <c r="P921" s="4" t="s">
        <v>1127</v>
      </c>
      <c r="Q921" s="4" t="s">
        <v>1128</v>
      </c>
      <c r="R921" s="4" t="s">
        <v>349</v>
      </c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>
        <f t="shared" si="14"/>
        <v>20</v>
      </c>
    </row>
    <row r="922" spans="1:30" ht="39.75" thickBot="1" x14ac:dyDescent="0.3">
      <c r="A922" s="3">
        <v>45065.429155092592</v>
      </c>
      <c r="B922" s="4" t="s">
        <v>79</v>
      </c>
      <c r="C922" s="4" t="s">
        <v>80</v>
      </c>
      <c r="D922" s="31" t="s">
        <v>42</v>
      </c>
      <c r="E922" s="4" t="s">
        <v>1690</v>
      </c>
      <c r="F922" s="5">
        <v>622949344</v>
      </c>
      <c r="G922" s="5">
        <v>0</v>
      </c>
      <c r="H922" s="4" t="s">
        <v>436</v>
      </c>
      <c r="I922" s="5">
        <v>25</v>
      </c>
      <c r="J922" s="4" t="s">
        <v>38</v>
      </c>
      <c r="K922" s="5">
        <v>20</v>
      </c>
      <c r="L922" s="4" t="s">
        <v>93</v>
      </c>
      <c r="M922" s="4" t="s">
        <v>94</v>
      </c>
      <c r="N922" s="4" t="s">
        <v>47</v>
      </c>
      <c r="O922" s="6">
        <v>45066</v>
      </c>
      <c r="P922" s="4" t="s">
        <v>334</v>
      </c>
      <c r="Q922" s="4" t="s">
        <v>86</v>
      </c>
      <c r="R922" s="4" t="s">
        <v>36</v>
      </c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>
        <f t="shared" si="14"/>
        <v>20</v>
      </c>
    </row>
    <row r="923" spans="1:30" ht="39.75" thickBot="1" x14ac:dyDescent="0.3">
      <c r="A923" s="3">
        <v>45065.478483796294</v>
      </c>
      <c r="B923" s="4" t="s">
        <v>53</v>
      </c>
      <c r="C923" s="4" t="s">
        <v>53</v>
      </c>
      <c r="D923" s="31" t="s">
        <v>42</v>
      </c>
      <c r="E923" s="4" t="s">
        <v>1691</v>
      </c>
      <c r="F923" s="5">
        <v>623574677</v>
      </c>
      <c r="G923" s="4"/>
      <c r="H923" s="4" t="s">
        <v>62</v>
      </c>
      <c r="I923" s="5">
        <v>4</v>
      </c>
      <c r="J923" s="4" t="s">
        <v>38</v>
      </c>
      <c r="K923" s="5">
        <v>1</v>
      </c>
      <c r="L923" s="4" t="s">
        <v>63</v>
      </c>
      <c r="M923" s="4" t="s">
        <v>63</v>
      </c>
      <c r="N923" s="4" t="s">
        <v>47</v>
      </c>
      <c r="O923" s="6">
        <v>45066</v>
      </c>
      <c r="P923" s="4"/>
      <c r="Q923" s="4" t="s">
        <v>58</v>
      </c>
      <c r="R923" s="4" t="s">
        <v>36</v>
      </c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>
        <f t="shared" si="14"/>
        <v>20</v>
      </c>
    </row>
    <row r="924" spans="1:30" ht="39.75" thickBot="1" x14ac:dyDescent="0.3">
      <c r="A924" s="3">
        <v>45065.482986111114</v>
      </c>
      <c r="B924" s="4" t="s">
        <v>53</v>
      </c>
      <c r="C924" s="4" t="s">
        <v>53</v>
      </c>
      <c r="D924" s="31" t="s">
        <v>27</v>
      </c>
      <c r="E924" s="4" t="s">
        <v>1692</v>
      </c>
      <c r="F924" s="5">
        <v>623875187</v>
      </c>
      <c r="G924" s="4"/>
      <c r="H924" s="4" t="s">
        <v>1693</v>
      </c>
      <c r="I924" s="5">
        <v>60</v>
      </c>
      <c r="J924" s="4" t="s">
        <v>38</v>
      </c>
      <c r="K924" s="5">
        <v>17</v>
      </c>
      <c r="L924" s="4" t="s">
        <v>1694</v>
      </c>
      <c r="M924" s="4" t="s">
        <v>1695</v>
      </c>
      <c r="N924" s="4" t="s">
        <v>57</v>
      </c>
      <c r="O924" s="6">
        <v>45069</v>
      </c>
      <c r="P924" s="4"/>
      <c r="Q924" s="4" t="s">
        <v>58</v>
      </c>
      <c r="R924" s="4" t="s">
        <v>1696</v>
      </c>
      <c r="S924" s="4" t="s">
        <v>59</v>
      </c>
      <c r="T924" s="5">
        <v>17.5</v>
      </c>
      <c r="U924" s="6">
        <v>45069</v>
      </c>
      <c r="V924" s="4" t="s">
        <v>1624</v>
      </c>
      <c r="W924" s="4" t="s">
        <v>1625</v>
      </c>
      <c r="X924" s="4"/>
      <c r="Y924" s="4"/>
      <c r="Z924" s="4"/>
      <c r="AA924" s="4"/>
      <c r="AB924" s="4"/>
      <c r="AC924" s="4"/>
      <c r="AD924" s="4">
        <f t="shared" si="14"/>
        <v>20</v>
      </c>
    </row>
    <row r="925" spans="1:30" ht="39.75" thickBot="1" x14ac:dyDescent="0.3">
      <c r="A925" s="3">
        <v>45065.51353009259</v>
      </c>
      <c r="B925" s="4" t="s">
        <v>53</v>
      </c>
      <c r="C925" s="4" t="s">
        <v>53</v>
      </c>
      <c r="D925" s="31" t="s">
        <v>42</v>
      </c>
      <c r="E925" s="4" t="s">
        <v>1697</v>
      </c>
      <c r="F925" s="5">
        <v>622390014</v>
      </c>
      <c r="G925" s="4"/>
      <c r="H925" s="4" t="s">
        <v>62</v>
      </c>
      <c r="I925" s="5">
        <v>3</v>
      </c>
      <c r="J925" s="4" t="s">
        <v>38</v>
      </c>
      <c r="K925" s="5">
        <v>1.5</v>
      </c>
      <c r="L925" s="4" t="s">
        <v>63</v>
      </c>
      <c r="M925" s="4" t="s">
        <v>63</v>
      </c>
      <c r="N925" s="4" t="s">
        <v>47</v>
      </c>
      <c r="O925" s="6">
        <v>45066</v>
      </c>
      <c r="P925" s="4"/>
      <c r="Q925" s="4" t="s">
        <v>58</v>
      </c>
      <c r="R925" s="4" t="s">
        <v>36</v>
      </c>
      <c r="S925" s="4" t="s">
        <v>59</v>
      </c>
      <c r="T925" s="5">
        <v>1.5</v>
      </c>
      <c r="U925" s="6">
        <v>45069</v>
      </c>
      <c r="V925" s="4" t="s">
        <v>1624</v>
      </c>
      <c r="W925" s="4" t="s">
        <v>1625</v>
      </c>
      <c r="X925" s="4"/>
      <c r="Y925" s="4"/>
      <c r="Z925" s="4"/>
      <c r="AA925" s="4"/>
      <c r="AB925" s="4"/>
      <c r="AC925" s="4"/>
      <c r="AD925" s="4">
        <f t="shared" si="14"/>
        <v>20</v>
      </c>
    </row>
    <row r="926" spans="1:30" ht="39.75" thickBot="1" x14ac:dyDescent="0.3">
      <c r="A926" s="3">
        <v>45065.548159722224</v>
      </c>
      <c r="B926" s="4" t="s">
        <v>1336</v>
      </c>
      <c r="C926" s="4" t="s">
        <v>1647</v>
      </c>
      <c r="D926" s="31" t="s">
        <v>42</v>
      </c>
      <c r="E926" s="4" t="s">
        <v>1528</v>
      </c>
      <c r="F926" s="5">
        <v>620351445</v>
      </c>
      <c r="G926" s="4"/>
      <c r="H926" s="4" t="s">
        <v>1529</v>
      </c>
      <c r="I926" s="5">
        <v>25</v>
      </c>
      <c r="J926" s="4" t="s">
        <v>101</v>
      </c>
      <c r="K926" s="5">
        <v>1</v>
      </c>
      <c r="L926" s="4" t="s">
        <v>120</v>
      </c>
      <c r="M926" s="4" t="s">
        <v>1648</v>
      </c>
      <c r="N926" s="4" t="s">
        <v>57</v>
      </c>
      <c r="O926" s="6">
        <v>45066</v>
      </c>
      <c r="P926" s="4"/>
      <c r="Q926" s="4" t="s">
        <v>1531</v>
      </c>
      <c r="R926" s="4" t="s">
        <v>36</v>
      </c>
      <c r="S926" s="4" t="s">
        <v>59</v>
      </c>
      <c r="T926" s="5">
        <v>1</v>
      </c>
      <c r="U926" s="6">
        <v>45065</v>
      </c>
      <c r="V926" s="4" t="s">
        <v>1373</v>
      </c>
      <c r="W926" s="4" t="s">
        <v>1649</v>
      </c>
      <c r="X926" s="4"/>
      <c r="Y926" s="4"/>
      <c r="Z926" s="4"/>
      <c r="AA926" s="4"/>
      <c r="AB926" s="4"/>
      <c r="AC926" s="4"/>
      <c r="AD926" s="4">
        <f t="shared" si="14"/>
        <v>20</v>
      </c>
    </row>
    <row r="927" spans="1:30" ht="78" thickBot="1" x14ac:dyDescent="0.3">
      <c r="A927" s="3">
        <v>45065.653877314813</v>
      </c>
      <c r="B927" s="4" t="s">
        <v>79</v>
      </c>
      <c r="C927" s="4" t="s">
        <v>80</v>
      </c>
      <c r="D927" s="31" t="s">
        <v>42</v>
      </c>
      <c r="E927" s="4" t="s">
        <v>1690</v>
      </c>
      <c r="F927" s="5">
        <v>622949344</v>
      </c>
      <c r="G927" s="5">
        <v>0</v>
      </c>
      <c r="H927" s="4" t="s">
        <v>436</v>
      </c>
      <c r="I927" s="5">
        <v>25</v>
      </c>
      <c r="J927" s="4" t="s">
        <v>38</v>
      </c>
      <c r="K927" s="5">
        <v>20</v>
      </c>
      <c r="L927" s="4" t="s">
        <v>93</v>
      </c>
      <c r="M927" s="4" t="s">
        <v>94</v>
      </c>
      <c r="N927" s="4" t="s">
        <v>47</v>
      </c>
      <c r="O927" s="6">
        <v>45066</v>
      </c>
      <c r="P927" s="4" t="s">
        <v>1698</v>
      </c>
      <c r="Q927" s="4" t="s">
        <v>86</v>
      </c>
      <c r="R927" s="4" t="s">
        <v>36</v>
      </c>
      <c r="S927" s="4"/>
      <c r="T927" s="4"/>
      <c r="U927" s="4"/>
      <c r="V927" s="4" t="s">
        <v>1372</v>
      </c>
      <c r="W927" s="4"/>
      <c r="X927" s="4"/>
      <c r="Y927" s="4"/>
      <c r="Z927" s="4"/>
      <c r="AA927" s="4"/>
      <c r="AB927" s="4"/>
      <c r="AC927" s="4"/>
      <c r="AD927" s="4">
        <f t="shared" si="14"/>
        <v>20</v>
      </c>
    </row>
    <row r="928" spans="1:30" ht="27" thickBot="1" x14ac:dyDescent="0.3">
      <c r="A928" s="3">
        <v>45065.682453703703</v>
      </c>
      <c r="B928" s="4" t="s">
        <v>1772</v>
      </c>
      <c r="C928" s="4" t="s">
        <v>1699</v>
      </c>
      <c r="D928" s="31" t="s">
        <v>42</v>
      </c>
      <c r="E928" s="4" t="s">
        <v>1700</v>
      </c>
      <c r="F928" s="5">
        <v>623366894</v>
      </c>
      <c r="G928" s="4"/>
      <c r="H928" s="4" t="s">
        <v>1701</v>
      </c>
      <c r="I928" s="5">
        <v>45</v>
      </c>
      <c r="J928" s="4" t="s">
        <v>38</v>
      </c>
      <c r="K928" s="5">
        <v>8</v>
      </c>
      <c r="L928" s="4" t="s">
        <v>1245</v>
      </c>
      <c r="M928" s="4" t="s">
        <v>1245</v>
      </c>
      <c r="N928" s="4" t="s">
        <v>33</v>
      </c>
      <c r="O928" s="6">
        <v>45066</v>
      </c>
      <c r="P928" s="4"/>
      <c r="Q928" s="4" t="s">
        <v>1246</v>
      </c>
      <c r="R928" s="4" t="s">
        <v>36</v>
      </c>
      <c r="S928" s="4"/>
      <c r="T928" s="4"/>
      <c r="U928" s="4"/>
      <c r="V928" s="4" t="s">
        <v>1372</v>
      </c>
      <c r="W928" s="4"/>
      <c r="X928" s="4"/>
      <c r="Y928" s="4"/>
      <c r="Z928" s="4"/>
      <c r="AA928" s="4"/>
      <c r="AB928" s="4"/>
      <c r="AC928" s="4"/>
      <c r="AD928" s="4">
        <f t="shared" si="14"/>
        <v>20</v>
      </c>
    </row>
    <row r="929" spans="1:30" ht="39.75" thickBot="1" x14ac:dyDescent="0.3">
      <c r="A929" s="3">
        <v>45065.687268518515</v>
      </c>
      <c r="B929" s="4" t="s">
        <v>241</v>
      </c>
      <c r="C929" s="4" t="s">
        <v>606</v>
      </c>
      <c r="D929" s="31" t="s">
        <v>27</v>
      </c>
      <c r="E929" s="4" t="s">
        <v>1702</v>
      </c>
      <c r="F929" s="5">
        <v>621112991</v>
      </c>
      <c r="G929" s="4"/>
      <c r="H929" s="4" t="s">
        <v>1703</v>
      </c>
      <c r="I929" s="5">
        <v>95</v>
      </c>
      <c r="J929" s="4" t="s">
        <v>101</v>
      </c>
      <c r="K929" s="5">
        <v>105</v>
      </c>
      <c r="L929" s="4" t="s">
        <v>1704</v>
      </c>
      <c r="M929" s="4" t="s">
        <v>246</v>
      </c>
      <c r="N929" s="4" t="s">
        <v>90</v>
      </c>
      <c r="O929" s="6">
        <v>45068</v>
      </c>
      <c r="P929" s="4" t="s">
        <v>706</v>
      </c>
      <c r="Q929" s="4" t="s">
        <v>247</v>
      </c>
      <c r="R929" s="4" t="s">
        <v>36</v>
      </c>
      <c r="S929" s="4"/>
      <c r="T929" s="4"/>
      <c r="U929" s="4"/>
      <c r="V929" s="4" t="s">
        <v>1372</v>
      </c>
      <c r="W929" s="4"/>
      <c r="X929" s="4"/>
      <c r="Y929" s="4"/>
      <c r="Z929" s="4"/>
      <c r="AA929" s="4"/>
      <c r="AB929" s="4"/>
      <c r="AC929" s="4"/>
      <c r="AD929" s="4">
        <f t="shared" si="14"/>
        <v>20</v>
      </c>
    </row>
    <row r="930" spans="1:30" ht="27" thickBot="1" x14ac:dyDescent="0.3">
      <c r="A930" s="3">
        <v>45065.688819444447</v>
      </c>
      <c r="B930" s="4" t="s">
        <v>241</v>
      </c>
      <c r="C930" s="4" t="s">
        <v>606</v>
      </c>
      <c r="D930" s="31" t="s">
        <v>42</v>
      </c>
      <c r="E930" s="4" t="s">
        <v>1705</v>
      </c>
      <c r="F930" s="5">
        <v>622005537</v>
      </c>
      <c r="G930" s="4"/>
      <c r="H930" s="4" t="s">
        <v>610</v>
      </c>
      <c r="I930" s="5">
        <v>11</v>
      </c>
      <c r="J930" s="4" t="s">
        <v>38</v>
      </c>
      <c r="K930" s="5">
        <v>15</v>
      </c>
      <c r="L930" s="4" t="s">
        <v>73</v>
      </c>
      <c r="M930" s="4" t="s">
        <v>32</v>
      </c>
      <c r="N930" s="4" t="s">
        <v>90</v>
      </c>
      <c r="O930" s="6">
        <v>45064</v>
      </c>
      <c r="P930" s="4" t="s">
        <v>706</v>
      </c>
      <c r="Q930" s="4" t="s">
        <v>247</v>
      </c>
      <c r="R930" s="4" t="s">
        <v>36</v>
      </c>
      <c r="S930" s="4"/>
      <c r="T930" s="4"/>
      <c r="U930" s="4"/>
      <c r="V930" s="4" t="s">
        <v>1372</v>
      </c>
      <c r="W930" s="4"/>
      <c r="X930" s="4"/>
      <c r="Y930" s="4"/>
      <c r="Z930" s="4"/>
      <c r="AA930" s="4"/>
      <c r="AB930" s="4"/>
      <c r="AC930" s="4"/>
      <c r="AD930" s="4">
        <f t="shared" si="14"/>
        <v>20</v>
      </c>
    </row>
    <row r="931" spans="1:30" ht="27" thickBot="1" x14ac:dyDescent="0.3">
      <c r="A931" s="3">
        <v>45065.734548611108</v>
      </c>
      <c r="B931" s="4" t="s">
        <v>234</v>
      </c>
      <c r="C931" s="4" t="s">
        <v>235</v>
      </c>
      <c r="D931" s="31" t="s">
        <v>42</v>
      </c>
      <c r="E931" s="4" t="s">
        <v>1706</v>
      </c>
      <c r="F931" s="5">
        <v>622310074</v>
      </c>
      <c r="G931" s="4"/>
      <c r="H931" s="4" t="s">
        <v>451</v>
      </c>
      <c r="I931" s="5">
        <v>75</v>
      </c>
      <c r="J931" s="4" t="s">
        <v>38</v>
      </c>
      <c r="K931" s="5">
        <v>8</v>
      </c>
      <c r="L931" s="4" t="s">
        <v>314</v>
      </c>
      <c r="M931" s="4" t="s">
        <v>314</v>
      </c>
      <c r="N931" s="4" t="s">
        <v>47</v>
      </c>
      <c r="O931" s="6">
        <v>45066</v>
      </c>
      <c r="P931" s="4"/>
      <c r="Q931" s="4" t="s">
        <v>240</v>
      </c>
      <c r="R931" s="4" t="s">
        <v>36</v>
      </c>
      <c r="S931" s="4"/>
      <c r="T931" s="4"/>
      <c r="U931" s="4"/>
      <c r="V931" s="4" t="s">
        <v>1372</v>
      </c>
      <c r="W931" s="4"/>
      <c r="X931" s="4"/>
      <c r="Y931" s="4"/>
      <c r="Z931" s="4"/>
      <c r="AA931" s="4"/>
      <c r="AB931" s="4"/>
      <c r="AC931" s="4"/>
      <c r="AD931" s="4">
        <f t="shared" si="14"/>
        <v>20</v>
      </c>
    </row>
    <row r="932" spans="1:30" ht="39.75" thickBot="1" x14ac:dyDescent="0.3">
      <c r="A932" s="3">
        <v>45065.78701388889</v>
      </c>
      <c r="B932" s="4" t="s">
        <v>552</v>
      </c>
      <c r="C932" s="4" t="s">
        <v>553</v>
      </c>
      <c r="D932" s="31" t="s">
        <v>42</v>
      </c>
      <c r="E932" s="4" t="s">
        <v>1707</v>
      </c>
      <c r="F932" s="5">
        <v>626537287</v>
      </c>
      <c r="G932" s="4"/>
      <c r="H932" s="4" t="s">
        <v>1708</v>
      </c>
      <c r="I932" s="5">
        <v>45</v>
      </c>
      <c r="J932" s="4" t="s">
        <v>38</v>
      </c>
      <c r="K932" s="5">
        <v>6</v>
      </c>
      <c r="L932" s="4" t="s">
        <v>1614</v>
      </c>
      <c r="M932" s="4" t="s">
        <v>1614</v>
      </c>
      <c r="N932" s="4" t="s">
        <v>90</v>
      </c>
      <c r="O932" s="6">
        <v>45066</v>
      </c>
      <c r="P932" s="4"/>
      <c r="Q932" s="4" t="s">
        <v>558</v>
      </c>
      <c r="R932" s="4" t="s">
        <v>36</v>
      </c>
      <c r="S932" s="4"/>
      <c r="T932" s="4"/>
      <c r="U932" s="4"/>
      <c r="V932" s="4" t="s">
        <v>1372</v>
      </c>
      <c r="W932" s="4"/>
      <c r="X932" s="4"/>
      <c r="Y932" s="4"/>
      <c r="Z932" s="4"/>
      <c r="AA932" s="4"/>
      <c r="AB932" s="4"/>
      <c r="AC932" s="4"/>
      <c r="AD932" s="4">
        <f t="shared" si="14"/>
        <v>20</v>
      </c>
    </row>
    <row r="933" spans="1:30" ht="27" thickBot="1" x14ac:dyDescent="0.3">
      <c r="A933" s="3">
        <v>45065.834074074075</v>
      </c>
      <c r="B933" s="4" t="s">
        <v>677</v>
      </c>
      <c r="C933" s="4" t="s">
        <v>678</v>
      </c>
      <c r="D933" s="31" t="s">
        <v>42</v>
      </c>
      <c r="E933" s="4" t="s">
        <v>1650</v>
      </c>
      <c r="F933" s="5">
        <v>622499417</v>
      </c>
      <c r="G933" s="4"/>
      <c r="H933" s="4" t="s">
        <v>953</v>
      </c>
      <c r="I933" s="5">
        <v>10</v>
      </c>
      <c r="J933" s="4" t="s">
        <v>38</v>
      </c>
      <c r="K933" s="5">
        <v>3</v>
      </c>
      <c r="L933" s="4" t="s">
        <v>1278</v>
      </c>
      <c r="M933" s="4" t="s">
        <v>1278</v>
      </c>
      <c r="N933" s="4" t="s">
        <v>33</v>
      </c>
      <c r="O933" s="6">
        <v>45065</v>
      </c>
      <c r="P933" s="4"/>
      <c r="Q933" s="4" t="s">
        <v>682</v>
      </c>
      <c r="R933" s="4" t="s">
        <v>36</v>
      </c>
      <c r="S933" s="4" t="s">
        <v>59</v>
      </c>
      <c r="T933" s="5">
        <v>5</v>
      </c>
      <c r="U933" s="6">
        <v>45068</v>
      </c>
      <c r="V933" s="4" t="s">
        <v>1624</v>
      </c>
      <c r="W933" s="4" t="s">
        <v>1383</v>
      </c>
      <c r="X933" s="4"/>
      <c r="Y933" s="4"/>
      <c r="Z933" s="4"/>
      <c r="AA933" s="4"/>
      <c r="AB933" s="4"/>
      <c r="AC933" s="4"/>
      <c r="AD933" s="4">
        <f t="shared" si="14"/>
        <v>20</v>
      </c>
    </row>
    <row r="934" spans="1:30" ht="27" thickBot="1" x14ac:dyDescent="0.3">
      <c r="A934" s="3">
        <v>45066.378194444442</v>
      </c>
      <c r="B934" s="4" t="s">
        <v>677</v>
      </c>
      <c r="C934" s="4" t="s">
        <v>678</v>
      </c>
      <c r="D934" s="31" t="s">
        <v>42</v>
      </c>
      <c r="E934" s="4" t="s">
        <v>1237</v>
      </c>
      <c r="F934" s="5">
        <v>628136248</v>
      </c>
      <c r="G934" s="4"/>
      <c r="H934" s="4" t="s">
        <v>953</v>
      </c>
      <c r="I934" s="5">
        <v>12</v>
      </c>
      <c r="J934" s="4" t="s">
        <v>38</v>
      </c>
      <c r="K934" s="5">
        <v>5</v>
      </c>
      <c r="L934" s="4" t="s">
        <v>93</v>
      </c>
      <c r="M934" s="4" t="s">
        <v>93</v>
      </c>
      <c r="N934" s="4" t="s">
        <v>47</v>
      </c>
      <c r="O934" s="6">
        <v>45067</v>
      </c>
      <c r="P934" s="4"/>
      <c r="Q934" s="4" t="s">
        <v>682</v>
      </c>
      <c r="R934" s="4" t="s">
        <v>36</v>
      </c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>
        <f t="shared" si="14"/>
        <v>20</v>
      </c>
    </row>
    <row r="935" spans="1:30" ht="27" thickBot="1" x14ac:dyDescent="0.3">
      <c r="A935" s="3">
        <v>45066.57371527778</v>
      </c>
      <c r="B935" s="4" t="s">
        <v>234</v>
      </c>
      <c r="C935" s="4" t="s">
        <v>235</v>
      </c>
      <c r="D935" s="31" t="s">
        <v>42</v>
      </c>
      <c r="E935" s="4" t="s">
        <v>1709</v>
      </c>
      <c r="F935" s="5">
        <v>622299749</v>
      </c>
      <c r="G935" s="4"/>
      <c r="H935" s="4" t="s">
        <v>451</v>
      </c>
      <c r="I935" s="5">
        <v>67</v>
      </c>
      <c r="J935" s="4" t="s">
        <v>38</v>
      </c>
      <c r="K935" s="5">
        <v>11</v>
      </c>
      <c r="L935" s="4" t="s">
        <v>1710</v>
      </c>
      <c r="M935" s="4" t="s">
        <v>1710</v>
      </c>
      <c r="N935" s="4" t="s">
        <v>33</v>
      </c>
      <c r="O935" s="6">
        <v>45069</v>
      </c>
      <c r="P935" s="4"/>
      <c r="Q935" s="4" t="s">
        <v>240</v>
      </c>
      <c r="R935" s="4" t="s">
        <v>36</v>
      </c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>
        <f t="shared" si="14"/>
        <v>20</v>
      </c>
    </row>
    <row r="936" spans="1:30" ht="27" thickBot="1" x14ac:dyDescent="0.3">
      <c r="A936" s="3">
        <v>45066.637743055559</v>
      </c>
      <c r="B936" s="4" t="s">
        <v>241</v>
      </c>
      <c r="C936" s="4" t="s">
        <v>606</v>
      </c>
      <c r="D936" s="31" t="s">
        <v>42</v>
      </c>
      <c r="E936" s="4" t="s">
        <v>1711</v>
      </c>
      <c r="F936" s="5">
        <v>622110835</v>
      </c>
      <c r="G936" s="4"/>
      <c r="H936" s="4" t="s">
        <v>610</v>
      </c>
      <c r="I936" s="5">
        <v>6</v>
      </c>
      <c r="J936" s="4" t="s">
        <v>101</v>
      </c>
      <c r="K936" s="5">
        <v>10</v>
      </c>
      <c r="L936" s="4" t="s">
        <v>711</v>
      </c>
      <c r="M936" s="4" t="s">
        <v>246</v>
      </c>
      <c r="N936" s="4" t="s">
        <v>47</v>
      </c>
      <c r="O936" s="6">
        <v>45068</v>
      </c>
      <c r="P936" s="4" t="s">
        <v>706</v>
      </c>
      <c r="Q936" s="4" t="s">
        <v>247</v>
      </c>
      <c r="R936" s="4" t="s">
        <v>36</v>
      </c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>
        <f t="shared" si="14"/>
        <v>20</v>
      </c>
    </row>
    <row r="937" spans="1:30" ht="27" thickBot="1" x14ac:dyDescent="0.3">
      <c r="A937" s="3">
        <v>45066.644467592596</v>
      </c>
      <c r="B937" s="4" t="s">
        <v>241</v>
      </c>
      <c r="C937" s="4" t="s">
        <v>606</v>
      </c>
      <c r="D937" s="31" t="s">
        <v>42</v>
      </c>
      <c r="E937" s="4" t="s">
        <v>1712</v>
      </c>
      <c r="F937" s="5">
        <v>621138813</v>
      </c>
      <c r="G937" s="4"/>
      <c r="H937" s="4" t="s">
        <v>610</v>
      </c>
      <c r="I937" s="5">
        <v>11</v>
      </c>
      <c r="J937" s="4" t="s">
        <v>38</v>
      </c>
      <c r="K937" s="5">
        <v>6</v>
      </c>
      <c r="L937" s="4" t="s">
        <v>1713</v>
      </c>
      <c r="M937" s="4" t="s">
        <v>263</v>
      </c>
      <c r="N937" s="4" t="s">
        <v>47</v>
      </c>
      <c r="O937" s="6">
        <v>45067</v>
      </c>
      <c r="P937" s="4" t="s">
        <v>706</v>
      </c>
      <c r="Q937" s="4" t="s">
        <v>247</v>
      </c>
      <c r="R937" s="4" t="s">
        <v>252</v>
      </c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>
        <f t="shared" si="14"/>
        <v>20</v>
      </c>
    </row>
    <row r="938" spans="1:30" ht="39.75" thickBot="1" x14ac:dyDescent="0.3">
      <c r="A938" s="3">
        <v>45066.647418981483</v>
      </c>
      <c r="B938" s="4" t="s">
        <v>241</v>
      </c>
      <c r="C938" s="4" t="s">
        <v>606</v>
      </c>
      <c r="D938" s="31" t="s">
        <v>42</v>
      </c>
      <c r="E938" s="4" t="s">
        <v>1714</v>
      </c>
      <c r="F938" s="5">
        <v>624838407</v>
      </c>
      <c r="G938" s="4"/>
      <c r="H938" s="4" t="s">
        <v>1173</v>
      </c>
      <c r="I938" s="5">
        <v>92</v>
      </c>
      <c r="J938" s="4" t="s">
        <v>101</v>
      </c>
      <c r="K938" s="5">
        <v>80</v>
      </c>
      <c r="L938" s="4" t="s">
        <v>93</v>
      </c>
      <c r="M938" s="4" t="s">
        <v>1262</v>
      </c>
      <c r="N938" s="4" t="s">
        <v>33</v>
      </c>
      <c r="O938" s="6">
        <v>45071</v>
      </c>
      <c r="P938" s="4" t="s">
        <v>706</v>
      </c>
      <c r="Q938" s="4" t="s">
        <v>247</v>
      </c>
      <c r="R938" s="4" t="s">
        <v>36</v>
      </c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>
        <f t="shared" si="14"/>
        <v>20</v>
      </c>
    </row>
    <row r="939" spans="1:30" ht="27" thickBot="1" x14ac:dyDescent="0.3">
      <c r="A939" s="3">
        <v>45066.649965277778</v>
      </c>
      <c r="B939" s="4" t="s">
        <v>241</v>
      </c>
      <c r="C939" s="4" t="s">
        <v>606</v>
      </c>
      <c r="D939" s="31" t="s">
        <v>27</v>
      </c>
      <c r="E939" s="4" t="s">
        <v>1715</v>
      </c>
      <c r="F939" s="5">
        <v>628155244</v>
      </c>
      <c r="G939" s="4"/>
      <c r="H939" s="4" t="s">
        <v>1592</v>
      </c>
      <c r="I939" s="5">
        <v>28</v>
      </c>
      <c r="J939" s="4" t="s">
        <v>101</v>
      </c>
      <c r="K939" s="5">
        <v>35</v>
      </c>
      <c r="L939" s="4" t="s">
        <v>1716</v>
      </c>
      <c r="M939" s="4" t="s">
        <v>246</v>
      </c>
      <c r="N939" s="4" t="s">
        <v>47</v>
      </c>
      <c r="O939" s="6">
        <v>45076</v>
      </c>
      <c r="P939" s="4" t="s">
        <v>706</v>
      </c>
      <c r="Q939" s="4" t="s">
        <v>247</v>
      </c>
      <c r="R939" s="4" t="s">
        <v>36</v>
      </c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>
        <f t="shared" si="14"/>
        <v>20</v>
      </c>
    </row>
    <row r="940" spans="1:30" ht="27" thickBot="1" x14ac:dyDescent="0.3">
      <c r="A940" s="3">
        <v>45066.653171296297</v>
      </c>
      <c r="B940" s="4" t="s">
        <v>241</v>
      </c>
      <c r="C940" s="4" t="s">
        <v>606</v>
      </c>
      <c r="D940" s="31" t="s">
        <v>27</v>
      </c>
      <c r="E940" s="4" t="s">
        <v>1717</v>
      </c>
      <c r="F940" s="5">
        <v>628949604</v>
      </c>
      <c r="G940" s="4"/>
      <c r="H940" s="4" t="s">
        <v>1592</v>
      </c>
      <c r="I940" s="5">
        <v>27</v>
      </c>
      <c r="J940" s="4" t="s">
        <v>101</v>
      </c>
      <c r="K940" s="5">
        <v>32</v>
      </c>
      <c r="L940" s="4" t="s">
        <v>723</v>
      </c>
      <c r="M940" s="4" t="s">
        <v>147</v>
      </c>
      <c r="N940" s="4" t="s">
        <v>47</v>
      </c>
      <c r="O940" s="6">
        <v>45080</v>
      </c>
      <c r="P940" s="4" t="s">
        <v>706</v>
      </c>
      <c r="Q940" s="4" t="s">
        <v>247</v>
      </c>
      <c r="R940" s="4" t="s">
        <v>36</v>
      </c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>
        <f t="shared" si="14"/>
        <v>20</v>
      </c>
    </row>
    <row r="941" spans="1:30" ht="27" thickBot="1" x14ac:dyDescent="0.3">
      <c r="A941" s="3">
        <v>45066.657071759262</v>
      </c>
      <c r="B941" s="4" t="s">
        <v>241</v>
      </c>
      <c r="C941" s="4" t="s">
        <v>606</v>
      </c>
      <c r="D941" s="31" t="s">
        <v>27</v>
      </c>
      <c r="E941" s="4" t="s">
        <v>1718</v>
      </c>
      <c r="F941" s="5">
        <v>621037560</v>
      </c>
      <c r="G941" s="4"/>
      <c r="H941" s="4" t="s">
        <v>1592</v>
      </c>
      <c r="I941" s="5">
        <v>31</v>
      </c>
      <c r="J941" s="4" t="s">
        <v>101</v>
      </c>
      <c r="K941" s="5">
        <v>53</v>
      </c>
      <c r="L941" s="4" t="s">
        <v>1719</v>
      </c>
      <c r="M941" s="4" t="s">
        <v>1720</v>
      </c>
      <c r="N941" s="4" t="s">
        <v>33</v>
      </c>
      <c r="O941" s="6">
        <v>45078</v>
      </c>
      <c r="P941" s="4" t="s">
        <v>706</v>
      </c>
      <c r="Q941" s="4" t="s">
        <v>247</v>
      </c>
      <c r="R941" s="4" t="s">
        <v>36</v>
      </c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>
        <f t="shared" si="14"/>
        <v>20</v>
      </c>
    </row>
    <row r="942" spans="1:30" ht="39.75" thickBot="1" x14ac:dyDescent="0.3">
      <c r="A942" s="3">
        <v>45066.658703703702</v>
      </c>
      <c r="B942" s="4" t="s">
        <v>241</v>
      </c>
      <c r="C942" s="4" t="s">
        <v>606</v>
      </c>
      <c r="D942" s="31" t="s">
        <v>27</v>
      </c>
      <c r="E942" s="4" t="s">
        <v>1721</v>
      </c>
      <c r="F942" s="5">
        <v>628773068</v>
      </c>
      <c r="G942" s="4"/>
      <c r="H942" s="4" t="s">
        <v>1592</v>
      </c>
      <c r="I942" s="5">
        <v>28</v>
      </c>
      <c r="J942" s="4" t="s">
        <v>101</v>
      </c>
      <c r="K942" s="5">
        <v>65</v>
      </c>
      <c r="L942" s="4" t="s">
        <v>1261</v>
      </c>
      <c r="M942" s="4" t="s">
        <v>1262</v>
      </c>
      <c r="N942" s="4" t="s">
        <v>33</v>
      </c>
      <c r="O942" s="6">
        <v>45077</v>
      </c>
      <c r="P942" s="4" t="s">
        <v>713</v>
      </c>
      <c r="Q942" s="4" t="s">
        <v>247</v>
      </c>
      <c r="R942" s="4" t="s">
        <v>36</v>
      </c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>
        <f t="shared" si="14"/>
        <v>20</v>
      </c>
    </row>
    <row r="943" spans="1:30" ht="27" thickBot="1" x14ac:dyDescent="0.3">
      <c r="A943" s="3">
        <v>45066.661412037036</v>
      </c>
      <c r="B943" s="4" t="s">
        <v>241</v>
      </c>
      <c r="C943" s="4" t="s">
        <v>606</v>
      </c>
      <c r="D943" s="31" t="s">
        <v>27</v>
      </c>
      <c r="E943" s="4" t="s">
        <v>1722</v>
      </c>
      <c r="F943" s="5">
        <v>628653697</v>
      </c>
      <c r="G943" s="4"/>
      <c r="H943" s="4" t="s">
        <v>1592</v>
      </c>
      <c r="I943" s="5">
        <v>23</v>
      </c>
      <c r="J943" s="4" t="s">
        <v>101</v>
      </c>
      <c r="K943" s="5">
        <v>34</v>
      </c>
      <c r="L943" s="4" t="s">
        <v>1723</v>
      </c>
      <c r="M943" s="4" t="s">
        <v>246</v>
      </c>
      <c r="N943" s="4" t="s">
        <v>33</v>
      </c>
      <c r="O943" s="6">
        <v>45074</v>
      </c>
      <c r="P943" s="4" t="s">
        <v>706</v>
      </c>
      <c r="Q943" s="4" t="s">
        <v>247</v>
      </c>
      <c r="R943" s="4" t="s">
        <v>36</v>
      </c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>
        <f t="shared" si="14"/>
        <v>20</v>
      </c>
    </row>
    <row r="944" spans="1:30" ht="39.75" thickBot="1" x14ac:dyDescent="0.3">
      <c r="A944" s="3">
        <v>45066.767916666664</v>
      </c>
      <c r="B944" s="4" t="s">
        <v>552</v>
      </c>
      <c r="C944" s="4" t="s">
        <v>553</v>
      </c>
      <c r="D944" s="31" t="s">
        <v>42</v>
      </c>
      <c r="E944" s="4" t="s">
        <v>1724</v>
      </c>
      <c r="F944" s="5">
        <v>624490725</v>
      </c>
      <c r="G944" s="4"/>
      <c r="H944" s="4" t="s">
        <v>619</v>
      </c>
      <c r="I944" s="5">
        <v>50</v>
      </c>
      <c r="J944" s="4" t="s">
        <v>38</v>
      </c>
      <c r="K944" s="5">
        <v>10</v>
      </c>
      <c r="L944" s="4" t="s">
        <v>1725</v>
      </c>
      <c r="M944" s="4" t="s">
        <v>1726</v>
      </c>
      <c r="N944" s="4" t="s">
        <v>33</v>
      </c>
      <c r="O944" s="6">
        <v>45067</v>
      </c>
      <c r="P944" s="4"/>
      <c r="Q944" s="4" t="s">
        <v>558</v>
      </c>
      <c r="R944" s="4" t="s">
        <v>36</v>
      </c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>
        <f t="shared" si="14"/>
        <v>20</v>
      </c>
    </row>
    <row r="945" spans="1:30" ht="27" thickBot="1" x14ac:dyDescent="0.3">
      <c r="A945" s="3">
        <v>45067.407905092594</v>
      </c>
      <c r="B945" s="4" t="s">
        <v>677</v>
      </c>
      <c r="C945" s="4" t="s">
        <v>678</v>
      </c>
      <c r="D945" s="31" t="s">
        <v>42</v>
      </c>
      <c r="E945" s="4" t="s">
        <v>1727</v>
      </c>
      <c r="F945" s="5">
        <v>628789436</v>
      </c>
      <c r="G945" s="4"/>
      <c r="H945" s="4" t="s">
        <v>953</v>
      </c>
      <c r="I945" s="5">
        <v>11</v>
      </c>
      <c r="J945" s="4" t="s">
        <v>38</v>
      </c>
      <c r="K945" s="5">
        <v>2</v>
      </c>
      <c r="L945" s="4" t="s">
        <v>93</v>
      </c>
      <c r="M945" s="4" t="s">
        <v>93</v>
      </c>
      <c r="N945" s="4" t="s">
        <v>47</v>
      </c>
      <c r="O945" s="6">
        <v>45074</v>
      </c>
      <c r="P945" s="4"/>
      <c r="Q945" s="4" t="s">
        <v>682</v>
      </c>
      <c r="R945" s="4" t="s">
        <v>36</v>
      </c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>
        <f t="shared" si="14"/>
        <v>21</v>
      </c>
    </row>
    <row r="946" spans="1:30" ht="78" thickBot="1" x14ac:dyDescent="0.3">
      <c r="A946" s="3">
        <v>45068.406261574077</v>
      </c>
      <c r="B946" s="4" t="s">
        <v>623</v>
      </c>
      <c r="C946" s="4" t="s">
        <v>1599</v>
      </c>
      <c r="D946" s="31" t="s">
        <v>42</v>
      </c>
      <c r="E946" s="4" t="s">
        <v>1615</v>
      </c>
      <c r="F946" s="5">
        <v>624910129</v>
      </c>
      <c r="G946" s="4"/>
      <c r="H946" s="4" t="s">
        <v>626</v>
      </c>
      <c r="I946" s="5">
        <v>10</v>
      </c>
      <c r="J946" s="4" t="s">
        <v>38</v>
      </c>
      <c r="K946" s="5">
        <v>64</v>
      </c>
      <c r="L946" s="4" t="s">
        <v>871</v>
      </c>
      <c r="M946" s="4" t="s">
        <v>264</v>
      </c>
      <c r="N946" s="4" t="s">
        <v>57</v>
      </c>
      <c r="O946" s="6">
        <v>45069</v>
      </c>
      <c r="P946" s="4"/>
      <c r="Q946" s="4" t="s">
        <v>628</v>
      </c>
      <c r="R946" s="4" t="s">
        <v>252</v>
      </c>
      <c r="S946" s="4" t="s">
        <v>59</v>
      </c>
      <c r="T946" s="5">
        <v>12</v>
      </c>
      <c r="U946" s="6">
        <v>45068</v>
      </c>
      <c r="V946" s="4" t="s">
        <v>1624</v>
      </c>
      <c r="W946" s="4" t="s">
        <v>1617</v>
      </c>
      <c r="X946" s="4"/>
      <c r="Y946" s="4"/>
      <c r="Z946" s="4"/>
      <c r="AA946" s="4"/>
      <c r="AB946" s="4"/>
      <c r="AC946" s="4"/>
      <c r="AD946" s="4">
        <f t="shared" si="14"/>
        <v>21</v>
      </c>
    </row>
    <row r="947" spans="1:30" ht="78" thickBot="1" x14ac:dyDescent="0.3">
      <c r="A947" s="3">
        <v>45068.412476851852</v>
      </c>
      <c r="B947" s="4" t="s">
        <v>623</v>
      </c>
      <c r="C947" s="4" t="s">
        <v>1599</v>
      </c>
      <c r="D947" s="31" t="s">
        <v>42</v>
      </c>
      <c r="E947" s="4" t="s">
        <v>1728</v>
      </c>
      <c r="F947" s="5">
        <v>610609397</v>
      </c>
      <c r="G947" s="4"/>
      <c r="H947" s="4" t="s">
        <v>626</v>
      </c>
      <c r="I947" s="5">
        <v>8</v>
      </c>
      <c r="J947" s="4" t="s">
        <v>38</v>
      </c>
      <c r="K947" s="5">
        <v>4</v>
      </c>
      <c r="L947" s="4" t="s">
        <v>1729</v>
      </c>
      <c r="M947" s="4" t="s">
        <v>873</v>
      </c>
      <c r="N947" s="4" t="s">
        <v>33</v>
      </c>
      <c r="O947" s="6">
        <v>45068</v>
      </c>
      <c r="P947" s="4"/>
      <c r="Q947" s="4" t="s">
        <v>628</v>
      </c>
      <c r="R947" s="4" t="s">
        <v>36</v>
      </c>
      <c r="S947" s="4" t="s">
        <v>59</v>
      </c>
      <c r="T947" s="5">
        <v>2</v>
      </c>
      <c r="U947" s="6">
        <v>45068</v>
      </c>
      <c r="V947" s="4" t="s">
        <v>1624</v>
      </c>
      <c r="W947" s="4" t="s">
        <v>1617</v>
      </c>
      <c r="X947" s="4"/>
      <c r="Y947" s="4"/>
      <c r="Z947" s="4"/>
      <c r="AA947" s="4"/>
      <c r="AB947" s="4"/>
      <c r="AC947" s="4"/>
      <c r="AD947" s="4">
        <f t="shared" si="14"/>
        <v>21</v>
      </c>
    </row>
    <row r="948" spans="1:30" ht="39.75" thickBot="1" x14ac:dyDescent="0.3">
      <c r="A948" s="3">
        <v>45068.416747685187</v>
      </c>
      <c r="B948" s="4" t="s">
        <v>876</v>
      </c>
      <c r="C948" s="4" t="s">
        <v>1730</v>
      </c>
      <c r="D948" s="31" t="s">
        <v>27</v>
      </c>
      <c r="E948" s="4" t="s">
        <v>1480</v>
      </c>
      <c r="F948" s="5">
        <v>622465274</v>
      </c>
      <c r="G948" s="4"/>
      <c r="H948" s="4" t="s">
        <v>879</v>
      </c>
      <c r="I948" s="5">
        <v>32</v>
      </c>
      <c r="J948" s="4" t="s">
        <v>38</v>
      </c>
      <c r="K948" s="5">
        <v>5</v>
      </c>
      <c r="L948" s="4" t="s">
        <v>881</v>
      </c>
      <c r="M948" s="4" t="s">
        <v>120</v>
      </c>
      <c r="N948" s="4" t="s">
        <v>47</v>
      </c>
      <c r="O948" s="6">
        <v>45069</v>
      </c>
      <c r="P948" s="4"/>
      <c r="Q948" s="4" t="s">
        <v>882</v>
      </c>
      <c r="R948" s="4" t="s">
        <v>36</v>
      </c>
      <c r="S948" s="4" t="s">
        <v>59</v>
      </c>
      <c r="T948" s="5">
        <v>5</v>
      </c>
      <c r="U948" s="6">
        <v>45068</v>
      </c>
      <c r="V948" s="4" t="s">
        <v>1624</v>
      </c>
      <c r="W948" s="4" t="s">
        <v>1629</v>
      </c>
      <c r="X948" s="4"/>
      <c r="Y948" s="4"/>
      <c r="Z948" s="4"/>
      <c r="AA948" s="4"/>
      <c r="AB948" s="4"/>
      <c r="AC948" s="4"/>
      <c r="AD948" s="4">
        <f t="shared" si="14"/>
        <v>21</v>
      </c>
    </row>
    <row r="949" spans="1:30" ht="78" thickBot="1" x14ac:dyDescent="0.3">
      <c r="A949" s="3">
        <v>45068.425821759258</v>
      </c>
      <c r="B949" s="4" t="s">
        <v>623</v>
      </c>
      <c r="C949" s="4" t="s">
        <v>1599</v>
      </c>
      <c r="D949" s="31" t="s">
        <v>42</v>
      </c>
      <c r="E949" s="4" t="s">
        <v>1460</v>
      </c>
      <c r="F949" s="5">
        <v>620165590</v>
      </c>
      <c r="G949" s="4"/>
      <c r="H949" s="4" t="s">
        <v>626</v>
      </c>
      <c r="I949" s="5">
        <v>15</v>
      </c>
      <c r="J949" s="4" t="s">
        <v>38</v>
      </c>
      <c r="K949" s="5">
        <v>5</v>
      </c>
      <c r="L949" s="4" t="s">
        <v>1729</v>
      </c>
      <c r="M949" s="4" t="s">
        <v>873</v>
      </c>
      <c r="N949" s="4" t="s">
        <v>33</v>
      </c>
      <c r="O949" s="6">
        <v>45070</v>
      </c>
      <c r="P949" s="4"/>
      <c r="Q949" s="4" t="s">
        <v>628</v>
      </c>
      <c r="R949" s="4" t="s">
        <v>36</v>
      </c>
      <c r="S949" s="4" t="s">
        <v>59</v>
      </c>
      <c r="T949" s="5">
        <v>5</v>
      </c>
      <c r="U949" s="6">
        <v>45068</v>
      </c>
      <c r="V949" s="4" t="s">
        <v>1624</v>
      </c>
      <c r="W949" s="4" t="s">
        <v>1617</v>
      </c>
      <c r="X949" s="4"/>
      <c r="Y949" s="4"/>
      <c r="Z949" s="4"/>
      <c r="AA949" s="4"/>
      <c r="AB949" s="4"/>
      <c r="AC949" s="4"/>
      <c r="AD949" s="4">
        <f t="shared" si="14"/>
        <v>21</v>
      </c>
    </row>
    <row r="950" spans="1:30" ht="27" thickBot="1" x14ac:dyDescent="0.3">
      <c r="A950" s="3">
        <v>45068.427604166667</v>
      </c>
      <c r="B950" s="4" t="s">
        <v>53</v>
      </c>
      <c r="C950" s="4" t="s">
        <v>53</v>
      </c>
      <c r="D950" s="31" t="s">
        <v>27</v>
      </c>
      <c r="E950" s="4" t="s">
        <v>1731</v>
      </c>
      <c r="F950" s="5">
        <v>628305638</v>
      </c>
      <c r="G950" s="4"/>
      <c r="H950" s="4" t="s">
        <v>62</v>
      </c>
      <c r="I950" s="5">
        <v>3</v>
      </c>
      <c r="J950" s="4" t="s">
        <v>38</v>
      </c>
      <c r="K950" s="5">
        <v>2</v>
      </c>
      <c r="L950" s="4" t="s">
        <v>73</v>
      </c>
      <c r="M950" s="4" t="s">
        <v>73</v>
      </c>
      <c r="N950" s="4" t="s">
        <v>33</v>
      </c>
      <c r="O950" s="6">
        <v>45065</v>
      </c>
      <c r="P950" s="4"/>
      <c r="Q950" s="4" t="s">
        <v>58</v>
      </c>
      <c r="R950" s="4" t="s">
        <v>36</v>
      </c>
      <c r="S950" s="4" t="s">
        <v>59</v>
      </c>
      <c r="T950" s="5">
        <v>2</v>
      </c>
      <c r="U950" s="6">
        <v>45069</v>
      </c>
      <c r="V950" s="4" t="s">
        <v>1624</v>
      </c>
      <c r="W950" s="4" t="s">
        <v>1732</v>
      </c>
      <c r="X950" s="4"/>
      <c r="Y950" s="4"/>
      <c r="Z950" s="4"/>
      <c r="AA950" s="4"/>
      <c r="AB950" s="4"/>
      <c r="AC950" s="4"/>
      <c r="AD950" s="4">
        <f t="shared" si="14"/>
        <v>21</v>
      </c>
    </row>
    <row r="951" spans="1:30" ht="39.75" thickBot="1" x14ac:dyDescent="0.3">
      <c r="A951" s="3">
        <v>45068.430358796293</v>
      </c>
      <c r="B951" s="4" t="s">
        <v>53</v>
      </c>
      <c r="C951" s="4" t="s">
        <v>53</v>
      </c>
      <c r="D951" s="31" t="s">
        <v>42</v>
      </c>
      <c r="E951" s="4" t="s">
        <v>1733</v>
      </c>
      <c r="F951" s="5">
        <v>623574677</v>
      </c>
      <c r="G951" s="4"/>
      <c r="H951" s="4" t="s">
        <v>62</v>
      </c>
      <c r="I951" s="5">
        <v>2</v>
      </c>
      <c r="J951" s="4" t="s">
        <v>38</v>
      </c>
      <c r="K951" s="5">
        <v>1</v>
      </c>
      <c r="L951" s="4" t="s">
        <v>147</v>
      </c>
      <c r="M951" s="4" t="s">
        <v>147</v>
      </c>
      <c r="N951" s="4" t="s">
        <v>47</v>
      </c>
      <c r="O951" s="6">
        <v>45065</v>
      </c>
      <c r="P951" s="4"/>
      <c r="Q951" s="4" t="s">
        <v>58</v>
      </c>
      <c r="R951" s="4" t="s">
        <v>36</v>
      </c>
      <c r="S951" s="4" t="s">
        <v>59</v>
      </c>
      <c r="T951" s="5">
        <v>1</v>
      </c>
      <c r="U951" s="6">
        <v>45069</v>
      </c>
      <c r="V951" s="4" t="s">
        <v>1624</v>
      </c>
      <c r="W951" s="4" t="s">
        <v>1625</v>
      </c>
      <c r="X951" s="4"/>
      <c r="Y951" s="4"/>
      <c r="Z951" s="4"/>
      <c r="AA951" s="4"/>
      <c r="AB951" s="4"/>
      <c r="AC951" s="4"/>
      <c r="AD951" s="4">
        <f t="shared" si="14"/>
        <v>21</v>
      </c>
    </row>
    <row r="952" spans="1:30" ht="27" thickBot="1" x14ac:dyDescent="0.3">
      <c r="A952" s="3">
        <v>45068.436782407407</v>
      </c>
      <c r="B952" s="4" t="s">
        <v>53</v>
      </c>
      <c r="C952" s="4" t="s">
        <v>53</v>
      </c>
      <c r="D952" s="31" t="s">
        <v>27</v>
      </c>
      <c r="E952" s="4" t="s">
        <v>1734</v>
      </c>
      <c r="F952" s="5">
        <v>623875187</v>
      </c>
      <c r="G952" s="4"/>
      <c r="H952" s="4" t="s">
        <v>1693</v>
      </c>
      <c r="I952" s="5">
        <v>60</v>
      </c>
      <c r="J952" s="4" t="s">
        <v>38</v>
      </c>
      <c r="K952" s="5">
        <v>17.5</v>
      </c>
      <c r="L952" s="4" t="s">
        <v>63</v>
      </c>
      <c r="M952" s="4" t="s">
        <v>723</v>
      </c>
      <c r="N952" s="4" t="s">
        <v>47</v>
      </c>
      <c r="O952" s="6">
        <v>45065</v>
      </c>
      <c r="P952" s="4"/>
      <c r="Q952" s="4" t="s">
        <v>58</v>
      </c>
      <c r="R952" s="4" t="s">
        <v>36</v>
      </c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>
        <f t="shared" si="14"/>
        <v>21</v>
      </c>
    </row>
    <row r="953" spans="1:30" ht="27" thickBot="1" x14ac:dyDescent="0.3">
      <c r="A953" s="3">
        <v>45068.449097222219</v>
      </c>
      <c r="B953" s="4" t="s">
        <v>1771</v>
      </c>
      <c r="C953" s="4" t="s">
        <v>496</v>
      </c>
      <c r="D953" s="31" t="s">
        <v>42</v>
      </c>
      <c r="E953" s="4" t="s">
        <v>1735</v>
      </c>
      <c r="F953" s="5">
        <v>622423797</v>
      </c>
      <c r="G953" s="5">
        <v>622423797</v>
      </c>
      <c r="H953" s="4" t="s">
        <v>525</v>
      </c>
      <c r="I953" s="5">
        <v>7</v>
      </c>
      <c r="J953" s="4" t="s">
        <v>38</v>
      </c>
      <c r="K953" s="5">
        <v>2</v>
      </c>
      <c r="L953" s="4" t="s">
        <v>982</v>
      </c>
      <c r="M953" s="4" t="s">
        <v>546</v>
      </c>
      <c r="N953" s="4" t="s">
        <v>90</v>
      </c>
      <c r="O953" s="6">
        <v>45067</v>
      </c>
      <c r="P953" s="4" t="s">
        <v>523</v>
      </c>
      <c r="Q953" s="4" t="s">
        <v>500</v>
      </c>
      <c r="R953" s="4" t="s">
        <v>36</v>
      </c>
      <c r="S953" s="4" t="s">
        <v>59</v>
      </c>
      <c r="T953" s="5">
        <v>2</v>
      </c>
      <c r="U953" s="6">
        <v>45069</v>
      </c>
      <c r="V953" s="4" t="s">
        <v>1624</v>
      </c>
      <c r="W953" s="4" t="s">
        <v>918</v>
      </c>
      <c r="X953" s="4"/>
      <c r="Y953" s="4"/>
      <c r="Z953" s="4"/>
      <c r="AA953" s="4"/>
      <c r="AB953" s="4"/>
      <c r="AC953" s="4"/>
      <c r="AD953" s="4">
        <f t="shared" si="14"/>
        <v>21</v>
      </c>
    </row>
    <row r="954" spans="1:30" ht="27" thickBot="1" x14ac:dyDescent="0.3">
      <c r="A954" s="3">
        <v>45068.458877314813</v>
      </c>
      <c r="B954" s="4" t="s">
        <v>53</v>
      </c>
      <c r="C954" s="4" t="s">
        <v>53</v>
      </c>
      <c r="D954" s="31" t="s">
        <v>42</v>
      </c>
      <c r="E954" s="4" t="s">
        <v>1736</v>
      </c>
      <c r="F954" s="5">
        <v>622390014</v>
      </c>
      <c r="G954" s="4"/>
      <c r="H954" s="4" t="s">
        <v>62</v>
      </c>
      <c r="I954" s="5">
        <v>3</v>
      </c>
      <c r="J954" s="4" t="s">
        <v>38</v>
      </c>
      <c r="K954" s="5">
        <v>1</v>
      </c>
      <c r="L954" s="4" t="s">
        <v>1737</v>
      </c>
      <c r="M954" s="4" t="s">
        <v>1737</v>
      </c>
      <c r="N954" s="4" t="s">
        <v>57</v>
      </c>
      <c r="O954" s="6">
        <v>45065</v>
      </c>
      <c r="P954" s="4"/>
      <c r="Q954" s="4" t="s">
        <v>58</v>
      </c>
      <c r="R954" s="4" t="s">
        <v>36</v>
      </c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>
        <f t="shared" si="14"/>
        <v>21</v>
      </c>
    </row>
    <row r="955" spans="1:30" ht="27" thickBot="1" x14ac:dyDescent="0.3">
      <c r="A955" s="3">
        <v>45068.489953703705</v>
      </c>
      <c r="B955" s="4" t="s">
        <v>234</v>
      </c>
      <c r="C955" s="4" t="s">
        <v>234</v>
      </c>
      <c r="D955" s="31" t="s">
        <v>42</v>
      </c>
      <c r="E955" s="4" t="s">
        <v>1651</v>
      </c>
      <c r="F955" s="5">
        <v>622310074</v>
      </c>
      <c r="G955" s="4"/>
      <c r="H955" s="4" t="s">
        <v>451</v>
      </c>
      <c r="I955" s="5">
        <v>75</v>
      </c>
      <c r="J955" s="4" t="s">
        <v>38</v>
      </c>
      <c r="K955" s="5">
        <v>8</v>
      </c>
      <c r="L955" s="4" t="s">
        <v>1652</v>
      </c>
      <c r="M955" s="4" t="s">
        <v>1652</v>
      </c>
      <c r="N955" s="4" t="s">
        <v>47</v>
      </c>
      <c r="O955" s="6">
        <v>45067</v>
      </c>
      <c r="P955" s="4"/>
      <c r="Q955" s="4" t="s">
        <v>240</v>
      </c>
      <c r="R955" s="4" t="s">
        <v>36</v>
      </c>
      <c r="S955" s="4" t="s">
        <v>59</v>
      </c>
      <c r="T955" s="5">
        <v>8</v>
      </c>
      <c r="U955" s="6">
        <v>45068</v>
      </c>
      <c r="V955" s="4" t="s">
        <v>1624</v>
      </c>
      <c r="W955" s="4" t="s">
        <v>1161</v>
      </c>
      <c r="X955" s="4"/>
      <c r="Y955" s="4"/>
      <c r="Z955" s="4"/>
      <c r="AA955" s="4"/>
      <c r="AB955" s="4"/>
      <c r="AC955" s="4"/>
      <c r="AD955" s="4">
        <f t="shared" si="14"/>
        <v>21</v>
      </c>
    </row>
    <row r="956" spans="1:30" ht="27" thickBot="1" x14ac:dyDescent="0.3">
      <c r="A956" s="3">
        <v>45068.494050925925</v>
      </c>
      <c r="B956" s="4" t="s">
        <v>234</v>
      </c>
      <c r="C956" s="4" t="s">
        <v>234</v>
      </c>
      <c r="D956" s="31" t="s">
        <v>42</v>
      </c>
      <c r="E956" s="4" t="s">
        <v>1653</v>
      </c>
      <c r="F956" s="5">
        <v>621421610</v>
      </c>
      <c r="G956" s="4"/>
      <c r="H956" s="4" t="s">
        <v>237</v>
      </c>
      <c r="I956" s="5">
        <v>67</v>
      </c>
      <c r="J956" s="4" t="s">
        <v>38</v>
      </c>
      <c r="K956" s="5">
        <v>11</v>
      </c>
      <c r="L956" s="4" t="s">
        <v>767</v>
      </c>
      <c r="M956" s="4" t="s">
        <v>767</v>
      </c>
      <c r="N956" s="4" t="s">
        <v>47</v>
      </c>
      <c r="O956" s="6">
        <v>45068</v>
      </c>
      <c r="P956" s="4"/>
      <c r="Q956" s="4" t="s">
        <v>240</v>
      </c>
      <c r="R956" s="4" t="s">
        <v>36</v>
      </c>
      <c r="S956" s="4" t="s">
        <v>59</v>
      </c>
      <c r="T956" s="5">
        <v>11</v>
      </c>
      <c r="U956" s="6">
        <v>45068</v>
      </c>
      <c r="V956" s="4" t="s">
        <v>1624</v>
      </c>
      <c r="W956" s="4" t="s">
        <v>694</v>
      </c>
      <c r="X956" s="4"/>
      <c r="Y956" s="4"/>
      <c r="Z956" s="4"/>
      <c r="AA956" s="4"/>
      <c r="AB956" s="4"/>
      <c r="AC956" s="4"/>
      <c r="AD956" s="4">
        <f t="shared" si="14"/>
        <v>21</v>
      </c>
    </row>
    <row r="957" spans="1:30" ht="27" thickBot="1" x14ac:dyDescent="0.3">
      <c r="A957" s="3">
        <v>45068.495347222219</v>
      </c>
      <c r="B957" s="4" t="s">
        <v>1004</v>
      </c>
      <c r="C957" s="4" t="s">
        <v>1005</v>
      </c>
      <c r="D957" s="31" t="s">
        <v>42</v>
      </c>
      <c r="E957" s="4" t="s">
        <v>1738</v>
      </c>
      <c r="F957" s="5">
        <v>628075754</v>
      </c>
      <c r="G957" s="4"/>
      <c r="H957" s="4" t="s">
        <v>1026</v>
      </c>
      <c r="I957" s="4">
        <v>5</v>
      </c>
      <c r="J957" s="4" t="s">
        <v>38</v>
      </c>
      <c r="K957" s="4">
        <v>3</v>
      </c>
      <c r="L957" s="4" t="s">
        <v>1007</v>
      </c>
      <c r="M957" s="4" t="s">
        <v>1007</v>
      </c>
      <c r="N957" s="4" t="s">
        <v>47</v>
      </c>
      <c r="O957" s="6">
        <v>45068</v>
      </c>
      <c r="P957" s="4"/>
      <c r="Q957" s="4" t="s">
        <v>1009</v>
      </c>
      <c r="R957" s="4" t="s">
        <v>36</v>
      </c>
      <c r="S957" s="4"/>
      <c r="T957" s="4"/>
      <c r="U957" s="4"/>
      <c r="V957" s="4" t="s">
        <v>1372</v>
      </c>
      <c r="W957" s="4"/>
      <c r="X957" s="4"/>
      <c r="Y957" s="4"/>
      <c r="Z957" s="4"/>
      <c r="AA957" s="4"/>
      <c r="AB957" s="4"/>
      <c r="AC957" s="4"/>
      <c r="AD957" s="4">
        <f t="shared" si="14"/>
        <v>21</v>
      </c>
    </row>
    <row r="958" spans="1:30" ht="27" thickBot="1" x14ac:dyDescent="0.3">
      <c r="A958" s="3">
        <v>45068.497766203705</v>
      </c>
      <c r="B958" s="4" t="s">
        <v>1086</v>
      </c>
      <c r="C958" s="4" t="s">
        <v>1606</v>
      </c>
      <c r="D958" s="31" t="s">
        <v>42</v>
      </c>
      <c r="E958" s="4" t="s">
        <v>1654</v>
      </c>
      <c r="F958" s="5">
        <v>628003222</v>
      </c>
      <c r="G958" s="4"/>
      <c r="H958" s="4" t="s">
        <v>1281</v>
      </c>
      <c r="I958" s="5">
        <v>18</v>
      </c>
      <c r="J958" s="4" t="s">
        <v>38</v>
      </c>
      <c r="K958" s="5">
        <v>6</v>
      </c>
      <c r="L958" s="4" t="s">
        <v>1655</v>
      </c>
      <c r="M958" s="4" t="s">
        <v>1656</v>
      </c>
      <c r="N958" s="4" t="s">
        <v>33</v>
      </c>
      <c r="O958" s="6">
        <v>45070</v>
      </c>
      <c r="P958" s="4"/>
      <c r="Q958" s="4" t="s">
        <v>1090</v>
      </c>
      <c r="R958" s="4" t="s">
        <v>36</v>
      </c>
      <c r="S958" s="4" t="s">
        <v>59</v>
      </c>
      <c r="T958" s="5">
        <v>6</v>
      </c>
      <c r="U958" s="6">
        <v>45069</v>
      </c>
      <c r="V958" s="4" t="s">
        <v>1624</v>
      </c>
      <c r="W958" s="4" t="s">
        <v>1623</v>
      </c>
      <c r="X958" s="4"/>
      <c r="Y958" s="4"/>
      <c r="Z958" s="4"/>
      <c r="AA958" s="4"/>
      <c r="AB958" s="4"/>
      <c r="AC958" s="4"/>
      <c r="AD958" s="4">
        <f t="shared" si="14"/>
        <v>21</v>
      </c>
    </row>
    <row r="959" spans="1:30" ht="27" thickBot="1" x14ac:dyDescent="0.3">
      <c r="A959" s="3">
        <v>45068.498842592591</v>
      </c>
      <c r="B959" s="4" t="s">
        <v>1004</v>
      </c>
      <c r="C959" s="4" t="s">
        <v>1005</v>
      </c>
      <c r="D959" s="31" t="s">
        <v>42</v>
      </c>
      <c r="E959" s="4" t="s">
        <v>1739</v>
      </c>
      <c r="F959" s="5">
        <v>620091714</v>
      </c>
      <c r="G959" s="4"/>
      <c r="H959" s="4" t="s">
        <v>1026</v>
      </c>
      <c r="I959" s="4">
        <v>8</v>
      </c>
      <c r="J959" s="4" t="s">
        <v>38</v>
      </c>
      <c r="K959" s="4">
        <v>3</v>
      </c>
      <c r="L959" s="4" t="s">
        <v>1007</v>
      </c>
      <c r="M959" s="4" t="s">
        <v>1007</v>
      </c>
      <c r="N959" s="4" t="s">
        <v>47</v>
      </c>
      <c r="O959" s="6">
        <v>45071</v>
      </c>
      <c r="P959" s="4"/>
      <c r="Q959" s="4" t="s">
        <v>1009</v>
      </c>
      <c r="R959" s="4" t="s">
        <v>36</v>
      </c>
      <c r="S959" s="4"/>
      <c r="T959" s="4"/>
      <c r="U959" s="4"/>
      <c r="V959" s="4" t="s">
        <v>1372</v>
      </c>
      <c r="W959" s="4"/>
      <c r="X959" s="4"/>
      <c r="Y959" s="4"/>
      <c r="Z959" s="4"/>
      <c r="AA959" s="4"/>
      <c r="AB959" s="4"/>
      <c r="AC959" s="4"/>
      <c r="AD959" s="4">
        <f t="shared" si="14"/>
        <v>21</v>
      </c>
    </row>
    <row r="960" spans="1:30" ht="39.75" thickBot="1" x14ac:dyDescent="0.3">
      <c r="A960" s="3">
        <v>45068.510358796295</v>
      </c>
      <c r="B960" s="4" t="s">
        <v>241</v>
      </c>
      <c r="C960" s="4" t="s">
        <v>1657</v>
      </c>
      <c r="D960" s="31" t="s">
        <v>27</v>
      </c>
      <c r="E960" s="4" t="s">
        <v>1658</v>
      </c>
      <c r="F960" s="5">
        <v>622239722</v>
      </c>
      <c r="G960" s="4"/>
      <c r="H960" s="4" t="s">
        <v>825</v>
      </c>
      <c r="I960" s="5">
        <v>79</v>
      </c>
      <c r="J960" s="4" t="s">
        <v>101</v>
      </c>
      <c r="K960" s="5">
        <v>30</v>
      </c>
      <c r="L960" s="4" t="s">
        <v>1659</v>
      </c>
      <c r="M960" s="4" t="s">
        <v>1659</v>
      </c>
      <c r="N960" s="4" t="s">
        <v>33</v>
      </c>
      <c r="O960" s="6">
        <v>45067</v>
      </c>
      <c r="P960" s="4"/>
      <c r="Q960" s="4" t="s">
        <v>247</v>
      </c>
      <c r="R960" s="4" t="s">
        <v>36</v>
      </c>
      <c r="S960" s="4" t="s">
        <v>59</v>
      </c>
      <c r="T960" s="5">
        <v>30</v>
      </c>
      <c r="U960" s="6">
        <v>45068</v>
      </c>
      <c r="V960" s="4" t="s">
        <v>1624</v>
      </c>
      <c r="W960" s="4" t="s">
        <v>613</v>
      </c>
      <c r="X960" s="4"/>
      <c r="Y960" s="4"/>
      <c r="Z960" s="4"/>
      <c r="AA960" s="4"/>
      <c r="AB960" s="4"/>
      <c r="AC960" s="4"/>
      <c r="AD960" s="4">
        <f t="shared" si="14"/>
        <v>21</v>
      </c>
    </row>
    <row r="961" spans="1:30" ht="27" thickBot="1" x14ac:dyDescent="0.3">
      <c r="A961" s="3">
        <v>45068.512627314813</v>
      </c>
      <c r="B961" s="4" t="s">
        <v>241</v>
      </c>
      <c r="C961" s="4" t="s">
        <v>1660</v>
      </c>
      <c r="D961" s="31" t="s">
        <v>42</v>
      </c>
      <c r="E961" s="4" t="s">
        <v>1661</v>
      </c>
      <c r="F961" s="5">
        <v>622005537</v>
      </c>
      <c r="G961" s="4"/>
      <c r="H961" s="4" t="s">
        <v>610</v>
      </c>
      <c r="I961" s="5">
        <v>11</v>
      </c>
      <c r="J961" s="4" t="s">
        <v>38</v>
      </c>
      <c r="K961" s="5">
        <v>7</v>
      </c>
      <c r="L961" s="4" t="s">
        <v>73</v>
      </c>
      <c r="M961" s="4" t="s">
        <v>73</v>
      </c>
      <c r="N961" s="4" t="s">
        <v>90</v>
      </c>
      <c r="O961" s="6">
        <v>45066</v>
      </c>
      <c r="P961" s="4"/>
      <c r="Q961" s="4" t="s">
        <v>247</v>
      </c>
      <c r="R961" s="4" t="s">
        <v>36</v>
      </c>
      <c r="S961" s="4" t="s">
        <v>59</v>
      </c>
      <c r="T961" s="5">
        <v>7</v>
      </c>
      <c r="U961" s="6">
        <v>45068</v>
      </c>
      <c r="V961" s="4" t="s">
        <v>1624</v>
      </c>
      <c r="W961" s="4" t="s">
        <v>613</v>
      </c>
      <c r="X961" s="4"/>
      <c r="Y961" s="4"/>
      <c r="Z961" s="4"/>
      <c r="AA961" s="4"/>
      <c r="AB961" s="4"/>
      <c r="AC961" s="4"/>
      <c r="AD961" s="4">
        <f t="shared" si="14"/>
        <v>21</v>
      </c>
    </row>
    <row r="962" spans="1:30" ht="27" thickBot="1" x14ac:dyDescent="0.3">
      <c r="A962" s="3">
        <v>45068.517534722225</v>
      </c>
      <c r="B962" s="4" t="s">
        <v>241</v>
      </c>
      <c r="C962" s="4" t="s">
        <v>1660</v>
      </c>
      <c r="D962" s="31" t="s">
        <v>42</v>
      </c>
      <c r="E962" s="4" t="s">
        <v>1662</v>
      </c>
      <c r="F962" s="5">
        <v>622110835</v>
      </c>
      <c r="G962" s="4"/>
      <c r="H962" s="4" t="s">
        <v>610</v>
      </c>
      <c r="I962" s="5">
        <v>11</v>
      </c>
      <c r="J962" s="4" t="s">
        <v>38</v>
      </c>
      <c r="K962" s="5">
        <v>2</v>
      </c>
      <c r="L962" s="4" t="s">
        <v>1663</v>
      </c>
      <c r="M962" s="4" t="s">
        <v>1663</v>
      </c>
      <c r="N962" s="4" t="s">
        <v>47</v>
      </c>
      <c r="O962" s="6">
        <v>45068</v>
      </c>
      <c r="P962" s="4"/>
      <c r="Q962" s="4" t="s">
        <v>247</v>
      </c>
      <c r="R962" s="4" t="s">
        <v>36</v>
      </c>
      <c r="S962" s="4" t="s">
        <v>59</v>
      </c>
      <c r="T962" s="5">
        <v>2</v>
      </c>
      <c r="U962" s="6">
        <v>45068</v>
      </c>
      <c r="V962" s="4" t="s">
        <v>1624</v>
      </c>
      <c r="W962" s="4" t="s">
        <v>1626</v>
      </c>
      <c r="X962" s="4"/>
      <c r="Y962" s="4"/>
      <c r="Z962" s="4"/>
      <c r="AA962" s="4"/>
      <c r="AB962" s="4"/>
      <c r="AC962" s="4"/>
      <c r="AD962" s="4">
        <f t="shared" si="14"/>
        <v>21</v>
      </c>
    </row>
    <row r="963" spans="1:30" ht="39.75" thickBot="1" x14ac:dyDescent="0.3">
      <c r="A963" s="3">
        <v>45068.520173611112</v>
      </c>
      <c r="B963" s="4" t="s">
        <v>241</v>
      </c>
      <c r="C963" s="4" t="s">
        <v>1660</v>
      </c>
      <c r="D963" s="31" t="s">
        <v>42</v>
      </c>
      <c r="E963" s="4" t="s">
        <v>1664</v>
      </c>
      <c r="F963" s="5">
        <v>624838473</v>
      </c>
      <c r="G963" s="4"/>
      <c r="H963" s="4" t="s">
        <v>1173</v>
      </c>
      <c r="I963" s="5">
        <v>92</v>
      </c>
      <c r="J963" s="4" t="s">
        <v>132</v>
      </c>
      <c r="K963" s="5">
        <v>35</v>
      </c>
      <c r="L963" s="4" t="s">
        <v>93</v>
      </c>
      <c r="M963" s="4" t="s">
        <v>93</v>
      </c>
      <c r="N963" s="4" t="s">
        <v>33</v>
      </c>
      <c r="O963" s="6">
        <v>45069</v>
      </c>
      <c r="P963" s="4"/>
      <c r="Q963" s="4" t="s">
        <v>247</v>
      </c>
      <c r="R963" s="4" t="s">
        <v>36</v>
      </c>
      <c r="S963" s="4" t="s">
        <v>59</v>
      </c>
      <c r="T963" s="5">
        <v>35</v>
      </c>
      <c r="U963" s="6">
        <v>45068</v>
      </c>
      <c r="V963" s="4" t="s">
        <v>1624</v>
      </c>
      <c r="W963" s="4" t="s">
        <v>1379</v>
      </c>
      <c r="X963" s="4"/>
      <c r="Y963" s="4"/>
      <c r="Z963" s="4"/>
      <c r="AA963" s="4"/>
      <c r="AB963" s="4"/>
      <c r="AC963" s="4"/>
      <c r="AD963" s="4">
        <f t="shared" ref="AD963:AD1000" si="15">WEEKNUM(LEFT(A963,10))</f>
        <v>21</v>
      </c>
    </row>
    <row r="964" spans="1:30" ht="27" thickBot="1" x14ac:dyDescent="0.3">
      <c r="A964" s="3">
        <v>45068.523229166669</v>
      </c>
      <c r="B964" s="4" t="s">
        <v>241</v>
      </c>
      <c r="C964" s="4" t="s">
        <v>1660</v>
      </c>
      <c r="D964" s="31" t="s">
        <v>27</v>
      </c>
      <c r="E964" s="4" t="s">
        <v>1665</v>
      </c>
      <c r="F964" s="5">
        <v>622722909</v>
      </c>
      <c r="G964" s="4"/>
      <c r="H964" s="4" t="s">
        <v>610</v>
      </c>
      <c r="I964" s="5">
        <v>28</v>
      </c>
      <c r="J964" s="4" t="s">
        <v>101</v>
      </c>
      <c r="K964" s="5">
        <v>30</v>
      </c>
      <c r="L964" s="4" t="s">
        <v>63</v>
      </c>
      <c r="M964" s="4" t="s">
        <v>63</v>
      </c>
      <c r="N964" s="4" t="s">
        <v>47</v>
      </c>
      <c r="O964" s="6">
        <v>45069</v>
      </c>
      <c r="P964" s="4"/>
      <c r="Q964" s="4" t="s">
        <v>247</v>
      </c>
      <c r="R964" s="4" t="s">
        <v>36</v>
      </c>
      <c r="S964" s="4" t="s">
        <v>59</v>
      </c>
      <c r="T964" s="5">
        <v>30</v>
      </c>
      <c r="U964" s="6">
        <v>45068</v>
      </c>
      <c r="V964" s="4" t="s">
        <v>1624</v>
      </c>
      <c r="W964" s="4" t="s">
        <v>1666</v>
      </c>
      <c r="X964" s="4"/>
      <c r="Y964" s="4"/>
      <c r="Z964" s="4"/>
      <c r="AA964" s="4"/>
      <c r="AB964" s="4"/>
      <c r="AC964" s="4"/>
      <c r="AD964" s="4">
        <f t="shared" si="15"/>
        <v>21</v>
      </c>
    </row>
    <row r="965" spans="1:30" ht="39.75" thickBot="1" x14ac:dyDescent="0.3">
      <c r="A965" s="3">
        <v>45068.568796296298</v>
      </c>
      <c r="B965" s="4" t="s">
        <v>79</v>
      </c>
      <c r="C965" s="4" t="s">
        <v>80</v>
      </c>
      <c r="D965" s="31" t="s">
        <v>42</v>
      </c>
      <c r="E965" s="4" t="s">
        <v>1667</v>
      </c>
      <c r="F965" s="5">
        <v>622949344</v>
      </c>
      <c r="G965" s="4"/>
      <c r="H965" s="4" t="s">
        <v>436</v>
      </c>
      <c r="I965" s="5">
        <v>25</v>
      </c>
      <c r="J965" s="4" t="s">
        <v>38</v>
      </c>
      <c r="K965" s="5">
        <v>20</v>
      </c>
      <c r="L965" s="4" t="s">
        <v>93</v>
      </c>
      <c r="M965" s="4" t="s">
        <v>93</v>
      </c>
      <c r="N965" s="4" t="s">
        <v>47</v>
      </c>
      <c r="O965" s="6">
        <v>45066</v>
      </c>
      <c r="P965" s="4"/>
      <c r="Q965" s="4" t="s">
        <v>86</v>
      </c>
      <c r="R965" s="4" t="s">
        <v>36</v>
      </c>
      <c r="S965" s="4" t="s">
        <v>59</v>
      </c>
      <c r="T965" s="5">
        <v>20</v>
      </c>
      <c r="U965" s="6">
        <v>45068</v>
      </c>
      <c r="V965" s="4" t="s">
        <v>1624</v>
      </c>
      <c r="W965" s="4" t="s">
        <v>743</v>
      </c>
      <c r="X965" s="4"/>
      <c r="Y965" s="4"/>
      <c r="Z965" s="4"/>
      <c r="AA965" s="4"/>
      <c r="AB965" s="4"/>
      <c r="AC965" s="4"/>
      <c r="AD965" s="4">
        <f t="shared" si="15"/>
        <v>21</v>
      </c>
    </row>
    <row r="966" spans="1:30" ht="39.75" thickBot="1" x14ac:dyDescent="0.3">
      <c r="A966" s="3">
        <v>45068.571145833332</v>
      </c>
      <c r="B966" s="4" t="s">
        <v>79</v>
      </c>
      <c r="C966" s="4" t="s">
        <v>80</v>
      </c>
      <c r="D966" s="31" t="s">
        <v>42</v>
      </c>
      <c r="E966" s="4" t="s">
        <v>1668</v>
      </c>
      <c r="F966" s="5">
        <v>620227830</v>
      </c>
      <c r="G966" s="4"/>
      <c r="H966" s="4" t="s">
        <v>365</v>
      </c>
      <c r="I966" s="5">
        <v>85</v>
      </c>
      <c r="J966" s="4" t="s">
        <v>38</v>
      </c>
      <c r="K966" s="5">
        <v>5</v>
      </c>
      <c r="L966" s="4" t="s">
        <v>1669</v>
      </c>
      <c r="M966" s="4" t="s">
        <v>89</v>
      </c>
      <c r="N966" s="4" t="s">
        <v>90</v>
      </c>
      <c r="O966" s="6">
        <v>45067</v>
      </c>
      <c r="P966" s="4"/>
      <c r="Q966" s="4" t="s">
        <v>86</v>
      </c>
      <c r="R966" s="4" t="s">
        <v>36</v>
      </c>
      <c r="S966" s="4" t="s">
        <v>59</v>
      </c>
      <c r="T966" s="5">
        <v>5</v>
      </c>
      <c r="U966" s="6">
        <v>45068</v>
      </c>
      <c r="V966" s="4" t="s">
        <v>1624</v>
      </c>
      <c r="W966" s="4" t="s">
        <v>897</v>
      </c>
      <c r="X966" s="4"/>
      <c r="Y966" s="4"/>
      <c r="Z966" s="4"/>
      <c r="AA966" s="4"/>
      <c r="AB966" s="4"/>
      <c r="AC966" s="4"/>
      <c r="AD966" s="4">
        <f t="shared" si="15"/>
        <v>21</v>
      </c>
    </row>
    <row r="967" spans="1:30" ht="39.75" thickBot="1" x14ac:dyDescent="0.3">
      <c r="A967" s="3">
        <v>45068.573344907411</v>
      </c>
      <c r="B967" s="4" t="s">
        <v>79</v>
      </c>
      <c r="C967" s="4" t="s">
        <v>80</v>
      </c>
      <c r="D967" s="31" t="s">
        <v>27</v>
      </c>
      <c r="E967" s="4" t="s">
        <v>1670</v>
      </c>
      <c r="F967" s="5">
        <v>622041972</v>
      </c>
      <c r="G967" s="4"/>
      <c r="H967" s="4" t="s">
        <v>329</v>
      </c>
      <c r="I967" s="5">
        <v>50</v>
      </c>
      <c r="J967" s="4" t="s">
        <v>38</v>
      </c>
      <c r="K967" s="5">
        <v>20</v>
      </c>
      <c r="L967" s="4" t="s">
        <v>1238</v>
      </c>
      <c r="M967" s="4" t="s">
        <v>89</v>
      </c>
      <c r="N967" s="4" t="s">
        <v>90</v>
      </c>
      <c r="O967" s="6">
        <v>45068</v>
      </c>
      <c r="P967" s="4"/>
      <c r="Q967" s="4" t="s">
        <v>86</v>
      </c>
      <c r="R967" s="4" t="s">
        <v>36</v>
      </c>
      <c r="S967" s="4" t="s">
        <v>59</v>
      </c>
      <c r="T967" s="5">
        <v>7</v>
      </c>
      <c r="U967" s="6">
        <v>45068</v>
      </c>
      <c r="V967" s="4" t="s">
        <v>1624</v>
      </c>
      <c r="W967" s="4" t="s">
        <v>743</v>
      </c>
      <c r="X967" s="4"/>
      <c r="Y967" s="4"/>
      <c r="Z967" s="4"/>
      <c r="AA967" s="4"/>
      <c r="AB967" s="4"/>
      <c r="AC967" s="4"/>
      <c r="AD967" s="4">
        <f t="shared" si="15"/>
        <v>21</v>
      </c>
    </row>
    <row r="968" spans="1:30" ht="27" thickBot="1" x14ac:dyDescent="0.3">
      <c r="A968" s="3">
        <v>45068.605428240742</v>
      </c>
      <c r="B968" s="4" t="s">
        <v>1769</v>
      </c>
      <c r="C968" s="4" t="s">
        <v>1671</v>
      </c>
      <c r="D968" s="31" t="s">
        <v>42</v>
      </c>
      <c r="E968" s="4" t="s">
        <v>1567</v>
      </c>
      <c r="F968" s="5">
        <v>623652019</v>
      </c>
      <c r="G968" s="4"/>
      <c r="H968" s="4" t="s">
        <v>445</v>
      </c>
      <c r="I968" s="5">
        <v>33</v>
      </c>
      <c r="J968" s="4" t="s">
        <v>38</v>
      </c>
      <c r="K968" s="5">
        <v>10</v>
      </c>
      <c r="L968" s="4" t="s">
        <v>93</v>
      </c>
      <c r="M968" s="4" t="s">
        <v>93</v>
      </c>
      <c r="N968" s="4" t="s">
        <v>47</v>
      </c>
      <c r="O968" s="6">
        <v>45068</v>
      </c>
      <c r="P968" s="4"/>
      <c r="Q968" s="4" t="s">
        <v>1610</v>
      </c>
      <c r="R968" s="4" t="s">
        <v>36</v>
      </c>
      <c r="S968" s="4" t="s">
        <v>59</v>
      </c>
      <c r="T968" s="5">
        <v>10</v>
      </c>
      <c r="U968" s="6">
        <v>45068</v>
      </c>
      <c r="V968" s="4" t="s">
        <v>1624</v>
      </c>
      <c r="W968" s="4" t="s">
        <v>1119</v>
      </c>
      <c r="X968" s="4"/>
      <c r="Y968" s="4"/>
      <c r="Z968" s="4"/>
      <c r="AA968" s="4"/>
      <c r="AB968" s="4"/>
      <c r="AC968" s="4"/>
      <c r="AD968" s="4">
        <f t="shared" si="15"/>
        <v>21</v>
      </c>
    </row>
    <row r="969" spans="1:30" ht="39.75" thickBot="1" x14ac:dyDescent="0.3">
      <c r="A969" s="3">
        <v>45068.608425925922</v>
      </c>
      <c r="B969" s="4" t="s">
        <v>1769</v>
      </c>
      <c r="C969" s="4" t="s">
        <v>1671</v>
      </c>
      <c r="D969" s="31" t="s">
        <v>42</v>
      </c>
      <c r="E969" s="4" t="s">
        <v>1672</v>
      </c>
      <c r="F969" s="5">
        <v>622039475</v>
      </c>
      <c r="G969" s="4"/>
      <c r="H969" s="4" t="s">
        <v>277</v>
      </c>
      <c r="I969" s="5">
        <v>3</v>
      </c>
      <c r="J969" s="4" t="s">
        <v>38</v>
      </c>
      <c r="K969" s="5">
        <v>1</v>
      </c>
      <c r="L969" s="4" t="s">
        <v>93</v>
      </c>
      <c r="M969" s="4" t="s">
        <v>93</v>
      </c>
      <c r="N969" s="4" t="s">
        <v>47</v>
      </c>
      <c r="O969" s="6">
        <v>45063</v>
      </c>
      <c r="P969" s="4"/>
      <c r="Q969" s="4" t="s">
        <v>1610</v>
      </c>
      <c r="R969" s="4" t="s">
        <v>36</v>
      </c>
      <c r="S969" s="4" t="s">
        <v>59</v>
      </c>
      <c r="T969" s="5">
        <v>1</v>
      </c>
      <c r="U969" s="6">
        <v>45068</v>
      </c>
      <c r="V969" s="4" t="s">
        <v>1624</v>
      </c>
      <c r="W969" s="4" t="s">
        <v>1109</v>
      </c>
      <c r="X969" s="4"/>
      <c r="Y969" s="4"/>
      <c r="Z969" s="4"/>
      <c r="AA969" s="4"/>
      <c r="AB969" s="4"/>
      <c r="AC969" s="4"/>
      <c r="AD969" s="4">
        <f t="shared" si="15"/>
        <v>21</v>
      </c>
    </row>
    <row r="970" spans="1:30" ht="27" thickBot="1" x14ac:dyDescent="0.3">
      <c r="A970" s="3">
        <v>45068.635312500002</v>
      </c>
      <c r="B970" s="4" t="s">
        <v>614</v>
      </c>
      <c r="C970" s="4" t="s">
        <v>614</v>
      </c>
      <c r="D970" s="31" t="s">
        <v>42</v>
      </c>
      <c r="E970" s="4" t="s">
        <v>1673</v>
      </c>
      <c r="F970" s="5">
        <v>623222900</v>
      </c>
      <c r="G970" s="4"/>
      <c r="H970" s="4" t="s">
        <v>352</v>
      </c>
      <c r="I970" s="5">
        <v>7</v>
      </c>
      <c r="J970" s="4" t="s">
        <v>132</v>
      </c>
      <c r="K970" s="5">
        <v>3</v>
      </c>
      <c r="L970" s="4" t="s">
        <v>93</v>
      </c>
      <c r="M970" s="4" t="s">
        <v>93</v>
      </c>
      <c r="N970" s="4" t="s">
        <v>47</v>
      </c>
      <c r="O970" s="6">
        <v>45068</v>
      </c>
      <c r="P970" s="4"/>
      <c r="Q970" s="4" t="s">
        <v>616</v>
      </c>
      <c r="R970" s="4" t="s">
        <v>36</v>
      </c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>
        <f t="shared" si="15"/>
        <v>21</v>
      </c>
    </row>
    <row r="971" spans="1:30" ht="27" thickBot="1" x14ac:dyDescent="0.3">
      <c r="A971" s="3">
        <v>45068.639421296299</v>
      </c>
      <c r="B971" s="4" t="s">
        <v>614</v>
      </c>
      <c r="C971" s="4" t="s">
        <v>343</v>
      </c>
      <c r="D971" s="31" t="s">
        <v>42</v>
      </c>
      <c r="E971" s="4" t="s">
        <v>1675</v>
      </c>
      <c r="F971" s="5">
        <v>628142078</v>
      </c>
      <c r="G971" s="4"/>
      <c r="H971" s="4" t="s">
        <v>936</v>
      </c>
      <c r="I971" s="5">
        <v>57</v>
      </c>
      <c r="J971" s="4" t="s">
        <v>38</v>
      </c>
      <c r="K971" s="5">
        <v>2</v>
      </c>
      <c r="L971" s="4" t="s">
        <v>93</v>
      </c>
      <c r="M971" s="4" t="s">
        <v>93</v>
      </c>
      <c r="N971" s="4" t="s">
        <v>47</v>
      </c>
      <c r="O971" s="6">
        <v>44703</v>
      </c>
      <c r="P971" s="4"/>
      <c r="Q971" s="4" t="s">
        <v>616</v>
      </c>
      <c r="R971" s="4" t="s">
        <v>36</v>
      </c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>
        <f t="shared" si="15"/>
        <v>21</v>
      </c>
    </row>
    <row r="972" spans="1:30" ht="27" thickBot="1" x14ac:dyDescent="0.3">
      <c r="A972" s="3">
        <v>45068.645127314812</v>
      </c>
      <c r="B972" s="4" t="s">
        <v>614</v>
      </c>
      <c r="C972" s="4" t="s">
        <v>614</v>
      </c>
      <c r="D972" s="31" t="s">
        <v>42</v>
      </c>
      <c r="E972" s="4" t="s">
        <v>1673</v>
      </c>
      <c r="F972" s="5">
        <v>623222900</v>
      </c>
      <c r="G972" s="4"/>
      <c r="H972" s="4" t="s">
        <v>352</v>
      </c>
      <c r="I972" s="5">
        <v>7</v>
      </c>
      <c r="J972" s="4" t="s">
        <v>132</v>
      </c>
      <c r="K972" s="5">
        <v>3</v>
      </c>
      <c r="L972" s="4" t="s">
        <v>93</v>
      </c>
      <c r="M972" s="4" t="s">
        <v>93</v>
      </c>
      <c r="N972" s="4" t="s">
        <v>47</v>
      </c>
      <c r="O972" s="6">
        <v>45068</v>
      </c>
      <c r="P972" s="4"/>
      <c r="Q972" s="4" t="s">
        <v>616</v>
      </c>
      <c r="R972" s="4" t="s">
        <v>36</v>
      </c>
      <c r="S972" s="4" t="s">
        <v>59</v>
      </c>
      <c r="T972" s="5">
        <v>3</v>
      </c>
      <c r="U972" s="6">
        <v>45068</v>
      </c>
      <c r="V972" s="4" t="s">
        <v>1624</v>
      </c>
      <c r="W972" s="4" t="s">
        <v>1674</v>
      </c>
      <c r="X972" s="4"/>
      <c r="Y972" s="4"/>
      <c r="Z972" s="4"/>
      <c r="AA972" s="4"/>
      <c r="AB972" s="4"/>
      <c r="AC972" s="4"/>
      <c r="AD972" s="4">
        <f t="shared" si="15"/>
        <v>21</v>
      </c>
    </row>
    <row r="973" spans="1:30" ht="27" thickBot="1" x14ac:dyDescent="0.3">
      <c r="A973" s="3">
        <v>45068.649756944447</v>
      </c>
      <c r="B973" s="4" t="s">
        <v>614</v>
      </c>
      <c r="C973" s="4" t="s">
        <v>614</v>
      </c>
      <c r="D973" s="31" t="s">
        <v>42</v>
      </c>
      <c r="E973" s="4" t="s">
        <v>1675</v>
      </c>
      <c r="F973" s="5">
        <v>628142078</v>
      </c>
      <c r="G973" s="4"/>
      <c r="H973" s="4" t="s">
        <v>936</v>
      </c>
      <c r="I973" s="5">
        <v>57</v>
      </c>
      <c r="J973" s="4" t="s">
        <v>38</v>
      </c>
      <c r="K973" s="5">
        <v>2</v>
      </c>
      <c r="L973" s="4" t="s">
        <v>93</v>
      </c>
      <c r="M973" s="4" t="s">
        <v>93</v>
      </c>
      <c r="N973" s="4" t="s">
        <v>47</v>
      </c>
      <c r="O973" s="6">
        <v>45068</v>
      </c>
      <c r="P973" s="4"/>
      <c r="Q973" s="4" t="s">
        <v>616</v>
      </c>
      <c r="R973" s="4" t="s">
        <v>36</v>
      </c>
      <c r="S973" s="4" t="s">
        <v>59</v>
      </c>
      <c r="T973" s="5">
        <v>2</v>
      </c>
      <c r="U973" s="6">
        <v>45068</v>
      </c>
      <c r="V973" s="4" t="s">
        <v>1624</v>
      </c>
      <c r="W973" s="4" t="s">
        <v>1676</v>
      </c>
      <c r="X973" s="4"/>
      <c r="Y973" s="4"/>
      <c r="Z973" s="4"/>
      <c r="AA973" s="4"/>
      <c r="AB973" s="4"/>
      <c r="AC973" s="4"/>
      <c r="AD973" s="4">
        <f t="shared" si="15"/>
        <v>21</v>
      </c>
    </row>
    <row r="974" spans="1:30" ht="27" thickBot="1" x14ac:dyDescent="0.3">
      <c r="A974" s="3">
        <v>45069.343692129631</v>
      </c>
      <c r="B974" s="4" t="s">
        <v>253</v>
      </c>
      <c r="C974" s="4" t="s">
        <v>633</v>
      </c>
      <c r="D974" s="31" t="s">
        <v>42</v>
      </c>
      <c r="E974" s="4" t="s">
        <v>1740</v>
      </c>
      <c r="F974" s="5">
        <v>628458946</v>
      </c>
      <c r="G974" s="4"/>
      <c r="H974" s="4" t="s">
        <v>1130</v>
      </c>
      <c r="I974" s="5">
        <v>30</v>
      </c>
      <c r="J974" s="4" t="s">
        <v>38</v>
      </c>
      <c r="K974" s="5">
        <v>8</v>
      </c>
      <c r="L974" s="4" t="s">
        <v>1211</v>
      </c>
      <c r="M974" s="4" t="s">
        <v>36</v>
      </c>
      <c r="N974" s="4" t="s">
        <v>90</v>
      </c>
      <c r="O974" s="6">
        <v>45069</v>
      </c>
      <c r="P974" s="4"/>
      <c r="Q974" s="4" t="s">
        <v>636</v>
      </c>
      <c r="R974" s="4" t="s">
        <v>36</v>
      </c>
      <c r="S974" s="4"/>
      <c r="T974" s="4"/>
      <c r="U974" s="4"/>
      <c r="V974" s="4" t="s">
        <v>1372</v>
      </c>
      <c r="W974" s="4"/>
      <c r="X974" s="4"/>
      <c r="Y974" s="4"/>
      <c r="Z974" s="4"/>
      <c r="AA974" s="4"/>
      <c r="AB974" s="4"/>
      <c r="AC974" s="4"/>
      <c r="AD974" s="4">
        <f t="shared" si="15"/>
        <v>21</v>
      </c>
    </row>
    <row r="975" spans="1:30" ht="27" thickBot="1" x14ac:dyDescent="0.3">
      <c r="A975" s="3">
        <v>45069.356064814812</v>
      </c>
      <c r="B975" s="4" t="s">
        <v>253</v>
      </c>
      <c r="C975" s="4" t="s">
        <v>253</v>
      </c>
      <c r="D975" s="31" t="s">
        <v>42</v>
      </c>
      <c r="E975" s="4" t="s">
        <v>1741</v>
      </c>
      <c r="F975" s="5">
        <v>622852937</v>
      </c>
      <c r="G975" s="4"/>
      <c r="H975" s="4" t="s">
        <v>670</v>
      </c>
      <c r="I975" s="5">
        <v>50</v>
      </c>
      <c r="J975" s="4" t="s">
        <v>38</v>
      </c>
      <c r="K975" s="5">
        <v>20</v>
      </c>
      <c r="L975" s="4" t="s">
        <v>410</v>
      </c>
      <c r="M975" s="4" t="s">
        <v>36</v>
      </c>
      <c r="N975" s="4" t="s">
        <v>90</v>
      </c>
      <c r="O975" s="6">
        <v>45069</v>
      </c>
      <c r="P975" s="4"/>
      <c r="Q975" s="4" t="s">
        <v>636</v>
      </c>
      <c r="R975" s="4" t="s">
        <v>36</v>
      </c>
      <c r="S975" s="4" t="s">
        <v>59</v>
      </c>
      <c r="T975" s="5">
        <v>20</v>
      </c>
      <c r="U975" s="6">
        <v>45069</v>
      </c>
      <c r="V975" s="4" t="s">
        <v>1624</v>
      </c>
      <c r="W975" s="4" t="s">
        <v>898</v>
      </c>
      <c r="X975" s="4"/>
      <c r="Y975" s="4"/>
      <c r="Z975" s="4"/>
      <c r="AA975" s="4"/>
      <c r="AB975" s="4"/>
      <c r="AC975" s="4"/>
      <c r="AD975" s="4">
        <f t="shared" si="15"/>
        <v>21</v>
      </c>
    </row>
    <row r="976" spans="1:30" ht="27" thickBot="1" x14ac:dyDescent="0.3">
      <c r="A976" s="3">
        <v>45069.428668981483</v>
      </c>
      <c r="B976" s="4" t="s">
        <v>1004</v>
      </c>
      <c r="C976" s="4" t="s">
        <v>1005</v>
      </c>
      <c r="D976" s="31" t="s">
        <v>42</v>
      </c>
      <c r="E976" s="4" t="s">
        <v>1742</v>
      </c>
      <c r="F976" s="5">
        <v>628108397</v>
      </c>
      <c r="G976" s="4"/>
      <c r="H976" s="4" t="s">
        <v>1026</v>
      </c>
      <c r="I976" s="5">
        <v>2</v>
      </c>
      <c r="J976" s="4" t="s">
        <v>38</v>
      </c>
      <c r="K976" s="5">
        <v>1</v>
      </c>
      <c r="L976" s="4" t="s">
        <v>1743</v>
      </c>
      <c r="M976" s="4" t="s">
        <v>32</v>
      </c>
      <c r="N976" s="4" t="s">
        <v>47</v>
      </c>
      <c r="O976" s="6">
        <v>45069</v>
      </c>
      <c r="P976" s="4"/>
      <c r="Q976" s="4" t="s">
        <v>1009</v>
      </c>
      <c r="R976" s="4" t="s">
        <v>36</v>
      </c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>
        <f t="shared" si="15"/>
        <v>21</v>
      </c>
    </row>
    <row r="977" spans="1:30" ht="27" thickBot="1" x14ac:dyDescent="0.3">
      <c r="A977" s="3">
        <v>45069.43341435185</v>
      </c>
      <c r="B977" s="4" t="s">
        <v>1004</v>
      </c>
      <c r="C977" s="4" t="s">
        <v>1005</v>
      </c>
      <c r="D977" s="31" t="s">
        <v>42</v>
      </c>
      <c r="E977" s="4" t="s">
        <v>1739</v>
      </c>
      <c r="F977" s="5">
        <v>620091714</v>
      </c>
      <c r="G977" s="4"/>
      <c r="H977" s="4" t="s">
        <v>1026</v>
      </c>
      <c r="I977" s="5">
        <v>8</v>
      </c>
      <c r="J977" s="4" t="s">
        <v>38</v>
      </c>
      <c r="K977" s="5">
        <v>3</v>
      </c>
      <c r="L977" s="4" t="s">
        <v>1744</v>
      </c>
      <c r="M977" s="4" t="s">
        <v>1262</v>
      </c>
      <c r="N977" s="4" t="s">
        <v>47</v>
      </c>
      <c r="O977" s="6">
        <v>45071</v>
      </c>
      <c r="P977" s="4"/>
      <c r="Q977" s="4" t="s">
        <v>1009</v>
      </c>
      <c r="R977" s="4" t="s">
        <v>36</v>
      </c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>
        <f t="shared" si="15"/>
        <v>21</v>
      </c>
    </row>
    <row r="978" spans="1:30" ht="27" thickBot="1" x14ac:dyDescent="0.3">
      <c r="A978" s="3">
        <v>45069.436053240737</v>
      </c>
      <c r="B978" s="4" t="s">
        <v>1004</v>
      </c>
      <c r="C978" s="4" t="s">
        <v>1005</v>
      </c>
      <c r="D978" s="31" t="s">
        <v>42</v>
      </c>
      <c r="E978" s="4" t="s">
        <v>1738</v>
      </c>
      <c r="F978" s="5">
        <v>628075754</v>
      </c>
      <c r="G978" s="4"/>
      <c r="H978" s="4" t="s">
        <v>1026</v>
      </c>
      <c r="I978" s="5">
        <v>5</v>
      </c>
      <c r="J978" s="4" t="s">
        <v>38</v>
      </c>
      <c r="K978" s="5">
        <v>3</v>
      </c>
      <c r="L978" s="4" t="s">
        <v>1744</v>
      </c>
      <c r="M978" s="4" t="s">
        <v>1262</v>
      </c>
      <c r="N978" s="4" t="s">
        <v>47</v>
      </c>
      <c r="O978" s="6">
        <v>45068</v>
      </c>
      <c r="P978" s="4"/>
      <c r="Q978" s="4" t="s">
        <v>1009</v>
      </c>
      <c r="R978" s="4" t="s">
        <v>36</v>
      </c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>
        <f t="shared" si="15"/>
        <v>21</v>
      </c>
    </row>
    <row r="979" spans="1:30" ht="27" thickBot="1" x14ac:dyDescent="0.3">
      <c r="A979" s="3">
        <v>45069.484050925923</v>
      </c>
      <c r="B979" s="4" t="s">
        <v>1004</v>
      </c>
      <c r="C979" s="4" t="s">
        <v>1005</v>
      </c>
      <c r="D979" s="31" t="s">
        <v>42</v>
      </c>
      <c r="E979" s="4" t="s">
        <v>1724</v>
      </c>
      <c r="F979" s="5">
        <v>621219567</v>
      </c>
      <c r="G979" s="4"/>
      <c r="H979" s="4" t="s">
        <v>1026</v>
      </c>
      <c r="I979" s="4">
        <v>8</v>
      </c>
      <c r="J979" s="4" t="s">
        <v>38</v>
      </c>
      <c r="K979" s="5">
        <v>10</v>
      </c>
      <c r="L979" s="4" t="s">
        <v>1011</v>
      </c>
      <c r="M979" s="4" t="s">
        <v>333</v>
      </c>
      <c r="N979" s="4" t="s">
        <v>47</v>
      </c>
      <c r="O979" s="6">
        <v>45072</v>
      </c>
      <c r="P979" s="4"/>
      <c r="Q979" s="4" t="s">
        <v>1009</v>
      </c>
      <c r="R979" s="4" t="s">
        <v>36</v>
      </c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>
        <f t="shared" si="15"/>
        <v>21</v>
      </c>
    </row>
    <row r="980" spans="1:30" ht="27" thickBot="1" x14ac:dyDescent="0.3">
      <c r="A980" s="3">
        <v>45069.487337962964</v>
      </c>
      <c r="B980" s="4" t="s">
        <v>1004</v>
      </c>
      <c r="C980" s="4" t="s">
        <v>1005</v>
      </c>
      <c r="D980" s="31" t="s">
        <v>42</v>
      </c>
      <c r="E980" s="4" t="s">
        <v>1745</v>
      </c>
      <c r="F980" s="5">
        <v>628839757</v>
      </c>
      <c r="G980" s="4"/>
      <c r="H980" s="4" t="s">
        <v>1026</v>
      </c>
      <c r="I980" s="4">
        <v>2</v>
      </c>
      <c r="J980" s="4" t="s">
        <v>38</v>
      </c>
      <c r="K980" s="5">
        <v>1</v>
      </c>
      <c r="L980" s="4" t="s">
        <v>1007</v>
      </c>
      <c r="M980" s="4" t="s">
        <v>1746</v>
      </c>
      <c r="N980" s="4" t="s">
        <v>47</v>
      </c>
      <c r="O980" s="6">
        <v>45071</v>
      </c>
      <c r="P980" s="4"/>
      <c r="Q980" s="4" t="s">
        <v>1009</v>
      </c>
      <c r="R980" s="4" t="s">
        <v>36</v>
      </c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>
        <f t="shared" si="15"/>
        <v>21</v>
      </c>
    </row>
    <row r="981" spans="1:30" ht="27" thickBot="1" x14ac:dyDescent="0.3">
      <c r="A981" s="3">
        <v>45069.494768518518</v>
      </c>
      <c r="B981" s="4" t="s">
        <v>53</v>
      </c>
      <c r="C981" s="4" t="s">
        <v>53</v>
      </c>
      <c r="D981" s="31" t="s">
        <v>42</v>
      </c>
      <c r="E981" s="4" t="s">
        <v>1747</v>
      </c>
      <c r="F981" s="5">
        <v>626503906</v>
      </c>
      <c r="G981" s="4"/>
      <c r="H981" s="4" t="s">
        <v>62</v>
      </c>
      <c r="I981" s="5">
        <v>2</v>
      </c>
      <c r="J981" s="4" t="s">
        <v>38</v>
      </c>
      <c r="K981" s="5">
        <v>1</v>
      </c>
      <c r="L981" s="4" t="s">
        <v>223</v>
      </c>
      <c r="M981" s="4" t="s">
        <v>223</v>
      </c>
      <c r="N981" s="4" t="s">
        <v>57</v>
      </c>
      <c r="O981" s="6">
        <v>45069</v>
      </c>
      <c r="P981" s="4"/>
      <c r="Q981" s="4" t="s">
        <v>58</v>
      </c>
      <c r="R981" s="4" t="s">
        <v>36</v>
      </c>
      <c r="S981" s="4" t="s">
        <v>59</v>
      </c>
      <c r="T981" s="5">
        <v>1</v>
      </c>
      <c r="U981" s="6">
        <v>45069</v>
      </c>
      <c r="V981" s="4" t="s">
        <v>1624</v>
      </c>
      <c r="W981" s="4" t="s">
        <v>1732</v>
      </c>
      <c r="X981" s="4"/>
      <c r="Y981" s="4"/>
      <c r="Z981" s="4"/>
      <c r="AA981" s="4"/>
      <c r="AB981" s="4"/>
      <c r="AC981" s="4"/>
      <c r="AD981" s="4">
        <f t="shared" si="15"/>
        <v>21</v>
      </c>
    </row>
    <row r="982" spans="1:30" ht="27" thickBot="1" x14ac:dyDescent="0.3">
      <c r="A982" s="3">
        <v>45069.498171296298</v>
      </c>
      <c r="B982" s="4" t="s">
        <v>53</v>
      </c>
      <c r="C982" s="4" t="s">
        <v>53</v>
      </c>
      <c r="D982" s="31" t="s">
        <v>27</v>
      </c>
      <c r="E982" s="4" t="s">
        <v>1748</v>
      </c>
      <c r="F982" s="5">
        <v>623875187</v>
      </c>
      <c r="G982" s="4"/>
      <c r="H982" s="4" t="s">
        <v>1693</v>
      </c>
      <c r="I982" s="5">
        <v>60</v>
      </c>
      <c r="J982" s="4" t="s">
        <v>38</v>
      </c>
      <c r="K982" s="5">
        <v>8</v>
      </c>
      <c r="L982" s="4" t="s">
        <v>56</v>
      </c>
      <c r="M982" s="4" t="s">
        <v>56</v>
      </c>
      <c r="N982" s="4" t="s">
        <v>57</v>
      </c>
      <c r="O982" s="6">
        <v>45069</v>
      </c>
      <c r="P982" s="4"/>
      <c r="Q982" s="4" t="s">
        <v>58</v>
      </c>
      <c r="R982" s="4" t="s">
        <v>36</v>
      </c>
      <c r="S982" s="4" t="s">
        <v>59</v>
      </c>
      <c r="T982" s="5">
        <v>8</v>
      </c>
      <c r="U982" s="6">
        <v>45069</v>
      </c>
      <c r="V982" s="4" t="s">
        <v>1624</v>
      </c>
      <c r="W982" s="4" t="s">
        <v>1732</v>
      </c>
      <c r="X982" s="4"/>
      <c r="Y982" s="4"/>
      <c r="Z982" s="4"/>
      <c r="AA982" s="4"/>
      <c r="AB982" s="4"/>
      <c r="AC982" s="4"/>
      <c r="AD982" s="4">
        <f t="shared" si="15"/>
        <v>21</v>
      </c>
    </row>
    <row r="983" spans="1:30" ht="27" thickBot="1" x14ac:dyDescent="0.3">
      <c r="A983" s="3">
        <v>45069.500717592593</v>
      </c>
      <c r="B983" s="4" t="s">
        <v>53</v>
      </c>
      <c r="C983" s="4" t="s">
        <v>53</v>
      </c>
      <c r="D983" s="31" t="s">
        <v>42</v>
      </c>
      <c r="E983" s="4" t="s">
        <v>1749</v>
      </c>
      <c r="F983" s="5">
        <v>625723444</v>
      </c>
      <c r="G983" s="4"/>
      <c r="H983" s="4" t="s">
        <v>62</v>
      </c>
      <c r="I983" s="5">
        <v>4</v>
      </c>
      <c r="J983" s="4" t="s">
        <v>38</v>
      </c>
      <c r="K983" s="5">
        <v>5</v>
      </c>
      <c r="L983" s="4" t="s">
        <v>56</v>
      </c>
      <c r="M983" s="4" t="s">
        <v>56</v>
      </c>
      <c r="N983" s="4" t="s">
        <v>57</v>
      </c>
      <c r="O983" s="6">
        <v>45069</v>
      </c>
      <c r="P983" s="4"/>
      <c r="Q983" s="4" t="s">
        <v>58</v>
      </c>
      <c r="R983" s="4" t="s">
        <v>36</v>
      </c>
      <c r="S983" s="4" t="s">
        <v>59</v>
      </c>
      <c r="T983" s="5">
        <v>5</v>
      </c>
      <c r="U983" s="6">
        <v>45069</v>
      </c>
      <c r="V983" s="4" t="s">
        <v>1624</v>
      </c>
      <c r="W983" s="4" t="s">
        <v>1750</v>
      </c>
      <c r="X983" s="4"/>
      <c r="Y983" s="4"/>
      <c r="Z983" s="4"/>
      <c r="AA983" s="4"/>
      <c r="AB983" s="4"/>
      <c r="AC983" s="4"/>
      <c r="AD983" s="4">
        <f t="shared" si="15"/>
        <v>21</v>
      </c>
    </row>
    <row r="984" spans="1:30" ht="27" thickBot="1" x14ac:dyDescent="0.3">
      <c r="A984" s="3">
        <v>45069.504930555559</v>
      </c>
      <c r="B984" s="4" t="s">
        <v>53</v>
      </c>
      <c r="C984" s="4" t="s">
        <v>53</v>
      </c>
      <c r="D984" s="31" t="s">
        <v>42</v>
      </c>
      <c r="E984" s="4" t="s">
        <v>1751</v>
      </c>
      <c r="F984" s="5">
        <v>622977919</v>
      </c>
      <c r="G984" s="4"/>
      <c r="H984" s="4" t="s">
        <v>62</v>
      </c>
      <c r="I984" s="5">
        <v>3</v>
      </c>
      <c r="J984" s="4" t="s">
        <v>38</v>
      </c>
      <c r="K984" s="5">
        <v>3</v>
      </c>
      <c r="L984" s="4" t="s">
        <v>63</v>
      </c>
      <c r="M984" s="4" t="s">
        <v>63</v>
      </c>
      <c r="N984" s="4" t="s">
        <v>47</v>
      </c>
      <c r="O984" s="6">
        <v>45069</v>
      </c>
      <c r="P984" s="4"/>
      <c r="Q984" s="4" t="s">
        <v>58</v>
      </c>
      <c r="R984" s="4" t="s">
        <v>36</v>
      </c>
      <c r="S984" s="4" t="s">
        <v>59</v>
      </c>
      <c r="T984" s="5">
        <v>3</v>
      </c>
      <c r="U984" s="6">
        <v>45069</v>
      </c>
      <c r="V984" s="4" t="s">
        <v>1624</v>
      </c>
      <c r="W984" s="4" t="s">
        <v>1750</v>
      </c>
      <c r="X984" s="4"/>
      <c r="Y984" s="4"/>
      <c r="Z984" s="4"/>
      <c r="AA984" s="4"/>
      <c r="AB984" s="4"/>
      <c r="AC984" s="4"/>
      <c r="AD984" s="4">
        <f t="shared" si="15"/>
        <v>21</v>
      </c>
    </row>
    <row r="985" spans="1:30" ht="27" thickBot="1" x14ac:dyDescent="0.3">
      <c r="A985" s="3">
        <v>45069.507199074076</v>
      </c>
      <c r="B985" s="4" t="s">
        <v>53</v>
      </c>
      <c r="C985" s="4" t="s">
        <v>53</v>
      </c>
      <c r="D985" s="31" t="s">
        <v>27</v>
      </c>
      <c r="E985" s="4" t="s">
        <v>687</v>
      </c>
      <c r="F985" s="5">
        <v>621196192</v>
      </c>
      <c r="G985" s="4"/>
      <c r="H985" s="4" t="s">
        <v>286</v>
      </c>
      <c r="I985" s="5">
        <v>70</v>
      </c>
      <c r="J985" s="4" t="s">
        <v>38</v>
      </c>
      <c r="K985" s="5">
        <v>30</v>
      </c>
      <c r="L985" s="4" t="s">
        <v>63</v>
      </c>
      <c r="M985" s="4" t="s">
        <v>63</v>
      </c>
      <c r="N985" s="4" t="s">
        <v>47</v>
      </c>
      <c r="O985" s="6">
        <v>45069</v>
      </c>
      <c r="P985" s="4"/>
      <c r="Q985" s="4" t="s">
        <v>58</v>
      </c>
      <c r="R985" s="4" t="s">
        <v>36</v>
      </c>
      <c r="S985" s="4" t="s">
        <v>59</v>
      </c>
      <c r="T985" s="5">
        <v>30</v>
      </c>
      <c r="U985" s="6">
        <v>45069</v>
      </c>
      <c r="V985" s="4" t="s">
        <v>1624</v>
      </c>
      <c r="W985" s="4" t="s">
        <v>740</v>
      </c>
      <c r="X985" s="4"/>
      <c r="Y985" s="4"/>
      <c r="Z985" s="4"/>
      <c r="AA985" s="4"/>
      <c r="AB985" s="4"/>
      <c r="AC985" s="4"/>
      <c r="AD985" s="4">
        <f t="shared" si="15"/>
        <v>21</v>
      </c>
    </row>
    <row r="986" spans="1:30" ht="39.75" thickBot="1" x14ac:dyDescent="0.3">
      <c r="A986" s="3">
        <v>45069.517766203702</v>
      </c>
      <c r="B986" s="4" t="s">
        <v>25</v>
      </c>
      <c r="C986" s="4" t="s">
        <v>1752</v>
      </c>
      <c r="D986" s="31" t="s">
        <v>42</v>
      </c>
      <c r="E986" s="4" t="s">
        <v>1753</v>
      </c>
      <c r="F986" s="5">
        <v>622091928</v>
      </c>
      <c r="G986" s="4"/>
      <c r="H986" s="4" t="s">
        <v>29</v>
      </c>
      <c r="I986" s="5">
        <v>8</v>
      </c>
      <c r="J986" s="4" t="s">
        <v>132</v>
      </c>
      <c r="K986" s="5">
        <v>30</v>
      </c>
      <c r="L986" s="4" t="s">
        <v>93</v>
      </c>
      <c r="M986" s="4" t="s">
        <v>93</v>
      </c>
      <c r="N986" s="4" t="s">
        <v>33</v>
      </c>
      <c r="O986" s="6">
        <v>45070</v>
      </c>
      <c r="P986" s="4" t="s">
        <v>1523</v>
      </c>
      <c r="Q986" s="4" t="s">
        <v>35</v>
      </c>
      <c r="R986" s="4" t="s">
        <v>36</v>
      </c>
      <c r="S986" s="4" t="s">
        <v>59</v>
      </c>
      <c r="T986" s="5">
        <v>30</v>
      </c>
      <c r="U986" s="6">
        <v>45069</v>
      </c>
      <c r="V986" s="4" t="s">
        <v>1624</v>
      </c>
      <c r="W986" s="4" t="s">
        <v>1109</v>
      </c>
      <c r="X986" s="4"/>
      <c r="Y986" s="4"/>
      <c r="Z986" s="4"/>
      <c r="AA986" s="4"/>
      <c r="AB986" s="4"/>
      <c r="AC986" s="4"/>
      <c r="AD986" s="4">
        <f t="shared" si="15"/>
        <v>21</v>
      </c>
    </row>
    <row r="987" spans="1:30" ht="39.75" thickBot="1" x14ac:dyDescent="0.3">
      <c r="A987" s="3">
        <v>45069.520266203705</v>
      </c>
      <c r="B987" s="4" t="s">
        <v>25</v>
      </c>
      <c r="C987" s="4" t="s">
        <v>1752</v>
      </c>
      <c r="D987" s="31" t="s">
        <v>42</v>
      </c>
      <c r="E987" s="4" t="s">
        <v>1754</v>
      </c>
      <c r="F987" s="5">
        <v>628161267</v>
      </c>
      <c r="G987" s="4"/>
      <c r="H987" s="4" t="s">
        <v>29</v>
      </c>
      <c r="I987" s="5">
        <v>12</v>
      </c>
      <c r="J987" s="4" t="s">
        <v>101</v>
      </c>
      <c r="K987" s="5">
        <v>6</v>
      </c>
      <c r="L987" s="4" t="s">
        <v>644</v>
      </c>
      <c r="M987" s="4" t="s">
        <v>32</v>
      </c>
      <c r="N987" s="4" t="s">
        <v>33</v>
      </c>
      <c r="O987" s="6">
        <v>45073</v>
      </c>
      <c r="P987" s="4"/>
      <c r="Q987" s="4" t="s">
        <v>35</v>
      </c>
      <c r="R987" s="4" t="s">
        <v>36</v>
      </c>
      <c r="S987" s="4" t="s">
        <v>59</v>
      </c>
      <c r="T987" s="5">
        <v>6</v>
      </c>
      <c r="U987" s="6">
        <v>45069</v>
      </c>
      <c r="V987" s="4" t="s">
        <v>1624</v>
      </c>
      <c r="W987" s="4"/>
      <c r="X987" s="4"/>
      <c r="Y987" s="4"/>
      <c r="Z987" s="4"/>
      <c r="AA987" s="4"/>
      <c r="AB987" s="4"/>
      <c r="AC987" s="4"/>
      <c r="AD987" s="4">
        <f t="shared" si="15"/>
        <v>21</v>
      </c>
    </row>
    <row r="988" spans="1:30" ht="39.75" thickBot="1" x14ac:dyDescent="0.3">
      <c r="A988" s="3">
        <v>45069.522731481484</v>
      </c>
      <c r="B988" s="4" t="s">
        <v>25</v>
      </c>
      <c r="C988" s="4" t="s">
        <v>1752</v>
      </c>
      <c r="D988" s="31" t="s">
        <v>42</v>
      </c>
      <c r="E988" s="4" t="s">
        <v>441</v>
      </c>
      <c r="F988" s="5">
        <v>622564008</v>
      </c>
      <c r="G988" s="4"/>
      <c r="H988" s="4" t="s">
        <v>111</v>
      </c>
      <c r="I988" s="5">
        <v>12</v>
      </c>
      <c r="J988" s="4" t="s">
        <v>38</v>
      </c>
      <c r="K988" s="5">
        <v>5</v>
      </c>
      <c r="L988" s="4" t="s">
        <v>644</v>
      </c>
      <c r="M988" s="4" t="s">
        <v>32</v>
      </c>
      <c r="N988" s="4" t="s">
        <v>33</v>
      </c>
      <c r="O988" s="6">
        <v>45076</v>
      </c>
      <c r="P988" s="4"/>
      <c r="Q988" s="4" t="s">
        <v>35</v>
      </c>
      <c r="R988" s="4" t="s">
        <v>36</v>
      </c>
      <c r="S988" s="4" t="s">
        <v>59</v>
      </c>
      <c r="T988" s="5">
        <v>5</v>
      </c>
      <c r="U988" s="6">
        <v>45069</v>
      </c>
      <c r="V988" s="4" t="s">
        <v>1624</v>
      </c>
      <c r="W988" s="4" t="s">
        <v>733</v>
      </c>
      <c r="X988" s="4"/>
      <c r="Y988" s="4"/>
      <c r="Z988" s="4"/>
      <c r="AA988" s="4"/>
      <c r="AB988" s="4"/>
      <c r="AC988" s="4"/>
      <c r="AD988" s="4">
        <f t="shared" si="15"/>
        <v>21</v>
      </c>
    </row>
    <row r="989" spans="1:30" ht="27" thickBot="1" x14ac:dyDescent="0.3">
      <c r="A989" s="3">
        <v>45069.542858796296</v>
      </c>
      <c r="B989" s="4" t="s">
        <v>1771</v>
      </c>
      <c r="C989" s="4" t="s">
        <v>496</v>
      </c>
      <c r="D989" s="31" t="s">
        <v>42</v>
      </c>
      <c r="E989" s="4" t="s">
        <v>1395</v>
      </c>
      <c r="F989" s="5">
        <v>625365311</v>
      </c>
      <c r="G989" s="5">
        <v>625365311</v>
      </c>
      <c r="H989" s="4" t="s">
        <v>525</v>
      </c>
      <c r="I989" s="5">
        <v>6</v>
      </c>
      <c r="J989" s="4" t="s">
        <v>38</v>
      </c>
      <c r="K989" s="5">
        <v>2</v>
      </c>
      <c r="L989" s="4" t="s">
        <v>1755</v>
      </c>
      <c r="M989" s="5">
        <v>0</v>
      </c>
      <c r="N989" s="4" t="s">
        <v>47</v>
      </c>
      <c r="O989" s="6">
        <v>45068</v>
      </c>
      <c r="P989" s="4" t="s">
        <v>523</v>
      </c>
      <c r="Q989" s="4" t="s">
        <v>500</v>
      </c>
      <c r="R989" s="4" t="s">
        <v>36</v>
      </c>
      <c r="S989" s="4" t="s">
        <v>59</v>
      </c>
      <c r="T989" s="5">
        <v>2</v>
      </c>
      <c r="U989" s="6">
        <v>45069</v>
      </c>
      <c r="V989" s="4" t="s">
        <v>1624</v>
      </c>
      <c r="W989" s="4" t="s">
        <v>918</v>
      </c>
      <c r="X989" s="4"/>
      <c r="Y989" s="4"/>
      <c r="Z989" s="4"/>
      <c r="AA989" s="4"/>
      <c r="AB989" s="4"/>
      <c r="AC989" s="4"/>
      <c r="AD989" s="4">
        <f t="shared" si="15"/>
        <v>21</v>
      </c>
    </row>
    <row r="990" spans="1:30" ht="27" thickBot="1" x14ac:dyDescent="0.3">
      <c r="A990" s="3">
        <v>45069.549363425926</v>
      </c>
      <c r="B990" s="4" t="s">
        <v>1771</v>
      </c>
      <c r="C990" s="4" t="s">
        <v>496</v>
      </c>
      <c r="D990" s="31" t="s">
        <v>42</v>
      </c>
      <c r="E990" s="4" t="s">
        <v>1756</v>
      </c>
      <c r="F990" s="5">
        <v>627789375</v>
      </c>
      <c r="G990" s="5">
        <v>627789375</v>
      </c>
      <c r="H990" s="4" t="s">
        <v>525</v>
      </c>
      <c r="I990" s="5">
        <v>6</v>
      </c>
      <c r="J990" s="4" t="s">
        <v>38</v>
      </c>
      <c r="K990" s="5">
        <v>1</v>
      </c>
      <c r="L990" s="4" t="s">
        <v>1757</v>
      </c>
      <c r="M990" s="5">
        <v>0</v>
      </c>
      <c r="N990" s="4" t="s">
        <v>47</v>
      </c>
      <c r="O990" s="6">
        <v>45069</v>
      </c>
      <c r="P990" s="4" t="s">
        <v>523</v>
      </c>
      <c r="Q990" s="4" t="s">
        <v>500</v>
      </c>
      <c r="R990" s="4" t="s">
        <v>36</v>
      </c>
      <c r="S990" s="4" t="s">
        <v>59</v>
      </c>
      <c r="T990" s="5">
        <v>1</v>
      </c>
      <c r="U990" s="6">
        <v>45069</v>
      </c>
      <c r="V990" s="4" t="s">
        <v>1624</v>
      </c>
      <c r="W990" s="4" t="s">
        <v>918</v>
      </c>
      <c r="X990" s="4"/>
      <c r="Y990" s="4"/>
      <c r="Z990" s="4"/>
      <c r="AA990" s="4"/>
      <c r="AB990" s="4"/>
      <c r="AC990" s="4"/>
      <c r="AD990" s="4">
        <f t="shared" si="15"/>
        <v>21</v>
      </c>
    </row>
    <row r="991" spans="1:30" ht="27" thickBot="1" x14ac:dyDescent="0.3">
      <c r="A991" s="3">
        <v>45069.578067129631</v>
      </c>
      <c r="B991" s="4" t="s">
        <v>1770</v>
      </c>
      <c r="C991" s="4" t="s">
        <v>254</v>
      </c>
      <c r="D991" s="31" t="s">
        <v>42</v>
      </c>
      <c r="E991" s="4" t="s">
        <v>1758</v>
      </c>
      <c r="F991" s="5">
        <v>628205992</v>
      </c>
      <c r="G991" s="5">
        <v>628205992</v>
      </c>
      <c r="H991" s="4" t="s">
        <v>476</v>
      </c>
      <c r="I991" s="5">
        <v>12</v>
      </c>
      <c r="J991" s="4" t="s">
        <v>38</v>
      </c>
      <c r="K991" s="5">
        <v>6</v>
      </c>
      <c r="L991" s="4" t="s">
        <v>512</v>
      </c>
      <c r="M991" s="4" t="s">
        <v>512</v>
      </c>
      <c r="N991" s="4" t="s">
        <v>33</v>
      </c>
      <c r="O991" s="6">
        <v>45071</v>
      </c>
      <c r="P991" s="4"/>
      <c r="Q991" s="4" t="s">
        <v>405</v>
      </c>
      <c r="R991" s="4" t="s">
        <v>36</v>
      </c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>
        <f t="shared" si="15"/>
        <v>21</v>
      </c>
    </row>
    <row r="992" spans="1:30" ht="27" thickBot="1" x14ac:dyDescent="0.3">
      <c r="A992" s="3">
        <v>45069.58048611111</v>
      </c>
      <c r="B992" s="4" t="s">
        <v>1770</v>
      </c>
      <c r="C992" s="4" t="s">
        <v>254</v>
      </c>
      <c r="D992" s="31" t="s">
        <v>42</v>
      </c>
      <c r="E992" s="4" t="s">
        <v>1759</v>
      </c>
      <c r="F992" s="5">
        <v>627302656</v>
      </c>
      <c r="G992" s="5">
        <v>627302656</v>
      </c>
      <c r="H992" s="4" t="s">
        <v>476</v>
      </c>
      <c r="I992" s="5">
        <v>7</v>
      </c>
      <c r="J992" s="4" t="s">
        <v>38</v>
      </c>
      <c r="K992" s="5">
        <v>1</v>
      </c>
      <c r="L992" s="4" t="s">
        <v>493</v>
      </c>
      <c r="M992" s="4" t="s">
        <v>493</v>
      </c>
      <c r="N992" s="4" t="s">
        <v>90</v>
      </c>
      <c r="O992" s="6">
        <v>45072</v>
      </c>
      <c r="P992" s="4"/>
      <c r="Q992" s="4" t="s">
        <v>405</v>
      </c>
      <c r="R992" s="4" t="s">
        <v>36</v>
      </c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>
        <f t="shared" si="15"/>
        <v>21</v>
      </c>
    </row>
    <row r="993" spans="1:30" ht="27" thickBot="1" x14ac:dyDescent="0.3">
      <c r="A993" s="3">
        <v>45069.583240740743</v>
      </c>
      <c r="B993" s="4" t="s">
        <v>1770</v>
      </c>
      <c r="C993" s="4" t="s">
        <v>254</v>
      </c>
      <c r="D993" s="31" t="s">
        <v>42</v>
      </c>
      <c r="E993" s="4" t="s">
        <v>1760</v>
      </c>
      <c r="F993" s="5">
        <v>628571050</v>
      </c>
      <c r="G993" s="5">
        <v>628571050</v>
      </c>
      <c r="H993" s="4" t="s">
        <v>476</v>
      </c>
      <c r="I993" s="5">
        <v>7</v>
      </c>
      <c r="J993" s="4" t="s">
        <v>38</v>
      </c>
      <c r="K993" s="5">
        <v>3</v>
      </c>
      <c r="L993" s="4" t="s">
        <v>512</v>
      </c>
      <c r="M993" s="4" t="s">
        <v>512</v>
      </c>
      <c r="N993" s="4" t="s">
        <v>33</v>
      </c>
      <c r="O993" s="6">
        <v>45073</v>
      </c>
      <c r="P993" s="4"/>
      <c r="Q993" s="4" t="s">
        <v>405</v>
      </c>
      <c r="R993" s="4" t="s">
        <v>36</v>
      </c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>
        <f t="shared" si="15"/>
        <v>21</v>
      </c>
    </row>
    <row r="994" spans="1:30" ht="27" thickBot="1" x14ac:dyDescent="0.3">
      <c r="A994" s="3">
        <v>45069.586388888885</v>
      </c>
      <c r="B994" s="4" t="s">
        <v>1770</v>
      </c>
      <c r="C994" s="4" t="s">
        <v>254</v>
      </c>
      <c r="D994" s="31" t="s">
        <v>42</v>
      </c>
      <c r="E994" s="4" t="s">
        <v>1761</v>
      </c>
      <c r="F994" s="5">
        <v>620347362</v>
      </c>
      <c r="G994" s="5">
        <v>620347362</v>
      </c>
      <c r="H994" s="4" t="s">
        <v>476</v>
      </c>
      <c r="I994" s="5">
        <v>37</v>
      </c>
      <c r="J994" s="4" t="s">
        <v>38</v>
      </c>
      <c r="K994" s="5">
        <v>15</v>
      </c>
      <c r="L994" s="4" t="s">
        <v>512</v>
      </c>
      <c r="M994" s="4" t="s">
        <v>512</v>
      </c>
      <c r="N994" s="4" t="s">
        <v>33</v>
      </c>
      <c r="O994" s="6">
        <v>45075</v>
      </c>
      <c r="P994" s="4"/>
      <c r="Q994" s="4" t="s">
        <v>405</v>
      </c>
      <c r="R994" s="4" t="s">
        <v>36</v>
      </c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>
        <f t="shared" si="15"/>
        <v>21</v>
      </c>
    </row>
    <row r="995" spans="1:30" ht="27" thickBot="1" x14ac:dyDescent="0.3">
      <c r="A995" s="3">
        <v>45069.590717592589</v>
      </c>
      <c r="B995" s="4" t="s">
        <v>1770</v>
      </c>
      <c r="C995" s="4" t="s">
        <v>254</v>
      </c>
      <c r="D995" s="31" t="s">
        <v>42</v>
      </c>
      <c r="E995" s="4" t="s">
        <v>1762</v>
      </c>
      <c r="F995" s="5">
        <v>669451909</v>
      </c>
      <c r="G995" s="5">
        <v>669451909</v>
      </c>
      <c r="H995" s="4" t="s">
        <v>476</v>
      </c>
      <c r="I995" s="5">
        <v>40</v>
      </c>
      <c r="J995" s="4" t="s">
        <v>38</v>
      </c>
      <c r="K995" s="5">
        <v>6</v>
      </c>
      <c r="L995" s="4" t="s">
        <v>591</v>
      </c>
      <c r="M995" s="4" t="s">
        <v>591</v>
      </c>
      <c r="N995" s="4" t="s">
        <v>41</v>
      </c>
      <c r="O995" s="6">
        <v>45075</v>
      </c>
      <c r="P995" s="4"/>
      <c r="Q995" s="4" t="s">
        <v>405</v>
      </c>
      <c r="R995" s="4" t="s">
        <v>36</v>
      </c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>
        <f t="shared" si="15"/>
        <v>21</v>
      </c>
    </row>
    <row r="996" spans="1:30" ht="27" thickBot="1" x14ac:dyDescent="0.3">
      <c r="A996" s="3">
        <v>45069.592673611114</v>
      </c>
      <c r="B996" s="4" t="s">
        <v>1770</v>
      </c>
      <c r="C996" s="4" t="s">
        <v>254</v>
      </c>
      <c r="D996" s="31" t="s">
        <v>42</v>
      </c>
      <c r="E996" s="4" t="s">
        <v>1763</v>
      </c>
      <c r="F996" s="5">
        <v>622944999</v>
      </c>
      <c r="G996" s="5">
        <v>622944999</v>
      </c>
      <c r="H996" s="4" t="s">
        <v>476</v>
      </c>
      <c r="I996" s="5">
        <v>5</v>
      </c>
      <c r="J996" s="4" t="s">
        <v>38</v>
      </c>
      <c r="K996" s="5">
        <v>6</v>
      </c>
      <c r="L996" s="4" t="s">
        <v>512</v>
      </c>
      <c r="M996" s="4" t="s">
        <v>512</v>
      </c>
      <c r="N996" s="4" t="s">
        <v>33</v>
      </c>
      <c r="O996" s="6">
        <v>45075</v>
      </c>
      <c r="P996" s="4"/>
      <c r="Q996" s="4" t="s">
        <v>405</v>
      </c>
      <c r="R996" s="4" t="s">
        <v>36</v>
      </c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>
        <f t="shared" si="15"/>
        <v>21</v>
      </c>
    </row>
    <row r="997" spans="1:30" ht="27" thickBot="1" x14ac:dyDescent="0.3">
      <c r="A997" s="3">
        <v>45069.594398148147</v>
      </c>
      <c r="B997" s="4" t="s">
        <v>1770</v>
      </c>
      <c r="C997" s="4" t="s">
        <v>254</v>
      </c>
      <c r="D997" s="31" t="s">
        <v>42</v>
      </c>
      <c r="E997" s="4" t="s">
        <v>1764</v>
      </c>
      <c r="F997" s="5">
        <v>625260705</v>
      </c>
      <c r="G997" s="5">
        <v>625260705</v>
      </c>
      <c r="H997" s="4" t="s">
        <v>476</v>
      </c>
      <c r="I997" s="5">
        <v>15</v>
      </c>
      <c r="J997" s="4" t="s">
        <v>38</v>
      </c>
      <c r="K997" s="5">
        <v>3</v>
      </c>
      <c r="L997" s="4" t="s">
        <v>512</v>
      </c>
      <c r="M997" s="4" t="s">
        <v>512</v>
      </c>
      <c r="N997" s="4" t="s">
        <v>33</v>
      </c>
      <c r="O997" s="6">
        <v>45076</v>
      </c>
      <c r="P997" s="4"/>
      <c r="Q997" s="4" t="s">
        <v>405</v>
      </c>
      <c r="R997" s="4" t="s">
        <v>36</v>
      </c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>
        <f t="shared" si="15"/>
        <v>21</v>
      </c>
    </row>
    <row r="998" spans="1:30" ht="39.75" thickBot="1" x14ac:dyDescent="0.3">
      <c r="A998" s="3">
        <v>45069.624525462961</v>
      </c>
      <c r="B998" s="4" t="s">
        <v>552</v>
      </c>
      <c r="C998" s="4" t="s">
        <v>553</v>
      </c>
      <c r="D998" s="31" t="s">
        <v>42</v>
      </c>
      <c r="E998" s="4" t="s">
        <v>181</v>
      </c>
      <c r="F998" s="5">
        <v>622080387</v>
      </c>
      <c r="G998" s="5"/>
      <c r="H998" s="4" t="s">
        <v>619</v>
      </c>
      <c r="I998" s="5">
        <v>70</v>
      </c>
      <c r="J998" s="4" t="s">
        <v>38</v>
      </c>
      <c r="K998" s="5">
        <v>8</v>
      </c>
      <c r="L998" s="4" t="s">
        <v>1614</v>
      </c>
      <c r="M998" s="4" t="s">
        <v>1614</v>
      </c>
      <c r="N998" s="4" t="s">
        <v>90</v>
      </c>
      <c r="O998" s="6">
        <v>45070</v>
      </c>
      <c r="P998" s="4"/>
      <c r="Q998" s="4" t="s">
        <v>558</v>
      </c>
      <c r="R998" s="4" t="s">
        <v>36</v>
      </c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>
        <f t="shared" si="15"/>
        <v>21</v>
      </c>
    </row>
    <row r="999" spans="1:30" ht="39.75" thickBot="1" x14ac:dyDescent="0.3">
      <c r="A999" s="3">
        <v>45069.626805555556</v>
      </c>
      <c r="B999" s="4" t="s">
        <v>552</v>
      </c>
      <c r="C999" s="4" t="s">
        <v>553</v>
      </c>
      <c r="D999" s="31" t="s">
        <v>42</v>
      </c>
      <c r="E999" s="4" t="s">
        <v>1765</v>
      </c>
      <c r="F999" s="5">
        <v>623716549</v>
      </c>
      <c r="G999" s="5"/>
      <c r="H999" s="4" t="s">
        <v>555</v>
      </c>
      <c r="I999" s="5">
        <v>150</v>
      </c>
      <c r="J999" s="4" t="s">
        <v>38</v>
      </c>
      <c r="K999" s="5">
        <v>10</v>
      </c>
      <c r="L999" s="4" t="s">
        <v>556</v>
      </c>
      <c r="M999" s="4" t="s">
        <v>556</v>
      </c>
      <c r="N999" s="4" t="s">
        <v>90</v>
      </c>
      <c r="O999" s="6">
        <v>45070</v>
      </c>
      <c r="P999" s="4"/>
      <c r="Q999" s="4" t="s">
        <v>558</v>
      </c>
      <c r="R999" s="4" t="s">
        <v>36</v>
      </c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>
        <f t="shared" si="15"/>
        <v>21</v>
      </c>
    </row>
    <row r="1000" spans="1:30" ht="39.75" thickBot="1" x14ac:dyDescent="0.3">
      <c r="A1000" s="3">
        <v>45069.640821759262</v>
      </c>
      <c r="B1000" s="4" t="s">
        <v>1123</v>
      </c>
      <c r="C1000" s="4" t="s">
        <v>1123</v>
      </c>
      <c r="D1000" s="31" t="s">
        <v>42</v>
      </c>
      <c r="E1000" s="4" t="s">
        <v>1766</v>
      </c>
      <c r="F1000" s="5">
        <v>620694314</v>
      </c>
      <c r="G1000" s="5"/>
      <c r="H1000" s="4" t="s">
        <v>1125</v>
      </c>
      <c r="I1000" s="5">
        <v>22</v>
      </c>
      <c r="J1000" s="4" t="s">
        <v>38</v>
      </c>
      <c r="K1000" s="5">
        <v>2</v>
      </c>
      <c r="L1000" s="4" t="s">
        <v>705</v>
      </c>
      <c r="M1000" s="4" t="s">
        <v>705</v>
      </c>
      <c r="N1000" s="4" t="s">
        <v>33</v>
      </c>
      <c r="O1000" s="6">
        <v>45070</v>
      </c>
      <c r="P1000" s="4" t="s">
        <v>1127</v>
      </c>
      <c r="Q1000" s="4" t="s">
        <v>1128</v>
      </c>
      <c r="R1000" s="4" t="s">
        <v>36</v>
      </c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>
        <f t="shared" si="15"/>
        <v>21</v>
      </c>
    </row>
    <row r="1001" spans="1:30" ht="15.75" thickBot="1" x14ac:dyDescent="0.3">
      <c r="A1001" s="3"/>
      <c r="B1001" s="4"/>
      <c r="C1001" s="4"/>
      <c r="D1001" s="31"/>
      <c r="E1001" s="4"/>
      <c r="F1001" s="5"/>
      <c r="G1001" s="5"/>
      <c r="H1001" s="4"/>
      <c r="I1001" s="5">
        <v>11411</v>
      </c>
      <c r="J1001" s="4"/>
      <c r="K1001" s="5">
        <v>1847.5</v>
      </c>
      <c r="L1001" s="4"/>
      <c r="M1001" s="4"/>
      <c r="N1001" s="4"/>
      <c r="O1001" s="6"/>
      <c r="P1001" s="4"/>
      <c r="Q1001" s="4"/>
      <c r="R1001" s="4"/>
      <c r="S1001" s="4"/>
      <c r="T1001" s="4">
        <v>1066.5</v>
      </c>
      <c r="U1001" s="4"/>
      <c r="V1001" s="4" t="s">
        <v>1372</v>
      </c>
      <c r="W1001" s="4"/>
      <c r="X1001" s="4"/>
      <c r="Y1001" s="4"/>
      <c r="Z1001" s="4"/>
      <c r="AA1001" s="4"/>
      <c r="AB1001" s="4"/>
      <c r="AC1001" s="4"/>
      <c r="AD1001" s="4"/>
    </row>
    <row r="1002" spans="1:30" ht="15.75" thickBot="1" x14ac:dyDescent="0.3">
      <c r="A1002" s="3"/>
      <c r="B1002" s="4"/>
      <c r="C1002" s="4"/>
      <c r="D1002" s="31"/>
      <c r="E1002" s="4"/>
      <c r="F1002" s="5"/>
      <c r="G1002" s="5"/>
      <c r="H1002" s="4"/>
      <c r="I1002" s="5"/>
      <c r="J1002" s="4"/>
      <c r="K1002" s="5"/>
      <c r="L1002" s="4"/>
      <c r="M1002" s="4"/>
      <c r="N1002" s="4"/>
      <c r="O1002" s="6"/>
      <c r="P1002" s="4"/>
      <c r="Q1002" s="4"/>
      <c r="R1002" s="4"/>
      <c r="S1002" s="4"/>
      <c r="T1002" s="4">
        <v>542.5</v>
      </c>
      <c r="U1002" s="4"/>
      <c r="V1002" s="4" t="s">
        <v>1372</v>
      </c>
      <c r="W1002" s="4"/>
      <c r="X1002" s="4"/>
      <c r="Y1002" s="4"/>
      <c r="Z1002" s="4"/>
      <c r="AA1002" s="4"/>
      <c r="AB1002" s="4"/>
      <c r="AC1002" s="4"/>
      <c r="AD1002" s="4"/>
    </row>
    <row r="1003" spans="1:30" ht="15.75" thickBot="1" x14ac:dyDescent="0.3">
      <c r="A1003" s="3"/>
      <c r="B1003" s="4"/>
      <c r="C1003" s="4"/>
      <c r="D1003" s="31"/>
      <c r="E1003" s="4"/>
      <c r="F1003" s="5"/>
      <c r="G1003" s="5"/>
      <c r="H1003" s="4"/>
      <c r="I1003" s="5"/>
      <c r="J1003" s="4"/>
      <c r="K1003" s="5"/>
      <c r="L1003" s="4"/>
      <c r="M1003" s="4"/>
      <c r="N1003" s="4"/>
      <c r="O1003" s="6"/>
      <c r="P1003" s="4"/>
      <c r="Q1003" s="4"/>
      <c r="R1003" s="4"/>
      <c r="S1003" s="4"/>
      <c r="T1003" s="4"/>
      <c r="U1003" s="4"/>
      <c r="V1003" s="4" t="s">
        <v>1372</v>
      </c>
      <c r="W1003" s="4"/>
      <c r="X1003" s="4"/>
      <c r="Y1003" s="4"/>
      <c r="Z1003" s="4"/>
      <c r="AA1003" s="4"/>
      <c r="AB1003" s="4"/>
      <c r="AC1003" s="4"/>
      <c r="AD1003" s="4"/>
    </row>
    <row r="1004" spans="1:30" ht="15.75" thickBot="1" x14ac:dyDescent="0.3">
      <c r="A1004" s="3"/>
      <c r="B1004" s="4"/>
      <c r="C1004" s="4"/>
      <c r="D1004" s="31"/>
      <c r="E1004" s="4"/>
      <c r="F1004" s="5"/>
      <c r="G1004" s="5"/>
      <c r="H1004" s="4"/>
      <c r="I1004" s="5"/>
      <c r="J1004" s="4"/>
      <c r="K1004" s="5"/>
      <c r="L1004" s="4"/>
      <c r="M1004" s="4"/>
      <c r="N1004" s="4"/>
      <c r="O1004" s="6"/>
      <c r="P1004" s="4"/>
      <c r="Q1004" s="4"/>
      <c r="R1004" s="4"/>
      <c r="S1004" s="4"/>
      <c r="T1004" s="4"/>
      <c r="U1004" s="4"/>
      <c r="V1004" s="4" t="s">
        <v>1372</v>
      </c>
      <c r="W1004" s="4"/>
      <c r="X1004" s="4"/>
      <c r="Y1004" s="4"/>
      <c r="Z1004" s="4"/>
      <c r="AA1004" s="4"/>
      <c r="AB1004" s="4"/>
      <c r="AC1004" s="4"/>
      <c r="AD1004" s="4"/>
    </row>
    <row r="1005" spans="1:30" ht="15.75" thickBot="1" x14ac:dyDescent="0.3">
      <c r="A1005" s="3"/>
      <c r="B1005" s="4"/>
      <c r="C1005" s="4"/>
      <c r="D1005" s="31"/>
      <c r="E1005" s="4"/>
      <c r="F1005" s="5"/>
      <c r="G1005" s="5"/>
      <c r="H1005" s="4"/>
      <c r="I1005" s="5"/>
      <c r="J1005" s="4"/>
      <c r="K1005" s="5"/>
      <c r="L1005" s="4"/>
      <c r="M1005" s="4"/>
      <c r="N1005" s="4"/>
      <c r="O1005" s="6"/>
      <c r="P1005" s="4"/>
      <c r="Q1005" s="4"/>
      <c r="R1005" s="4"/>
      <c r="S1005" s="4"/>
      <c r="T1005" s="4"/>
      <c r="U1005" s="4"/>
      <c r="V1005" s="4" t="s">
        <v>1372</v>
      </c>
      <c r="W1005" s="4"/>
      <c r="X1005" s="4"/>
      <c r="Y1005" s="4"/>
      <c r="Z1005" s="4"/>
      <c r="AA1005" s="4"/>
      <c r="AB1005" s="4"/>
      <c r="AC1005" s="4"/>
      <c r="AD1005" s="4"/>
    </row>
    <row r="1006" spans="1:30" ht="15.75" thickBot="1" x14ac:dyDescent="0.3">
      <c r="A1006" s="3"/>
      <c r="B1006" s="4"/>
      <c r="C1006" s="4"/>
      <c r="D1006" s="31"/>
      <c r="E1006" s="4"/>
      <c r="F1006" s="5"/>
      <c r="G1006" s="5"/>
      <c r="H1006" s="4"/>
      <c r="I1006" s="5"/>
      <c r="J1006" s="4"/>
      <c r="K1006" s="5"/>
      <c r="L1006" s="4"/>
      <c r="M1006" s="4"/>
      <c r="N1006" s="4"/>
      <c r="O1006" s="6"/>
      <c r="P1006" s="4"/>
      <c r="Q1006" s="4"/>
      <c r="R1006" s="4"/>
      <c r="S1006" s="4"/>
      <c r="T1006" s="4"/>
      <c r="U1006" s="4"/>
      <c r="V1006" s="4" t="s">
        <v>1372</v>
      </c>
      <c r="W1006" s="4"/>
      <c r="X1006" s="4"/>
      <c r="Y1006" s="4"/>
      <c r="Z1006" s="4"/>
      <c r="AA1006" s="4"/>
      <c r="AB1006" s="4"/>
      <c r="AC1006" s="4"/>
      <c r="AD1006" s="4"/>
    </row>
    <row r="1007" spans="1:30" ht="15.75" thickBot="1" x14ac:dyDescent="0.3">
      <c r="A1007" s="3"/>
      <c r="B1007" s="4"/>
      <c r="C1007" s="4"/>
      <c r="D1007" s="31"/>
      <c r="E1007" s="4"/>
      <c r="F1007" s="5"/>
      <c r="G1007" s="5"/>
      <c r="H1007" s="4"/>
      <c r="I1007" s="5"/>
      <c r="J1007" s="4"/>
      <c r="K1007" s="5"/>
      <c r="L1007" s="4"/>
      <c r="M1007" s="4"/>
      <c r="N1007" s="4"/>
      <c r="O1007" s="6"/>
      <c r="P1007" s="4"/>
      <c r="Q1007" s="4"/>
      <c r="R1007" s="4"/>
      <c r="S1007" s="4"/>
      <c r="T1007" s="4"/>
      <c r="U1007" s="4"/>
      <c r="V1007" s="4" t="s">
        <v>1372</v>
      </c>
      <c r="W1007" s="4"/>
      <c r="X1007" s="4"/>
      <c r="Y1007" s="4"/>
      <c r="Z1007" s="4"/>
      <c r="AA1007" s="4"/>
      <c r="AB1007" s="4"/>
      <c r="AC1007" s="4"/>
      <c r="AD1007" s="4"/>
    </row>
    <row r="1008" spans="1:30" ht="15.75" thickBot="1" x14ac:dyDescent="0.3">
      <c r="A1008" s="3"/>
      <c r="B1008" s="4"/>
      <c r="C1008" s="4"/>
      <c r="D1008" s="31"/>
      <c r="E1008" s="4"/>
      <c r="F1008" s="5"/>
      <c r="G1008" s="5"/>
      <c r="H1008" s="4"/>
      <c r="I1008" s="5"/>
      <c r="J1008" s="4"/>
      <c r="K1008" s="5"/>
      <c r="L1008" s="4"/>
      <c r="M1008" s="4"/>
      <c r="N1008" s="4"/>
      <c r="O1008" s="6"/>
      <c r="P1008" s="4"/>
      <c r="Q1008" s="4"/>
      <c r="R1008" s="4"/>
      <c r="S1008" s="4"/>
      <c r="T1008" s="4"/>
      <c r="U1008" s="4"/>
      <c r="V1008" s="4" t="s">
        <v>1372</v>
      </c>
      <c r="W1008" s="4"/>
      <c r="X1008" s="4"/>
      <c r="Y1008" s="4"/>
      <c r="Z1008" s="4"/>
      <c r="AA1008" s="4"/>
      <c r="AB1008" s="4"/>
      <c r="AC1008" s="4"/>
      <c r="AD1008" s="4"/>
    </row>
    <row r="1009" spans="1:30" ht="15.75" thickBot="1" x14ac:dyDescent="0.3">
      <c r="A1009" s="3"/>
      <c r="B1009" s="4"/>
      <c r="C1009" s="4"/>
      <c r="D1009" s="31"/>
      <c r="E1009" s="4"/>
      <c r="F1009" s="5"/>
      <c r="G1009" s="5"/>
      <c r="H1009" s="4"/>
      <c r="I1009" s="5"/>
      <c r="J1009" s="4"/>
      <c r="K1009" s="5"/>
      <c r="L1009" s="4"/>
      <c r="M1009" s="4"/>
      <c r="N1009" s="4"/>
      <c r="O1009" s="6"/>
      <c r="P1009" s="4"/>
      <c r="Q1009" s="4"/>
      <c r="R1009" s="4"/>
      <c r="S1009" s="4"/>
      <c r="T1009" s="4"/>
      <c r="U1009" s="4"/>
      <c r="V1009" s="4" t="s">
        <v>1372</v>
      </c>
      <c r="W1009" s="4"/>
      <c r="X1009" s="4"/>
      <c r="Y1009" s="4"/>
      <c r="Z1009" s="4"/>
      <c r="AA1009" s="4"/>
      <c r="AB1009" s="4"/>
      <c r="AC1009" s="4"/>
      <c r="AD1009" s="4"/>
    </row>
    <row r="1010" spans="1:30" ht="15.75" thickBot="1" x14ac:dyDescent="0.3">
      <c r="A1010" s="3"/>
      <c r="B1010" s="4"/>
      <c r="C1010" s="4"/>
      <c r="D1010" s="31"/>
      <c r="E1010" s="4"/>
      <c r="F1010" s="5"/>
      <c r="G1010" s="5"/>
      <c r="H1010" s="4"/>
      <c r="I1010" s="5"/>
      <c r="J1010" s="4"/>
      <c r="K1010" s="5"/>
      <c r="L1010" s="4"/>
      <c r="M1010" s="4"/>
      <c r="N1010" s="4"/>
      <c r="O1010" s="6"/>
      <c r="P1010" s="4"/>
      <c r="Q1010" s="4"/>
      <c r="R1010" s="4"/>
      <c r="S1010" s="4"/>
      <c r="T1010" s="4"/>
      <c r="U1010" s="4"/>
      <c r="V1010" s="4" t="s">
        <v>1372</v>
      </c>
      <c r="W1010" s="4"/>
      <c r="X1010" s="4"/>
      <c r="Y1010" s="4"/>
      <c r="Z1010" s="4"/>
      <c r="AA1010" s="4"/>
      <c r="AB1010" s="4"/>
      <c r="AC1010" s="4"/>
      <c r="AD1010" s="4"/>
    </row>
    <row r="1011" spans="1:30" ht="15.75" thickBot="1" x14ac:dyDescent="0.3">
      <c r="A1011" s="3"/>
      <c r="B1011" s="4"/>
      <c r="C1011" s="4"/>
      <c r="D1011" s="31"/>
      <c r="E1011" s="4"/>
      <c r="F1011" s="5"/>
      <c r="G1011" s="5"/>
      <c r="H1011" s="4"/>
      <c r="I1011" s="5"/>
      <c r="J1011" s="4"/>
      <c r="K1011" s="5"/>
      <c r="L1011" s="4"/>
      <c r="M1011" s="4"/>
      <c r="N1011" s="4"/>
      <c r="O1011" s="6"/>
      <c r="P1011" s="4"/>
      <c r="Q1011" s="4"/>
      <c r="R1011" s="4"/>
      <c r="S1011" s="4"/>
      <c r="T1011" s="4"/>
      <c r="U1011" s="4"/>
      <c r="V1011" s="4" t="s">
        <v>1372</v>
      </c>
      <c r="W1011" s="4"/>
      <c r="X1011" s="4"/>
      <c r="Y1011" s="4"/>
      <c r="Z1011" s="4"/>
      <c r="AA1011" s="4"/>
      <c r="AB1011" s="4"/>
      <c r="AC1011" s="4"/>
      <c r="AD1011" s="4"/>
    </row>
    <row r="1012" spans="1:30" ht="15.75" thickBot="1" x14ac:dyDescent="0.3">
      <c r="A1012" s="3"/>
      <c r="B1012" s="4"/>
      <c r="C1012" s="4"/>
      <c r="D1012" s="31"/>
      <c r="E1012" s="4"/>
      <c r="F1012" s="5"/>
      <c r="G1012" s="5"/>
      <c r="H1012" s="4"/>
      <c r="I1012" s="5"/>
      <c r="J1012" s="4"/>
      <c r="K1012" s="5"/>
      <c r="L1012" s="4"/>
      <c r="M1012" s="4"/>
      <c r="N1012" s="4"/>
      <c r="O1012" s="6"/>
      <c r="P1012" s="4"/>
      <c r="Q1012" s="4"/>
      <c r="R1012" s="4"/>
      <c r="S1012" s="4"/>
      <c r="T1012" s="4"/>
      <c r="U1012" s="4"/>
      <c r="V1012" s="4" t="s">
        <v>1372</v>
      </c>
      <c r="W1012" s="4"/>
      <c r="X1012" s="4"/>
      <c r="Y1012" s="4"/>
      <c r="Z1012" s="4"/>
      <c r="AA1012" s="4"/>
      <c r="AB1012" s="4"/>
      <c r="AC1012" s="4"/>
      <c r="AD1012" s="4"/>
    </row>
    <row r="1013" spans="1:30" ht="15.75" thickBot="1" x14ac:dyDescent="0.3">
      <c r="A1013" s="3"/>
      <c r="B1013" s="4"/>
      <c r="C1013" s="4"/>
      <c r="D1013" s="31"/>
      <c r="E1013" s="4"/>
      <c r="F1013" s="5"/>
      <c r="G1013" s="5"/>
      <c r="H1013" s="4"/>
      <c r="I1013" s="5"/>
      <c r="J1013" s="4"/>
      <c r="K1013" s="5"/>
      <c r="L1013" s="4"/>
      <c r="M1013" s="4"/>
      <c r="N1013" s="4"/>
      <c r="O1013" s="6"/>
      <c r="P1013" s="4"/>
      <c r="Q1013" s="4"/>
      <c r="R1013" s="4"/>
      <c r="S1013" s="4"/>
      <c r="T1013" s="4"/>
      <c r="U1013" s="4"/>
      <c r="V1013" s="4" t="s">
        <v>1372</v>
      </c>
      <c r="W1013" s="4"/>
      <c r="X1013" s="4"/>
      <c r="Y1013" s="4"/>
      <c r="Z1013" s="4"/>
      <c r="AA1013" s="4"/>
      <c r="AB1013" s="4"/>
      <c r="AC1013" s="4"/>
      <c r="AD1013" s="4"/>
    </row>
    <row r="1014" spans="1:30" ht="15.75" thickBot="1" x14ac:dyDescent="0.3">
      <c r="A1014" s="3"/>
      <c r="B1014" s="4"/>
      <c r="C1014" s="4"/>
      <c r="D1014" s="31"/>
      <c r="E1014" s="4"/>
      <c r="F1014" s="5"/>
      <c r="G1014" s="5"/>
      <c r="H1014" s="4"/>
      <c r="I1014" s="5"/>
      <c r="J1014" s="4"/>
      <c r="K1014" s="5"/>
      <c r="L1014" s="4"/>
      <c r="M1014" s="4"/>
      <c r="N1014" s="4"/>
      <c r="O1014" s="6"/>
      <c r="P1014" s="4"/>
      <c r="Q1014" s="4"/>
      <c r="R1014" s="4"/>
      <c r="S1014" s="4"/>
      <c r="T1014" s="4"/>
      <c r="U1014" s="4"/>
      <c r="V1014" s="4" t="s">
        <v>1372</v>
      </c>
      <c r="W1014" s="4"/>
      <c r="X1014" s="4"/>
      <c r="Y1014" s="4"/>
      <c r="Z1014" s="4"/>
      <c r="AA1014" s="4"/>
      <c r="AB1014" s="4"/>
      <c r="AC1014" s="4"/>
      <c r="AD1014" s="4"/>
    </row>
    <row r="1015" spans="1:30" ht="15.75" thickBot="1" x14ac:dyDescent="0.3">
      <c r="A1015" s="3"/>
      <c r="B1015" s="4"/>
      <c r="C1015" s="4"/>
      <c r="D1015" s="31"/>
      <c r="E1015" s="4"/>
      <c r="F1015" s="5"/>
      <c r="G1015" s="5"/>
      <c r="H1015" s="4"/>
      <c r="I1015" s="5"/>
      <c r="J1015" s="4"/>
      <c r="K1015" s="5"/>
      <c r="L1015" s="4"/>
      <c r="M1015" s="4"/>
      <c r="N1015" s="4"/>
      <c r="O1015" s="6"/>
      <c r="P1015" s="4"/>
      <c r="Q1015" s="4"/>
      <c r="R1015" s="4"/>
      <c r="S1015" s="4"/>
      <c r="T1015" s="4"/>
      <c r="U1015" s="4"/>
      <c r="V1015" s="4" t="s">
        <v>1372</v>
      </c>
      <c r="W1015" s="4"/>
      <c r="X1015" s="4"/>
      <c r="Y1015" s="4"/>
      <c r="Z1015" s="4"/>
      <c r="AA1015" s="4"/>
      <c r="AB1015" s="4"/>
      <c r="AC1015" s="4"/>
      <c r="AD1015" s="4"/>
    </row>
    <row r="1016" spans="1:30" ht="15.75" thickBot="1" x14ac:dyDescent="0.3">
      <c r="A1016" s="3"/>
      <c r="B1016" s="4"/>
      <c r="C1016" s="4"/>
      <c r="D1016" s="31"/>
      <c r="E1016" s="4"/>
      <c r="F1016" s="5"/>
      <c r="G1016" s="5"/>
      <c r="H1016" s="4"/>
      <c r="I1016" s="5"/>
      <c r="J1016" s="4"/>
      <c r="K1016" s="5"/>
      <c r="L1016" s="4"/>
      <c r="M1016" s="4"/>
      <c r="N1016" s="4"/>
      <c r="O1016" s="6"/>
      <c r="P1016" s="4"/>
      <c r="Q1016" s="4"/>
      <c r="R1016" s="4"/>
      <c r="S1016" s="4"/>
      <c r="T1016" s="4"/>
      <c r="U1016" s="4"/>
      <c r="V1016" s="4" t="s">
        <v>1372</v>
      </c>
      <c r="W1016" s="4"/>
      <c r="X1016" s="4"/>
      <c r="Y1016" s="4"/>
      <c r="Z1016" s="4"/>
      <c r="AA1016" s="4"/>
      <c r="AB1016" s="4"/>
      <c r="AC1016" s="4"/>
      <c r="AD1016" s="4"/>
    </row>
    <row r="1017" spans="1:30" ht="15.75" thickBot="1" x14ac:dyDescent="0.3">
      <c r="A1017" s="3"/>
      <c r="B1017" s="4"/>
      <c r="C1017" s="4"/>
      <c r="D1017" s="31"/>
      <c r="E1017" s="4"/>
      <c r="F1017" s="5"/>
      <c r="G1017" s="5"/>
      <c r="H1017" s="4"/>
      <c r="I1017" s="5"/>
      <c r="J1017" s="4"/>
      <c r="K1017" s="5"/>
      <c r="L1017" s="4"/>
      <c r="M1017" s="4"/>
      <c r="N1017" s="4"/>
      <c r="O1017" s="6"/>
      <c r="P1017" s="4"/>
      <c r="Q1017" s="4"/>
      <c r="R1017" s="4"/>
      <c r="S1017" s="4"/>
      <c r="T1017" s="4"/>
      <c r="U1017" s="4"/>
      <c r="V1017" s="4" t="s">
        <v>1372</v>
      </c>
      <c r="W1017" s="4"/>
      <c r="X1017" s="4"/>
      <c r="Y1017" s="4"/>
      <c r="Z1017" s="4"/>
      <c r="AA1017" s="4"/>
      <c r="AB1017" s="4"/>
      <c r="AC1017" s="4"/>
      <c r="AD1017" s="4"/>
    </row>
    <row r="1018" spans="1:30" ht="15.75" thickBot="1" x14ac:dyDescent="0.3">
      <c r="A1018" s="3"/>
      <c r="B1018" s="4"/>
      <c r="C1018" s="4"/>
      <c r="D1018" s="31"/>
      <c r="E1018" s="4"/>
      <c r="F1018" s="5"/>
      <c r="G1018" s="5"/>
      <c r="H1018" s="4"/>
      <c r="I1018" s="5"/>
      <c r="J1018" s="4"/>
      <c r="K1018" s="5"/>
      <c r="L1018" s="4"/>
      <c r="M1018" s="4"/>
      <c r="N1018" s="4"/>
      <c r="O1018" s="6"/>
      <c r="P1018" s="4"/>
      <c r="Q1018" s="4"/>
      <c r="R1018" s="4"/>
      <c r="S1018" s="4"/>
      <c r="T1018" s="4"/>
      <c r="U1018" s="4"/>
      <c r="V1018" s="4" t="s">
        <v>1372</v>
      </c>
      <c r="W1018" s="4"/>
      <c r="X1018" s="4"/>
      <c r="Y1018" s="4"/>
      <c r="Z1018" s="4"/>
      <c r="AA1018" s="4"/>
      <c r="AB1018" s="4"/>
      <c r="AC1018" s="4"/>
      <c r="AD1018" s="4"/>
    </row>
    <row r="1019" spans="1:30" ht="15.75" thickBot="1" x14ac:dyDescent="0.3">
      <c r="A1019" s="3"/>
      <c r="B1019" s="4"/>
      <c r="C1019" s="4"/>
      <c r="D1019" s="31"/>
      <c r="E1019" s="4"/>
      <c r="F1019" s="5"/>
      <c r="G1019" s="5"/>
      <c r="H1019" s="4"/>
      <c r="I1019" s="5"/>
      <c r="J1019" s="4"/>
      <c r="K1019" s="5"/>
      <c r="L1019" s="4"/>
      <c r="M1019" s="4"/>
      <c r="N1019" s="4"/>
      <c r="O1019" s="6"/>
      <c r="P1019" s="4"/>
      <c r="Q1019" s="4"/>
      <c r="R1019" s="4"/>
      <c r="S1019" s="4"/>
      <c r="T1019" s="4"/>
      <c r="U1019" s="4"/>
      <c r="V1019" s="4" t="s">
        <v>1372</v>
      </c>
      <c r="W1019" s="4"/>
      <c r="X1019" s="4"/>
      <c r="Y1019" s="4"/>
      <c r="Z1019" s="4"/>
      <c r="AA1019" s="4"/>
      <c r="AB1019" s="4"/>
      <c r="AC1019" s="4"/>
      <c r="AD1019" s="4"/>
    </row>
    <row r="1020" spans="1:30" ht="15.75" thickBot="1" x14ac:dyDescent="0.3">
      <c r="A1020" s="3"/>
      <c r="B1020" s="4"/>
      <c r="C1020" s="4"/>
      <c r="D1020" s="31"/>
      <c r="E1020" s="4"/>
      <c r="F1020" s="5"/>
      <c r="G1020" s="5"/>
      <c r="H1020" s="4"/>
      <c r="I1020" s="5"/>
      <c r="J1020" s="4"/>
      <c r="K1020" s="5"/>
      <c r="L1020" s="4"/>
      <c r="M1020" s="4"/>
      <c r="N1020" s="4"/>
      <c r="O1020" s="6"/>
      <c r="P1020" s="4"/>
      <c r="Q1020" s="4"/>
      <c r="R1020" s="4"/>
      <c r="S1020" s="4"/>
      <c r="T1020" s="4"/>
      <c r="U1020" s="4"/>
      <c r="V1020" s="4" t="s">
        <v>1372</v>
      </c>
      <c r="W1020" s="4"/>
      <c r="X1020" s="4"/>
      <c r="Y1020" s="4"/>
      <c r="Z1020" s="4"/>
      <c r="AA1020" s="4"/>
      <c r="AB1020" s="4"/>
      <c r="AC1020" s="4"/>
      <c r="AD1020" s="4"/>
    </row>
    <row r="1021" spans="1:30" ht="15.75" thickBot="1" x14ac:dyDescent="0.3">
      <c r="A1021" s="3"/>
      <c r="B1021" s="4"/>
      <c r="C1021" s="4"/>
      <c r="D1021" s="31"/>
      <c r="E1021" s="4"/>
      <c r="F1021" s="5"/>
      <c r="G1021" s="5"/>
      <c r="H1021" s="4"/>
      <c r="I1021" s="5"/>
      <c r="J1021" s="4"/>
      <c r="K1021" s="5"/>
      <c r="L1021" s="4"/>
      <c r="M1021" s="4"/>
      <c r="N1021" s="4"/>
      <c r="O1021" s="6"/>
      <c r="P1021" s="4"/>
      <c r="Q1021" s="4"/>
      <c r="R1021" s="4"/>
      <c r="S1021" s="4"/>
      <c r="T1021" s="4"/>
      <c r="U1021" s="4"/>
      <c r="V1021" s="4" t="s">
        <v>1372</v>
      </c>
      <c r="W1021" s="4"/>
      <c r="X1021" s="4"/>
      <c r="Y1021" s="4"/>
      <c r="Z1021" s="4"/>
      <c r="AA1021" s="4"/>
      <c r="AB1021" s="4"/>
      <c r="AC1021" s="4"/>
      <c r="AD1021" s="4"/>
    </row>
    <row r="1022" spans="1:30" ht="15.75" thickBot="1" x14ac:dyDescent="0.3">
      <c r="A1022" s="3"/>
      <c r="B1022" s="4"/>
      <c r="C1022" s="4"/>
      <c r="D1022" s="31"/>
      <c r="E1022" s="4"/>
      <c r="F1022" s="5"/>
      <c r="G1022" s="5"/>
      <c r="H1022" s="4"/>
      <c r="I1022" s="5"/>
      <c r="J1022" s="4"/>
      <c r="K1022" s="5"/>
      <c r="L1022" s="4"/>
      <c r="M1022" s="4"/>
      <c r="N1022" s="4"/>
      <c r="O1022" s="6"/>
      <c r="P1022" s="4"/>
      <c r="Q1022" s="4"/>
      <c r="R1022" s="4"/>
      <c r="S1022" s="4"/>
      <c r="T1022" s="4"/>
      <c r="U1022" s="4"/>
      <c r="V1022" s="4" t="s">
        <v>1372</v>
      </c>
      <c r="W1022" s="4"/>
      <c r="X1022" s="4"/>
      <c r="Y1022" s="4"/>
      <c r="Z1022" s="4"/>
      <c r="AA1022" s="4"/>
      <c r="AB1022" s="4"/>
      <c r="AC1022" s="4"/>
      <c r="AD1022" s="4"/>
    </row>
    <row r="1023" spans="1:30" ht="15.75" thickBot="1" x14ac:dyDescent="0.3">
      <c r="A1023" s="3"/>
      <c r="B1023" s="4"/>
      <c r="C1023" s="4"/>
      <c r="D1023" s="31"/>
      <c r="E1023" s="4"/>
      <c r="F1023" s="5"/>
      <c r="G1023" s="5"/>
      <c r="H1023" s="4"/>
      <c r="I1023" s="5"/>
      <c r="J1023" s="4"/>
      <c r="K1023" s="5"/>
      <c r="L1023" s="4"/>
      <c r="M1023" s="4"/>
      <c r="N1023" s="4"/>
      <c r="O1023" s="6"/>
      <c r="P1023" s="4"/>
      <c r="Q1023" s="4"/>
      <c r="R1023" s="4"/>
      <c r="S1023" s="4"/>
      <c r="T1023" s="4"/>
      <c r="U1023" s="4"/>
      <c r="V1023" s="4" t="s">
        <v>1372</v>
      </c>
      <c r="W1023" s="4"/>
      <c r="X1023" s="4"/>
      <c r="Y1023" s="4"/>
      <c r="Z1023" s="4"/>
      <c r="AA1023" s="4"/>
      <c r="AB1023" s="4"/>
      <c r="AC1023" s="4"/>
      <c r="AD1023" s="4"/>
    </row>
    <row r="1024" spans="1:30" ht="15.75" thickBot="1" x14ac:dyDescent="0.3">
      <c r="A1024" s="3"/>
      <c r="B1024" s="4"/>
      <c r="C1024" s="4"/>
      <c r="D1024" s="31"/>
      <c r="E1024" s="4"/>
      <c r="F1024" s="5"/>
      <c r="G1024" s="5"/>
      <c r="H1024" s="4"/>
      <c r="I1024" s="5"/>
      <c r="J1024" s="4"/>
      <c r="K1024" s="5"/>
      <c r="L1024" s="4"/>
      <c r="M1024" s="4"/>
      <c r="N1024" s="4"/>
      <c r="O1024" s="6"/>
      <c r="P1024" s="4"/>
      <c r="Q1024" s="4"/>
      <c r="R1024" s="4"/>
      <c r="S1024" s="4"/>
      <c r="T1024" s="4"/>
      <c r="U1024" s="4"/>
      <c r="V1024" s="4" t="s">
        <v>1372</v>
      </c>
      <c r="W1024" s="4"/>
      <c r="X1024" s="4"/>
      <c r="Y1024" s="4"/>
      <c r="Z1024" s="4"/>
      <c r="AA1024" s="4"/>
      <c r="AB1024" s="4"/>
      <c r="AC1024" s="4"/>
      <c r="AD1024" s="4"/>
    </row>
    <row r="1025" spans="1:30" ht="15.75" thickBot="1" x14ac:dyDescent="0.3">
      <c r="A1025" s="3"/>
      <c r="B1025" s="4"/>
      <c r="C1025" s="4"/>
      <c r="D1025" s="31"/>
      <c r="E1025" s="4"/>
      <c r="F1025" s="5"/>
      <c r="G1025" s="5"/>
      <c r="H1025" s="4"/>
      <c r="I1025" s="5"/>
      <c r="J1025" s="4"/>
      <c r="K1025" s="5"/>
      <c r="L1025" s="4"/>
      <c r="M1025" s="4"/>
      <c r="N1025" s="4"/>
      <c r="O1025" s="6"/>
      <c r="P1025" s="4"/>
      <c r="Q1025" s="4"/>
      <c r="R1025" s="4"/>
      <c r="S1025" s="4"/>
      <c r="T1025" s="4"/>
      <c r="U1025" s="4"/>
      <c r="V1025" s="4" t="s">
        <v>1372</v>
      </c>
      <c r="W1025" s="4"/>
      <c r="X1025" s="4"/>
      <c r="Y1025" s="4"/>
      <c r="Z1025" s="4"/>
      <c r="AA1025" s="4"/>
      <c r="AB1025" s="4"/>
      <c r="AC1025" s="4"/>
      <c r="AD1025" s="4"/>
    </row>
    <row r="1026" spans="1:30" ht="15.75" thickBot="1" x14ac:dyDescent="0.3">
      <c r="A1026" s="3"/>
      <c r="B1026" s="4"/>
      <c r="C1026" s="4"/>
      <c r="D1026" s="31"/>
      <c r="E1026" s="4"/>
      <c r="F1026" s="5"/>
      <c r="G1026" s="5"/>
      <c r="H1026" s="4"/>
      <c r="I1026" s="5"/>
      <c r="J1026" s="4"/>
      <c r="K1026" s="5"/>
      <c r="L1026" s="4"/>
      <c r="M1026" s="4"/>
      <c r="N1026" s="4"/>
      <c r="O1026" s="6"/>
      <c r="P1026" s="4"/>
      <c r="Q1026" s="4"/>
      <c r="R1026" s="4"/>
      <c r="S1026" s="4"/>
      <c r="T1026" s="4"/>
      <c r="U1026" s="4"/>
      <c r="V1026" s="4" t="s">
        <v>1372</v>
      </c>
      <c r="W1026" s="4"/>
      <c r="X1026" s="4"/>
      <c r="Y1026" s="4"/>
      <c r="Z1026" s="4"/>
      <c r="AA1026" s="4"/>
      <c r="AB1026" s="4"/>
      <c r="AC1026" s="4"/>
      <c r="AD1026" s="4"/>
    </row>
    <row r="1027" spans="1:30" ht="15.75" thickBot="1" x14ac:dyDescent="0.3">
      <c r="A1027" s="3"/>
      <c r="B1027" s="4"/>
      <c r="C1027" s="4"/>
      <c r="D1027" s="31"/>
      <c r="E1027" s="4"/>
      <c r="F1027" s="5"/>
      <c r="G1027" s="5"/>
      <c r="H1027" s="4"/>
      <c r="I1027" s="5"/>
      <c r="J1027" s="4"/>
      <c r="K1027" s="5"/>
      <c r="L1027" s="4"/>
      <c r="M1027" s="4"/>
      <c r="N1027" s="4"/>
      <c r="O1027" s="6"/>
      <c r="P1027" s="4"/>
      <c r="Q1027" s="4"/>
      <c r="R1027" s="4"/>
      <c r="S1027" s="4"/>
      <c r="T1027" s="4"/>
      <c r="U1027" s="4"/>
      <c r="V1027" s="4" t="s">
        <v>1372</v>
      </c>
      <c r="W1027" s="4"/>
      <c r="X1027" s="4"/>
      <c r="Y1027" s="4"/>
      <c r="Z1027" s="4"/>
      <c r="AA1027" s="4"/>
      <c r="AB1027" s="4"/>
      <c r="AC1027" s="4"/>
      <c r="AD1027" s="4"/>
    </row>
    <row r="1028" spans="1:30" ht="15.75" thickBot="1" x14ac:dyDescent="0.3">
      <c r="A1028" s="3"/>
      <c r="B1028" s="4"/>
      <c r="C1028" s="4"/>
      <c r="D1028" s="31"/>
      <c r="E1028" s="4"/>
      <c r="F1028" s="5"/>
      <c r="G1028" s="5"/>
      <c r="H1028" s="4"/>
      <c r="I1028" s="5"/>
      <c r="J1028" s="4"/>
      <c r="K1028" s="5"/>
      <c r="L1028" s="4"/>
      <c r="M1028" s="4"/>
      <c r="N1028" s="4"/>
      <c r="O1028" s="6"/>
      <c r="P1028" s="4"/>
      <c r="Q1028" s="4"/>
      <c r="R1028" s="4"/>
      <c r="S1028" s="4"/>
      <c r="T1028" s="4"/>
      <c r="U1028" s="4"/>
      <c r="V1028" s="4" t="s">
        <v>1372</v>
      </c>
      <c r="W1028" s="4"/>
      <c r="X1028" s="4"/>
      <c r="Y1028" s="4"/>
      <c r="Z1028" s="4"/>
      <c r="AA1028" s="4"/>
      <c r="AB1028" s="4"/>
      <c r="AC1028" s="4"/>
      <c r="AD1028" s="4"/>
    </row>
    <row r="1029" spans="1:30" ht="15.75" thickBot="1" x14ac:dyDescent="0.3">
      <c r="A1029" s="3"/>
      <c r="B1029" s="4"/>
      <c r="C1029" s="4"/>
      <c r="D1029" s="31"/>
      <c r="E1029" s="4"/>
      <c r="F1029" s="5"/>
      <c r="G1029" s="5"/>
      <c r="H1029" s="4"/>
      <c r="I1029" s="5"/>
      <c r="J1029" s="4"/>
      <c r="K1029" s="5"/>
      <c r="L1029" s="4"/>
      <c r="M1029" s="4"/>
      <c r="N1029" s="4"/>
      <c r="O1029" s="6"/>
      <c r="P1029" s="4"/>
      <c r="Q1029" s="4"/>
      <c r="R1029" s="4"/>
      <c r="S1029" s="4"/>
      <c r="T1029" s="4"/>
      <c r="U1029" s="4"/>
      <c r="V1029" s="4" t="s">
        <v>1372</v>
      </c>
      <c r="W1029" s="4"/>
      <c r="X1029" s="4"/>
      <c r="Y1029" s="4"/>
      <c r="Z1029" s="4"/>
      <c r="AA1029" s="4"/>
      <c r="AB1029" s="4"/>
      <c r="AC1029" s="4"/>
      <c r="AD1029" s="4"/>
    </row>
    <row r="1030" spans="1:30" ht="15.75" thickBot="1" x14ac:dyDescent="0.3">
      <c r="A1030" s="3"/>
      <c r="B1030" s="4"/>
      <c r="C1030" s="4"/>
      <c r="D1030" s="31"/>
      <c r="E1030" s="4"/>
      <c r="F1030" s="5"/>
      <c r="G1030" s="5"/>
      <c r="H1030" s="4"/>
      <c r="I1030" s="5"/>
      <c r="J1030" s="4"/>
      <c r="K1030" s="5"/>
      <c r="L1030" s="4"/>
      <c r="M1030" s="4"/>
      <c r="N1030" s="4"/>
      <c r="O1030" s="6"/>
      <c r="P1030" s="4"/>
      <c r="Q1030" s="4"/>
      <c r="R1030" s="4"/>
      <c r="S1030" s="4"/>
      <c r="T1030" s="4"/>
      <c r="U1030" s="4"/>
      <c r="V1030" s="4" t="s">
        <v>1372</v>
      </c>
      <c r="W1030" s="4"/>
      <c r="X1030" s="4"/>
      <c r="Y1030" s="4"/>
      <c r="Z1030" s="4"/>
      <c r="AA1030" s="4"/>
      <c r="AB1030" s="4"/>
      <c r="AC1030" s="4"/>
      <c r="AD1030" s="4"/>
    </row>
    <row r="1031" spans="1:30" ht="15.75" thickBot="1" x14ac:dyDescent="0.3">
      <c r="A1031" s="3"/>
      <c r="B1031" s="4"/>
      <c r="C1031" s="4"/>
      <c r="D1031" s="31"/>
      <c r="E1031" s="4"/>
      <c r="F1031" s="5"/>
      <c r="G1031" s="5"/>
      <c r="H1031" s="4"/>
      <c r="I1031" s="5"/>
      <c r="J1031" s="4"/>
      <c r="K1031" s="5"/>
      <c r="L1031" s="4"/>
      <c r="M1031" s="4"/>
      <c r="N1031" s="4"/>
      <c r="O1031" s="6"/>
      <c r="P1031" s="4"/>
      <c r="Q1031" s="4"/>
      <c r="R1031" s="4"/>
      <c r="S1031" s="4"/>
      <c r="T1031" s="4"/>
      <c r="U1031" s="4"/>
      <c r="V1031" s="4" t="s">
        <v>1372</v>
      </c>
      <c r="W1031" s="4"/>
      <c r="X1031" s="4"/>
      <c r="Y1031" s="4"/>
      <c r="Z1031" s="4"/>
      <c r="AA1031" s="4"/>
      <c r="AB1031" s="4"/>
      <c r="AC1031" s="4"/>
      <c r="AD1031" s="4"/>
    </row>
    <row r="1032" spans="1:30" ht="15.75" thickBot="1" x14ac:dyDescent="0.3">
      <c r="A1032" s="3"/>
      <c r="B1032" s="4"/>
      <c r="C1032" s="4"/>
      <c r="D1032" s="31"/>
      <c r="E1032" s="4"/>
      <c r="F1032" s="5"/>
      <c r="G1032" s="5"/>
      <c r="H1032" s="4"/>
      <c r="I1032" s="5"/>
      <c r="J1032" s="4"/>
      <c r="K1032" s="5"/>
      <c r="L1032" s="4"/>
      <c r="M1032" s="4"/>
      <c r="N1032" s="4"/>
      <c r="O1032" s="6"/>
      <c r="P1032" s="4"/>
      <c r="Q1032" s="4"/>
      <c r="R1032" s="4"/>
      <c r="S1032" s="4"/>
      <c r="T1032" s="4"/>
      <c r="U1032" s="4"/>
      <c r="V1032" s="4" t="s">
        <v>1372</v>
      </c>
      <c r="W1032" s="4"/>
      <c r="X1032" s="4"/>
      <c r="Y1032" s="4"/>
      <c r="Z1032" s="4"/>
      <c r="AA1032" s="4"/>
      <c r="AB1032" s="4"/>
      <c r="AC1032" s="4"/>
      <c r="AD1032" s="4"/>
    </row>
    <row r="1033" spans="1:30" ht="15.75" thickBot="1" x14ac:dyDescent="0.3">
      <c r="A1033" s="3"/>
      <c r="B1033" s="4"/>
      <c r="C1033" s="4"/>
      <c r="D1033" s="31"/>
      <c r="E1033" s="4"/>
      <c r="F1033" s="5"/>
      <c r="G1033" s="5"/>
      <c r="H1033" s="4"/>
      <c r="I1033" s="5"/>
      <c r="J1033" s="4"/>
      <c r="K1033" s="5"/>
      <c r="L1033" s="4"/>
      <c r="M1033" s="4"/>
      <c r="N1033" s="4"/>
      <c r="O1033" s="6"/>
      <c r="P1033" s="4"/>
      <c r="Q1033" s="4"/>
      <c r="R1033" s="4"/>
      <c r="S1033" s="4"/>
      <c r="T1033" s="4"/>
      <c r="U1033" s="4"/>
      <c r="V1033" s="4" t="s">
        <v>1372</v>
      </c>
      <c r="W1033" s="4"/>
      <c r="X1033" s="4"/>
      <c r="Y1033" s="4"/>
      <c r="Z1033" s="4"/>
      <c r="AA1033" s="4"/>
      <c r="AB1033" s="4"/>
      <c r="AC1033" s="4"/>
      <c r="AD1033" s="4"/>
    </row>
    <row r="1034" spans="1:30" ht="15.75" thickBot="1" x14ac:dyDescent="0.3">
      <c r="A1034" s="3"/>
      <c r="B1034" s="4"/>
      <c r="C1034" s="4"/>
      <c r="D1034" s="31"/>
      <c r="E1034" s="4"/>
      <c r="F1034" s="5"/>
      <c r="G1034" s="5"/>
      <c r="H1034" s="4"/>
      <c r="I1034" s="5"/>
      <c r="J1034" s="4"/>
      <c r="K1034" s="5"/>
      <c r="L1034" s="4"/>
      <c r="M1034" s="4"/>
      <c r="N1034" s="4"/>
      <c r="O1034" s="6"/>
      <c r="P1034" s="4"/>
      <c r="Q1034" s="4"/>
      <c r="R1034" s="4"/>
      <c r="S1034" s="4"/>
      <c r="T1034" s="4"/>
      <c r="U1034" s="4"/>
      <c r="V1034" s="4" t="s">
        <v>1372</v>
      </c>
      <c r="W1034" s="4"/>
      <c r="X1034" s="4"/>
      <c r="Y1034" s="4"/>
      <c r="Z1034" s="4"/>
      <c r="AA1034" s="4"/>
      <c r="AB1034" s="4"/>
      <c r="AC1034" s="4"/>
      <c r="AD1034" s="4"/>
    </row>
    <row r="1035" spans="1:30" ht="15.75" thickBot="1" x14ac:dyDescent="0.3">
      <c r="A1035" s="3"/>
      <c r="B1035" s="4"/>
      <c r="C1035" s="4"/>
      <c r="D1035" s="31"/>
      <c r="E1035" s="4"/>
      <c r="F1035" s="5"/>
      <c r="G1035" s="5"/>
      <c r="H1035" s="4"/>
      <c r="I1035" s="5"/>
      <c r="J1035" s="4"/>
      <c r="K1035" s="5"/>
      <c r="L1035" s="4"/>
      <c r="M1035" s="4"/>
      <c r="N1035" s="4"/>
      <c r="O1035" s="6"/>
      <c r="P1035" s="4"/>
      <c r="Q1035" s="4"/>
      <c r="R1035" s="4"/>
      <c r="S1035" s="4"/>
      <c r="T1035" s="4"/>
      <c r="U1035" s="4"/>
      <c r="V1035" s="4" t="s">
        <v>1372</v>
      </c>
      <c r="W1035" s="4"/>
      <c r="X1035" s="4"/>
      <c r="Y1035" s="4"/>
      <c r="Z1035" s="4"/>
      <c r="AA1035" s="4"/>
      <c r="AB1035" s="4"/>
      <c r="AC1035" s="4"/>
      <c r="AD1035" s="4"/>
    </row>
    <row r="1036" spans="1:30" ht="15.75" thickBot="1" x14ac:dyDescent="0.3">
      <c r="A1036" s="3"/>
      <c r="B1036" s="4"/>
      <c r="C1036" s="4"/>
      <c r="D1036" s="31"/>
      <c r="E1036" s="4"/>
      <c r="F1036" s="5"/>
      <c r="G1036" s="5"/>
      <c r="H1036" s="4"/>
      <c r="I1036" s="5"/>
      <c r="J1036" s="4"/>
      <c r="K1036" s="5"/>
      <c r="L1036" s="4"/>
      <c r="M1036" s="4"/>
      <c r="N1036" s="4"/>
      <c r="O1036" s="6"/>
      <c r="P1036" s="4"/>
      <c r="Q1036" s="4"/>
      <c r="R1036" s="4"/>
      <c r="S1036" s="4"/>
      <c r="T1036" s="4"/>
      <c r="U1036" s="4"/>
      <c r="V1036" s="4" t="s">
        <v>1372</v>
      </c>
      <c r="W1036" s="4"/>
      <c r="X1036" s="4"/>
      <c r="Y1036" s="4"/>
      <c r="Z1036" s="4"/>
      <c r="AA1036" s="4"/>
      <c r="AB1036" s="4"/>
      <c r="AC1036" s="4"/>
      <c r="AD1036" s="4"/>
    </row>
    <row r="1037" spans="1:30" ht="15.75" thickBot="1" x14ac:dyDescent="0.3">
      <c r="A1037" s="3"/>
      <c r="B1037" s="4"/>
      <c r="C1037" s="4"/>
      <c r="D1037" s="31"/>
      <c r="E1037" s="4"/>
      <c r="F1037" s="5"/>
      <c r="G1037" s="5"/>
      <c r="H1037" s="4"/>
      <c r="I1037" s="5"/>
      <c r="J1037" s="4"/>
      <c r="K1037" s="5"/>
      <c r="L1037" s="4"/>
      <c r="M1037" s="4"/>
      <c r="N1037" s="4"/>
      <c r="O1037" s="6"/>
      <c r="P1037" s="4"/>
      <c r="Q1037" s="4"/>
      <c r="R1037" s="4"/>
      <c r="S1037" s="4"/>
      <c r="T1037" s="4"/>
      <c r="U1037" s="4"/>
      <c r="V1037" s="4" t="s">
        <v>1372</v>
      </c>
      <c r="W1037" s="4"/>
      <c r="X1037" s="4"/>
      <c r="Y1037" s="4"/>
      <c r="Z1037" s="4"/>
      <c r="AA1037" s="4"/>
      <c r="AB1037" s="4"/>
      <c r="AC1037" s="4"/>
      <c r="AD1037" s="4"/>
    </row>
    <row r="1038" spans="1:30" ht="15.75" thickBot="1" x14ac:dyDescent="0.3">
      <c r="A1038" s="3"/>
      <c r="B1038" s="4"/>
      <c r="C1038" s="4"/>
      <c r="D1038" s="31"/>
      <c r="E1038" s="4"/>
      <c r="F1038" s="5"/>
      <c r="G1038" s="5"/>
      <c r="H1038" s="4"/>
      <c r="I1038" s="5"/>
      <c r="J1038" s="4"/>
      <c r="K1038" s="5"/>
      <c r="L1038" s="4"/>
      <c r="M1038" s="4"/>
      <c r="N1038" s="4"/>
      <c r="O1038" s="6"/>
      <c r="P1038" s="4"/>
      <c r="Q1038" s="4"/>
      <c r="R1038" s="4"/>
      <c r="S1038" s="4"/>
      <c r="T1038" s="4"/>
      <c r="U1038" s="4"/>
      <c r="V1038" s="4" t="s">
        <v>1372</v>
      </c>
      <c r="W1038" s="4"/>
      <c r="X1038" s="4"/>
      <c r="Y1038" s="4"/>
      <c r="Z1038" s="4"/>
      <c r="AA1038" s="4"/>
      <c r="AB1038" s="4"/>
      <c r="AC1038" s="4"/>
      <c r="AD1038" s="4"/>
    </row>
    <row r="1039" spans="1:30" ht="15.75" thickBot="1" x14ac:dyDescent="0.3">
      <c r="A1039" s="3"/>
      <c r="B1039" s="4"/>
      <c r="C1039" s="4"/>
      <c r="D1039" s="31"/>
      <c r="E1039" s="4"/>
      <c r="F1039" s="5"/>
      <c r="G1039" s="5"/>
      <c r="H1039" s="4"/>
      <c r="I1039" s="5"/>
      <c r="J1039" s="4"/>
      <c r="K1039" s="5"/>
      <c r="L1039" s="4"/>
      <c r="M1039" s="4"/>
      <c r="N1039" s="4"/>
      <c r="O1039" s="6"/>
      <c r="P1039" s="4"/>
      <c r="Q1039" s="4"/>
      <c r="R1039" s="4"/>
      <c r="S1039" s="4"/>
      <c r="T1039" s="4"/>
      <c r="U1039" s="4"/>
      <c r="V1039" s="4" t="s">
        <v>1372</v>
      </c>
      <c r="W1039" s="4"/>
      <c r="X1039" s="4"/>
      <c r="Y1039" s="4"/>
      <c r="Z1039" s="4"/>
      <c r="AA1039" s="4"/>
      <c r="AB1039" s="4"/>
      <c r="AC1039" s="4"/>
      <c r="AD1039" s="4"/>
    </row>
    <row r="1040" spans="1:30" ht="15.75" thickBot="1" x14ac:dyDescent="0.3">
      <c r="A1040" s="3"/>
      <c r="B1040" s="4"/>
      <c r="C1040" s="4"/>
      <c r="D1040" s="31"/>
      <c r="E1040" s="4"/>
      <c r="F1040" s="5"/>
      <c r="G1040" s="5"/>
      <c r="H1040" s="4"/>
      <c r="I1040" s="5"/>
      <c r="J1040" s="4"/>
      <c r="K1040" s="5"/>
      <c r="L1040" s="4"/>
      <c r="M1040" s="4"/>
      <c r="N1040" s="4"/>
      <c r="O1040" s="6"/>
      <c r="P1040" s="4"/>
      <c r="Q1040" s="4"/>
      <c r="R1040" s="4"/>
      <c r="S1040" s="4"/>
      <c r="T1040" s="4"/>
      <c r="U1040" s="4"/>
      <c r="V1040" s="4" t="s">
        <v>1372</v>
      </c>
      <c r="W1040" s="4"/>
      <c r="X1040" s="4"/>
      <c r="Y1040" s="4"/>
      <c r="Z1040" s="4"/>
      <c r="AA1040" s="4"/>
      <c r="AB1040" s="4"/>
      <c r="AC1040" s="4"/>
      <c r="AD1040" s="4"/>
    </row>
    <row r="1041" spans="1:30" ht="15.75" thickBot="1" x14ac:dyDescent="0.3">
      <c r="A1041" s="3"/>
      <c r="B1041" s="4"/>
      <c r="C1041" s="4"/>
      <c r="D1041" s="31"/>
      <c r="E1041" s="4"/>
      <c r="F1041" s="5"/>
      <c r="G1041" s="5"/>
      <c r="H1041" s="4"/>
      <c r="I1041" s="5"/>
      <c r="J1041" s="4"/>
      <c r="K1041" s="5"/>
      <c r="L1041" s="4"/>
      <c r="M1041" s="4"/>
      <c r="N1041" s="4"/>
      <c r="O1041" s="6"/>
      <c r="P1041" s="4"/>
      <c r="Q1041" s="4"/>
      <c r="R1041" s="4"/>
      <c r="S1041" s="4"/>
      <c r="T1041" s="4"/>
      <c r="U1041" s="4"/>
      <c r="V1041" s="4" t="s">
        <v>1372</v>
      </c>
      <c r="W1041" s="4"/>
      <c r="X1041" s="4"/>
      <c r="Y1041" s="4"/>
      <c r="Z1041" s="4"/>
      <c r="AA1041" s="4"/>
      <c r="AB1041" s="4"/>
      <c r="AC1041" s="4"/>
      <c r="AD1041" s="4"/>
    </row>
    <row r="1042" spans="1:30" ht="15.75" thickBot="1" x14ac:dyDescent="0.3">
      <c r="A1042" s="3"/>
      <c r="B1042" s="4"/>
      <c r="C1042" s="4"/>
      <c r="D1042" s="31"/>
      <c r="E1042" s="4"/>
      <c r="F1042" s="5"/>
      <c r="G1042" s="5"/>
      <c r="H1042" s="4"/>
      <c r="I1042" s="5"/>
      <c r="J1042" s="4"/>
      <c r="K1042" s="5"/>
      <c r="L1042" s="4"/>
      <c r="M1042" s="4"/>
      <c r="N1042" s="4"/>
      <c r="O1042" s="6"/>
      <c r="P1042" s="4"/>
      <c r="Q1042" s="4"/>
      <c r="R1042" s="4"/>
      <c r="S1042" s="4"/>
      <c r="T1042" s="4"/>
      <c r="U1042" s="4"/>
      <c r="V1042" s="4" t="s">
        <v>1372</v>
      </c>
      <c r="W1042" s="4"/>
      <c r="X1042" s="4"/>
      <c r="Y1042" s="4"/>
      <c r="Z1042" s="4"/>
      <c r="AA1042" s="4"/>
      <c r="AB1042" s="4"/>
      <c r="AC1042" s="4"/>
      <c r="AD1042" s="4"/>
    </row>
    <row r="1043" spans="1:30" ht="15.75" thickBot="1" x14ac:dyDescent="0.3">
      <c r="A1043" s="3"/>
      <c r="B1043" s="4"/>
      <c r="C1043" s="4"/>
      <c r="D1043" s="31"/>
      <c r="E1043" s="4"/>
      <c r="F1043" s="5"/>
      <c r="G1043" s="5"/>
      <c r="H1043" s="4"/>
      <c r="I1043" s="5"/>
      <c r="J1043" s="4"/>
      <c r="K1043" s="5"/>
      <c r="L1043" s="4"/>
      <c r="M1043" s="4"/>
      <c r="N1043" s="4"/>
      <c r="O1043" s="6"/>
      <c r="P1043" s="4"/>
      <c r="Q1043" s="4"/>
      <c r="R1043" s="4"/>
      <c r="S1043" s="4"/>
      <c r="T1043" s="4"/>
      <c r="U1043" s="4"/>
      <c r="V1043" s="4" t="s">
        <v>1372</v>
      </c>
      <c r="W1043" s="4"/>
      <c r="X1043" s="4"/>
      <c r="Y1043" s="4"/>
      <c r="Z1043" s="4"/>
      <c r="AA1043" s="4"/>
      <c r="AB1043" s="4"/>
      <c r="AC1043" s="4"/>
      <c r="AD1043" s="4"/>
    </row>
    <row r="1044" spans="1:30" ht="15.75" thickBot="1" x14ac:dyDescent="0.3">
      <c r="A1044" s="3"/>
      <c r="B1044" s="4"/>
      <c r="C1044" s="4"/>
      <c r="D1044" s="31"/>
      <c r="E1044" s="4"/>
      <c r="F1044" s="5"/>
      <c r="G1044" s="5"/>
      <c r="H1044" s="4"/>
      <c r="I1044" s="5"/>
      <c r="J1044" s="4"/>
      <c r="K1044" s="5"/>
      <c r="L1044" s="4"/>
      <c r="M1044" s="4"/>
      <c r="N1044" s="4"/>
      <c r="O1044" s="6"/>
      <c r="P1044" s="4"/>
      <c r="Q1044" s="4"/>
      <c r="R1044" s="4"/>
      <c r="S1044" s="4"/>
      <c r="T1044" s="4"/>
      <c r="U1044" s="4"/>
      <c r="V1044" s="4" t="s">
        <v>1372</v>
      </c>
      <c r="W1044" s="4"/>
      <c r="X1044" s="4"/>
      <c r="Y1044" s="4"/>
      <c r="Z1044" s="4"/>
      <c r="AA1044" s="4"/>
      <c r="AB1044" s="4"/>
      <c r="AC1044" s="4"/>
      <c r="AD1044" s="4"/>
    </row>
    <row r="1045" spans="1:30" ht="15.75" thickBot="1" x14ac:dyDescent="0.3">
      <c r="A1045" s="3"/>
      <c r="B1045" s="4"/>
      <c r="C1045" s="4"/>
      <c r="D1045" s="31"/>
      <c r="E1045" s="4"/>
      <c r="F1045" s="5"/>
      <c r="G1045" s="5"/>
      <c r="H1045" s="4"/>
      <c r="I1045" s="5"/>
      <c r="J1045" s="4"/>
      <c r="K1045" s="5"/>
      <c r="L1045" s="4"/>
      <c r="M1045" s="4"/>
      <c r="N1045" s="4"/>
      <c r="O1045" s="6"/>
      <c r="P1045" s="4"/>
      <c r="Q1045" s="4"/>
      <c r="R1045" s="4"/>
      <c r="S1045" s="4"/>
      <c r="T1045" s="4"/>
      <c r="U1045" s="4"/>
      <c r="V1045" s="4" t="s">
        <v>1372</v>
      </c>
      <c r="W1045" s="4"/>
      <c r="X1045" s="4"/>
      <c r="Y1045" s="4"/>
      <c r="Z1045" s="4"/>
      <c r="AA1045" s="4"/>
      <c r="AB1045" s="4"/>
      <c r="AC1045" s="4"/>
      <c r="AD1045" s="4"/>
    </row>
    <row r="1046" spans="1:30" ht="15.75" thickBot="1" x14ac:dyDescent="0.3">
      <c r="A1046" s="3"/>
      <c r="B1046" s="4"/>
      <c r="C1046" s="4"/>
      <c r="D1046" s="31"/>
      <c r="E1046" s="4"/>
      <c r="F1046" s="5"/>
      <c r="G1046" s="5"/>
      <c r="H1046" s="4"/>
      <c r="I1046" s="5"/>
      <c r="J1046" s="4"/>
      <c r="K1046" s="5"/>
      <c r="L1046" s="4"/>
      <c r="M1046" s="4"/>
      <c r="N1046" s="4"/>
      <c r="O1046" s="6"/>
      <c r="P1046" s="4"/>
      <c r="Q1046" s="4"/>
      <c r="R1046" s="4"/>
      <c r="S1046" s="4"/>
      <c r="T1046" s="4"/>
      <c r="U1046" s="4"/>
      <c r="V1046" s="4" t="s">
        <v>1372</v>
      </c>
      <c r="W1046" s="4"/>
      <c r="X1046" s="4"/>
      <c r="Y1046" s="4"/>
      <c r="Z1046" s="4"/>
      <c r="AA1046" s="4"/>
      <c r="AB1046" s="4"/>
      <c r="AC1046" s="4"/>
      <c r="AD1046" s="4"/>
    </row>
    <row r="1047" spans="1:30" ht="15.75" thickBot="1" x14ac:dyDescent="0.3">
      <c r="A1047" s="3"/>
      <c r="B1047" s="4"/>
      <c r="C1047" s="4"/>
      <c r="D1047" s="31"/>
      <c r="E1047" s="4"/>
      <c r="F1047" s="5"/>
      <c r="G1047" s="5"/>
      <c r="H1047" s="4"/>
      <c r="I1047" s="5"/>
      <c r="J1047" s="4"/>
      <c r="K1047" s="5"/>
      <c r="L1047" s="4"/>
      <c r="M1047" s="4"/>
      <c r="N1047" s="4"/>
      <c r="O1047" s="6"/>
      <c r="P1047" s="4"/>
      <c r="Q1047" s="4"/>
      <c r="R1047" s="4"/>
      <c r="S1047" s="4"/>
      <c r="T1047" s="4"/>
      <c r="U1047" s="4"/>
      <c r="V1047" s="4" t="s">
        <v>1372</v>
      </c>
      <c r="W1047" s="4"/>
      <c r="X1047" s="4"/>
      <c r="Y1047" s="4"/>
      <c r="Z1047" s="4"/>
      <c r="AA1047" s="4"/>
      <c r="AB1047" s="4"/>
      <c r="AC1047" s="4"/>
      <c r="AD1047" s="4"/>
    </row>
    <row r="1048" spans="1:30" ht="15.75" thickBot="1" x14ac:dyDescent="0.3">
      <c r="A1048" s="3"/>
      <c r="B1048" s="4"/>
      <c r="C1048" s="4"/>
      <c r="D1048" s="31"/>
      <c r="E1048" s="4"/>
      <c r="F1048" s="5"/>
      <c r="G1048" s="5"/>
      <c r="H1048" s="4"/>
      <c r="I1048" s="5"/>
      <c r="J1048" s="4"/>
      <c r="K1048" s="5"/>
      <c r="L1048" s="4"/>
      <c r="M1048" s="4"/>
      <c r="N1048" s="4"/>
      <c r="O1048" s="6"/>
      <c r="P1048" s="4"/>
      <c r="Q1048" s="4"/>
      <c r="R1048" s="4"/>
      <c r="S1048" s="4"/>
      <c r="T1048" s="4"/>
      <c r="U1048" s="4"/>
      <c r="V1048" s="4" t="s">
        <v>1372</v>
      </c>
      <c r="W1048" s="4"/>
      <c r="X1048" s="4"/>
      <c r="Y1048" s="4"/>
      <c r="Z1048" s="4"/>
      <c r="AA1048" s="4"/>
      <c r="AB1048" s="4"/>
      <c r="AC1048" s="4"/>
      <c r="AD1048" s="4"/>
    </row>
    <row r="1049" spans="1:30" ht="15.75" thickBot="1" x14ac:dyDescent="0.3">
      <c r="A1049" s="3"/>
      <c r="B1049" s="4"/>
      <c r="C1049" s="4"/>
      <c r="D1049" s="31"/>
      <c r="E1049" s="4"/>
      <c r="F1049" s="5"/>
      <c r="G1049" s="5"/>
      <c r="H1049" s="4"/>
      <c r="I1049" s="5"/>
      <c r="J1049" s="4"/>
      <c r="K1049" s="5"/>
      <c r="L1049" s="4"/>
      <c r="M1049" s="4"/>
      <c r="N1049" s="4"/>
      <c r="O1049" s="6"/>
      <c r="P1049" s="4"/>
      <c r="Q1049" s="4"/>
      <c r="R1049" s="4"/>
      <c r="S1049" s="4"/>
      <c r="T1049" s="4"/>
      <c r="U1049" s="4"/>
      <c r="V1049" s="4" t="s">
        <v>1372</v>
      </c>
      <c r="W1049" s="4"/>
      <c r="X1049" s="4"/>
      <c r="Y1049" s="4"/>
      <c r="Z1049" s="4"/>
      <c r="AA1049" s="4"/>
      <c r="AB1049" s="4"/>
      <c r="AC1049" s="4"/>
      <c r="AD1049" s="4"/>
    </row>
    <row r="1050" spans="1:30" ht="15.75" thickBot="1" x14ac:dyDescent="0.3">
      <c r="A1050" s="3"/>
      <c r="B1050" s="4"/>
      <c r="C1050" s="4"/>
      <c r="D1050" s="31"/>
      <c r="E1050" s="4"/>
      <c r="F1050" s="5"/>
      <c r="G1050" s="5"/>
      <c r="H1050" s="4"/>
      <c r="I1050" s="5"/>
      <c r="J1050" s="4"/>
      <c r="K1050" s="5"/>
      <c r="L1050" s="4"/>
      <c r="M1050" s="4"/>
      <c r="N1050" s="4"/>
      <c r="O1050" s="6"/>
      <c r="P1050" s="4"/>
      <c r="Q1050" s="4"/>
      <c r="R1050" s="4"/>
      <c r="S1050" s="4"/>
      <c r="T1050" s="4"/>
      <c r="U1050" s="4"/>
      <c r="V1050" s="4" t="s">
        <v>1372</v>
      </c>
      <c r="W1050" s="4"/>
      <c r="X1050" s="4"/>
      <c r="Y1050" s="4"/>
      <c r="Z1050" s="4"/>
      <c r="AA1050" s="4"/>
      <c r="AB1050" s="4"/>
      <c r="AC1050" s="4"/>
      <c r="AD1050" s="4"/>
    </row>
    <row r="1051" spans="1:30" ht="15.75" thickBot="1" x14ac:dyDescent="0.3">
      <c r="A1051" s="3"/>
      <c r="B1051" s="4"/>
      <c r="C1051" s="4"/>
      <c r="D1051" s="31"/>
      <c r="E1051" s="4"/>
      <c r="F1051" s="5"/>
      <c r="G1051" s="5"/>
      <c r="H1051" s="4"/>
      <c r="I1051" s="5"/>
      <c r="J1051" s="4"/>
      <c r="K1051" s="5"/>
      <c r="L1051" s="4"/>
      <c r="M1051" s="4"/>
      <c r="N1051" s="4"/>
      <c r="O1051" s="6"/>
      <c r="P1051" s="4"/>
      <c r="Q1051" s="4"/>
      <c r="R1051" s="4"/>
      <c r="S1051" s="4"/>
      <c r="T1051" s="4"/>
      <c r="U1051" s="4"/>
      <c r="V1051" s="4" t="s">
        <v>1372</v>
      </c>
      <c r="W1051" s="4"/>
      <c r="X1051" s="4"/>
      <c r="Y1051" s="4"/>
      <c r="Z1051" s="4"/>
      <c r="AA1051" s="4"/>
      <c r="AB1051" s="4"/>
      <c r="AC1051" s="4"/>
      <c r="AD1051" s="4"/>
    </row>
    <row r="1052" spans="1:30" ht="15.75" thickBot="1" x14ac:dyDescent="0.3">
      <c r="A1052" s="3"/>
      <c r="B1052" s="4"/>
      <c r="C1052" s="4"/>
      <c r="D1052" s="31"/>
      <c r="E1052" s="4"/>
      <c r="F1052" s="5"/>
      <c r="G1052" s="5"/>
      <c r="H1052" s="4"/>
      <c r="I1052" s="5"/>
      <c r="J1052" s="4"/>
      <c r="K1052" s="5"/>
      <c r="L1052" s="4"/>
      <c r="M1052" s="4"/>
      <c r="N1052" s="4"/>
      <c r="O1052" s="6"/>
      <c r="P1052" s="4"/>
      <c r="Q1052" s="4"/>
      <c r="R1052" s="4"/>
      <c r="S1052" s="4"/>
      <c r="T1052" s="4"/>
      <c r="U1052" s="4"/>
      <c r="V1052" s="4" t="s">
        <v>1372</v>
      </c>
      <c r="W1052" s="4"/>
      <c r="X1052" s="4"/>
      <c r="Y1052" s="4"/>
      <c r="Z1052" s="4"/>
      <c r="AA1052" s="4"/>
      <c r="AB1052" s="4"/>
      <c r="AC1052" s="4"/>
      <c r="AD1052" s="4"/>
    </row>
    <row r="1053" spans="1:30" ht="15.75" thickBot="1" x14ac:dyDescent="0.3">
      <c r="A1053" s="3"/>
      <c r="B1053" s="4"/>
      <c r="C1053" s="4"/>
      <c r="D1053" s="31"/>
      <c r="E1053" s="4"/>
      <c r="F1053" s="5"/>
      <c r="G1053" s="5"/>
      <c r="H1053" s="4"/>
      <c r="I1053" s="5"/>
      <c r="J1053" s="4"/>
      <c r="K1053" s="5"/>
      <c r="L1053" s="4"/>
      <c r="M1053" s="4"/>
      <c r="N1053" s="4"/>
      <c r="O1053" s="6"/>
      <c r="P1053" s="4"/>
      <c r="Q1053" s="4"/>
      <c r="R1053" s="4"/>
      <c r="S1053" s="4"/>
      <c r="T1053" s="4"/>
      <c r="U1053" s="4"/>
      <c r="V1053" s="4" t="s">
        <v>1372</v>
      </c>
      <c r="W1053" s="4"/>
      <c r="X1053" s="4"/>
      <c r="Y1053" s="4"/>
      <c r="Z1053" s="4"/>
      <c r="AA1053" s="4"/>
      <c r="AB1053" s="4"/>
      <c r="AC1053" s="4"/>
      <c r="AD1053" s="4"/>
    </row>
    <row r="1054" spans="1:30" ht="15.75" thickBot="1" x14ac:dyDescent="0.3">
      <c r="A1054" s="3"/>
      <c r="B1054" s="4"/>
      <c r="C1054" s="4"/>
      <c r="D1054" s="31"/>
      <c r="E1054" s="4"/>
      <c r="F1054" s="5"/>
      <c r="G1054" s="5"/>
      <c r="H1054" s="4"/>
      <c r="I1054" s="5"/>
      <c r="J1054" s="4"/>
      <c r="K1054" s="5"/>
      <c r="L1054" s="4"/>
      <c r="M1054" s="4"/>
      <c r="N1054" s="4"/>
      <c r="O1054" s="6"/>
      <c r="P1054" s="4"/>
      <c r="Q1054" s="4"/>
      <c r="R1054" s="4"/>
      <c r="S1054" s="4"/>
      <c r="T1054" s="4"/>
      <c r="U1054" s="4"/>
      <c r="V1054" s="4" t="s">
        <v>1372</v>
      </c>
      <c r="W1054" s="4"/>
      <c r="X1054" s="4"/>
      <c r="Y1054" s="4"/>
      <c r="Z1054" s="4"/>
      <c r="AA1054" s="4"/>
      <c r="AB1054" s="4"/>
      <c r="AC1054" s="4"/>
      <c r="AD1054" s="4"/>
    </row>
    <row r="1055" spans="1:30" ht="15.75" thickBot="1" x14ac:dyDescent="0.3">
      <c r="A1055" s="3"/>
      <c r="B1055" s="4"/>
      <c r="C1055" s="4"/>
      <c r="D1055" s="31"/>
      <c r="E1055" s="4"/>
      <c r="F1055" s="5"/>
      <c r="G1055" s="5"/>
      <c r="H1055" s="4"/>
      <c r="I1055" s="5"/>
      <c r="J1055" s="4"/>
      <c r="K1055" s="5"/>
      <c r="L1055" s="4"/>
      <c r="M1055" s="4"/>
      <c r="N1055" s="4"/>
      <c r="O1055" s="6"/>
      <c r="P1055" s="4"/>
      <c r="Q1055" s="4"/>
      <c r="R1055" s="4"/>
      <c r="S1055" s="4"/>
      <c r="T1055" s="4"/>
      <c r="U1055" s="4"/>
      <c r="V1055" s="4" t="s">
        <v>1372</v>
      </c>
      <c r="W1055" s="4"/>
      <c r="X1055" s="4"/>
      <c r="Y1055" s="4"/>
      <c r="Z1055" s="4"/>
      <c r="AA1055" s="4"/>
      <c r="AB1055" s="4"/>
      <c r="AC1055" s="4"/>
      <c r="AD1055" s="4"/>
    </row>
    <row r="1056" spans="1:30" ht="15.75" thickBot="1" x14ac:dyDescent="0.3">
      <c r="A1056" s="3"/>
      <c r="B1056" s="4"/>
      <c r="C1056" s="4"/>
      <c r="D1056" s="31"/>
      <c r="E1056" s="4"/>
      <c r="F1056" s="5"/>
      <c r="G1056" s="5"/>
      <c r="H1056" s="4"/>
      <c r="I1056" s="5"/>
      <c r="J1056" s="4"/>
      <c r="K1056" s="5"/>
      <c r="L1056" s="4"/>
      <c r="M1056" s="4"/>
      <c r="N1056" s="4"/>
      <c r="O1056" s="6"/>
      <c r="P1056" s="4"/>
      <c r="Q1056" s="4"/>
      <c r="R1056" s="4"/>
      <c r="S1056" s="4"/>
      <c r="T1056" s="4"/>
      <c r="U1056" s="4"/>
      <c r="V1056" s="4" t="s">
        <v>1372</v>
      </c>
      <c r="W1056" s="4"/>
      <c r="X1056" s="4"/>
      <c r="Y1056" s="4"/>
      <c r="Z1056" s="4"/>
      <c r="AA1056" s="4"/>
      <c r="AB1056" s="4"/>
      <c r="AC1056" s="4"/>
      <c r="AD1056" s="4"/>
    </row>
    <row r="1057" spans="1:30" ht="15.75" thickBot="1" x14ac:dyDescent="0.3">
      <c r="A1057" s="3"/>
      <c r="B1057" s="4"/>
      <c r="C1057" s="4"/>
      <c r="D1057" s="31"/>
      <c r="E1057" s="4"/>
      <c r="F1057" s="5"/>
      <c r="G1057" s="5"/>
      <c r="H1057" s="4"/>
      <c r="I1057" s="5"/>
      <c r="J1057" s="4"/>
      <c r="K1057" s="5"/>
      <c r="L1057" s="4"/>
      <c r="M1057" s="4"/>
      <c r="N1057" s="4"/>
      <c r="O1057" s="6"/>
      <c r="P1057" s="4"/>
      <c r="Q1057" s="4"/>
      <c r="R1057" s="4"/>
      <c r="S1057" s="4"/>
      <c r="T1057" s="4"/>
      <c r="U1057" s="4"/>
      <c r="V1057" s="4" t="s">
        <v>1372</v>
      </c>
      <c r="W1057" s="4"/>
      <c r="X1057" s="4"/>
      <c r="Y1057" s="4"/>
      <c r="Z1057" s="4"/>
      <c r="AA1057" s="4"/>
      <c r="AB1057" s="4"/>
      <c r="AC1057" s="4"/>
      <c r="AD1057" s="4"/>
    </row>
    <row r="1058" spans="1:30" ht="15.75" thickBot="1" x14ac:dyDescent="0.3">
      <c r="A1058" s="3"/>
      <c r="B1058" s="4"/>
      <c r="C1058" s="4"/>
      <c r="D1058" s="31"/>
      <c r="E1058" s="4"/>
      <c r="F1058" s="5"/>
      <c r="G1058" s="5"/>
      <c r="H1058" s="4"/>
      <c r="I1058" s="5"/>
      <c r="J1058" s="4"/>
      <c r="K1058" s="5"/>
      <c r="L1058" s="4"/>
      <c r="M1058" s="4"/>
      <c r="N1058" s="4"/>
      <c r="O1058" s="6"/>
      <c r="P1058" s="4"/>
      <c r="Q1058" s="4"/>
      <c r="R1058" s="4"/>
      <c r="S1058" s="4"/>
      <c r="T1058" s="4"/>
      <c r="U1058" s="4"/>
      <c r="V1058" s="4" t="s">
        <v>1372</v>
      </c>
      <c r="W1058" s="4"/>
      <c r="X1058" s="4"/>
      <c r="Y1058" s="4"/>
      <c r="Z1058" s="4"/>
      <c r="AA1058" s="4"/>
      <c r="AB1058" s="4"/>
      <c r="AC1058" s="4"/>
      <c r="AD1058" s="4"/>
    </row>
    <row r="1059" spans="1:30" ht="15.75" thickBot="1" x14ac:dyDescent="0.3">
      <c r="A1059" s="3"/>
      <c r="B1059" s="4"/>
      <c r="C1059" s="4"/>
      <c r="D1059" s="31"/>
      <c r="E1059" s="4"/>
      <c r="F1059" s="5"/>
      <c r="G1059" s="5"/>
      <c r="H1059" s="4"/>
      <c r="I1059" s="5"/>
      <c r="J1059" s="4"/>
      <c r="K1059" s="5"/>
      <c r="L1059" s="4"/>
      <c r="M1059" s="4"/>
      <c r="N1059" s="4"/>
      <c r="O1059" s="6"/>
      <c r="P1059" s="4"/>
      <c r="Q1059" s="4"/>
      <c r="R1059" s="4"/>
      <c r="S1059" s="4"/>
      <c r="T1059" s="4"/>
      <c r="U1059" s="4"/>
      <c r="V1059" s="4" t="s">
        <v>1372</v>
      </c>
      <c r="W1059" s="4"/>
      <c r="X1059" s="4"/>
      <c r="Y1059" s="4"/>
      <c r="Z1059" s="4"/>
      <c r="AA1059" s="4"/>
      <c r="AB1059" s="4"/>
      <c r="AC1059" s="4"/>
      <c r="AD1059" s="4"/>
    </row>
    <row r="1060" spans="1:30" ht="15.75" thickBot="1" x14ac:dyDescent="0.3">
      <c r="A1060" s="3"/>
      <c r="B1060" s="4"/>
      <c r="C1060" s="4"/>
      <c r="D1060" s="31"/>
      <c r="E1060" s="4"/>
      <c r="F1060" s="5"/>
      <c r="G1060" s="5"/>
      <c r="H1060" s="4"/>
      <c r="I1060" s="5"/>
      <c r="J1060" s="4"/>
      <c r="K1060" s="5"/>
      <c r="L1060" s="4"/>
      <c r="M1060" s="4"/>
      <c r="N1060" s="4"/>
      <c r="O1060" s="6"/>
      <c r="P1060" s="4"/>
      <c r="Q1060" s="4"/>
      <c r="R1060" s="4"/>
      <c r="S1060" s="4"/>
      <c r="T1060" s="4"/>
      <c r="U1060" s="4"/>
      <c r="V1060" s="4" t="s">
        <v>1372</v>
      </c>
      <c r="W1060" s="4"/>
      <c r="X1060" s="4"/>
      <c r="Y1060" s="4"/>
      <c r="Z1060" s="4"/>
      <c r="AA1060" s="4"/>
      <c r="AB1060" s="4"/>
      <c r="AC1060" s="4"/>
      <c r="AD1060" s="4"/>
    </row>
    <row r="1061" spans="1:30" ht="15.75" thickBot="1" x14ac:dyDescent="0.3">
      <c r="A1061" s="3"/>
      <c r="B1061" s="4"/>
      <c r="C1061" s="4"/>
      <c r="D1061" s="31"/>
      <c r="E1061" s="4"/>
      <c r="F1061" s="5"/>
      <c r="G1061" s="5"/>
      <c r="H1061" s="4"/>
      <c r="I1061" s="5"/>
      <c r="J1061" s="4"/>
      <c r="K1061" s="5"/>
      <c r="L1061" s="4"/>
      <c r="M1061" s="4"/>
      <c r="N1061" s="4"/>
      <c r="O1061" s="6"/>
      <c r="P1061" s="4"/>
      <c r="Q1061" s="4"/>
      <c r="R1061" s="4"/>
      <c r="S1061" s="4"/>
      <c r="T1061" s="4"/>
      <c r="U1061" s="4"/>
      <c r="V1061" s="4" t="s">
        <v>1372</v>
      </c>
      <c r="W1061" s="4"/>
      <c r="X1061" s="4"/>
      <c r="Y1061" s="4"/>
      <c r="Z1061" s="4"/>
      <c r="AA1061" s="4"/>
      <c r="AB1061" s="4"/>
      <c r="AC1061" s="4"/>
      <c r="AD1061" s="4"/>
    </row>
    <row r="1062" spans="1:30" ht="15.75" thickBot="1" x14ac:dyDescent="0.3">
      <c r="A1062" s="3"/>
      <c r="B1062" s="4"/>
      <c r="C1062" s="4"/>
      <c r="D1062" s="31"/>
      <c r="E1062" s="4"/>
      <c r="F1062" s="5"/>
      <c r="G1062" s="5"/>
      <c r="H1062" s="4"/>
      <c r="I1062" s="5"/>
      <c r="J1062" s="4"/>
      <c r="K1062" s="5"/>
      <c r="L1062" s="4"/>
      <c r="M1062" s="4"/>
      <c r="N1062" s="4"/>
      <c r="O1062" s="6"/>
      <c r="P1062" s="4"/>
      <c r="Q1062" s="4"/>
      <c r="R1062" s="4"/>
      <c r="S1062" s="4"/>
      <c r="T1062" s="4"/>
      <c r="U1062" s="4"/>
      <c r="V1062" s="4" t="s">
        <v>1372</v>
      </c>
      <c r="W1062" s="4"/>
      <c r="X1062" s="4"/>
      <c r="Y1062" s="4"/>
      <c r="Z1062" s="4"/>
      <c r="AA1062" s="4"/>
      <c r="AB1062" s="4"/>
      <c r="AC1062" s="4"/>
      <c r="AD1062" s="4"/>
    </row>
    <row r="1063" spans="1:30" ht="15.75" thickBot="1" x14ac:dyDescent="0.3">
      <c r="A1063" s="3"/>
      <c r="B1063" s="4"/>
      <c r="C1063" s="4"/>
      <c r="D1063" s="31"/>
      <c r="E1063" s="4"/>
      <c r="F1063" s="5"/>
      <c r="G1063" s="5"/>
      <c r="H1063" s="4"/>
      <c r="I1063" s="5"/>
      <c r="J1063" s="4"/>
      <c r="K1063" s="5"/>
      <c r="L1063" s="4"/>
      <c r="M1063" s="4"/>
      <c r="N1063" s="4"/>
      <c r="O1063" s="6"/>
      <c r="P1063" s="4"/>
      <c r="Q1063" s="4"/>
      <c r="R1063" s="4"/>
      <c r="S1063" s="4"/>
      <c r="T1063" s="4"/>
      <c r="U1063" s="4"/>
      <c r="V1063" s="4" t="s">
        <v>1372</v>
      </c>
      <c r="W1063" s="4"/>
      <c r="X1063" s="4"/>
      <c r="Y1063" s="4"/>
      <c r="Z1063" s="4"/>
      <c r="AA1063" s="4"/>
      <c r="AB1063" s="4"/>
      <c r="AC1063" s="4"/>
      <c r="AD1063" s="4"/>
    </row>
    <row r="1064" spans="1:30" ht="15.75" thickBot="1" x14ac:dyDescent="0.3">
      <c r="A1064" s="3"/>
      <c r="B1064" s="4"/>
      <c r="C1064" s="4"/>
      <c r="D1064" s="31"/>
      <c r="E1064" s="4"/>
      <c r="F1064" s="5"/>
      <c r="G1064" s="5"/>
      <c r="H1064" s="4"/>
      <c r="I1064" s="5"/>
      <c r="J1064" s="4"/>
      <c r="K1064" s="5"/>
      <c r="L1064" s="4"/>
      <c r="M1064" s="4"/>
      <c r="N1064" s="4"/>
      <c r="O1064" s="6"/>
      <c r="P1064" s="4"/>
      <c r="Q1064" s="4"/>
      <c r="R1064" s="4"/>
      <c r="S1064" s="4"/>
      <c r="T1064" s="4"/>
      <c r="U1064" s="4"/>
      <c r="V1064" s="4" t="s">
        <v>1372</v>
      </c>
      <c r="W1064" s="4"/>
      <c r="X1064" s="4"/>
      <c r="Y1064" s="4"/>
      <c r="Z1064" s="4"/>
      <c r="AA1064" s="4"/>
      <c r="AB1064" s="4"/>
      <c r="AC1064" s="4"/>
      <c r="AD1064" s="4"/>
    </row>
    <row r="1065" spans="1:30" ht="15.75" thickBot="1" x14ac:dyDescent="0.3">
      <c r="A1065" s="3"/>
      <c r="B1065" s="4"/>
      <c r="C1065" s="4"/>
      <c r="D1065" s="31"/>
      <c r="E1065" s="4"/>
      <c r="F1065" s="5"/>
      <c r="G1065" s="5"/>
      <c r="H1065" s="4"/>
      <c r="I1065" s="5"/>
      <c r="J1065" s="4"/>
      <c r="K1065" s="5"/>
      <c r="L1065" s="4"/>
      <c r="M1065" s="4"/>
      <c r="N1065" s="4"/>
      <c r="O1065" s="6"/>
      <c r="P1065" s="4"/>
      <c r="Q1065" s="4"/>
      <c r="R1065" s="4"/>
      <c r="S1065" s="4"/>
      <c r="T1065" s="4"/>
      <c r="U1065" s="4"/>
      <c r="V1065" s="4" t="s">
        <v>1372</v>
      </c>
      <c r="W1065" s="4"/>
      <c r="X1065" s="4"/>
      <c r="Y1065" s="4"/>
      <c r="Z1065" s="4"/>
      <c r="AA1065" s="4"/>
      <c r="AB1065" s="4"/>
      <c r="AC1065" s="4"/>
      <c r="AD1065" s="4"/>
    </row>
    <row r="1066" spans="1:30" ht="15.75" thickBot="1" x14ac:dyDescent="0.3">
      <c r="A1066" s="3"/>
      <c r="B1066" s="4"/>
      <c r="C1066" s="4"/>
      <c r="D1066" s="31"/>
      <c r="E1066" s="4"/>
      <c r="F1066" s="5"/>
      <c r="G1066" s="5"/>
      <c r="H1066" s="4"/>
      <c r="I1066" s="5"/>
      <c r="J1066" s="4"/>
      <c r="K1066" s="5"/>
      <c r="L1066" s="4"/>
      <c r="M1066" s="4"/>
      <c r="N1066" s="4"/>
      <c r="O1066" s="6"/>
      <c r="P1066" s="4"/>
      <c r="Q1066" s="4"/>
      <c r="R1066" s="4"/>
      <c r="S1066" s="4"/>
      <c r="T1066" s="4"/>
      <c r="U1066" s="4"/>
      <c r="V1066" s="4" t="s">
        <v>1372</v>
      </c>
      <c r="W1066" s="4"/>
      <c r="X1066" s="4"/>
      <c r="Y1066" s="4"/>
      <c r="Z1066" s="4"/>
      <c r="AA1066" s="4"/>
      <c r="AB1066" s="4"/>
      <c r="AC1066" s="4"/>
      <c r="AD1066" s="4"/>
    </row>
    <row r="1067" spans="1:30" ht="15.75" thickBot="1" x14ac:dyDescent="0.3">
      <c r="A1067" s="3"/>
      <c r="B1067" s="4"/>
      <c r="C1067" s="4"/>
      <c r="D1067" s="31"/>
      <c r="E1067" s="4"/>
      <c r="F1067" s="5"/>
      <c r="G1067" s="5"/>
      <c r="H1067" s="4"/>
      <c r="I1067" s="5"/>
      <c r="J1067" s="4"/>
      <c r="K1067" s="5"/>
      <c r="L1067" s="4"/>
      <c r="M1067" s="4"/>
      <c r="N1067" s="4"/>
      <c r="O1067" s="6"/>
      <c r="P1067" s="4"/>
      <c r="Q1067" s="4"/>
      <c r="R1067" s="4"/>
      <c r="S1067" s="4"/>
      <c r="T1067" s="4"/>
      <c r="U1067" s="4"/>
      <c r="V1067" s="4" t="s">
        <v>1372</v>
      </c>
      <c r="W1067" s="4"/>
      <c r="X1067" s="4"/>
      <c r="Y1067" s="4"/>
      <c r="Z1067" s="4"/>
      <c r="AA1067" s="4"/>
      <c r="AB1067" s="4"/>
      <c r="AC1067" s="4"/>
      <c r="AD1067" s="4"/>
    </row>
    <row r="1068" spans="1:30" ht="15.75" thickBot="1" x14ac:dyDescent="0.3">
      <c r="A1068" s="3"/>
      <c r="B1068" s="4"/>
      <c r="C1068" s="4"/>
      <c r="D1068" s="31"/>
      <c r="E1068" s="4"/>
      <c r="F1068" s="5"/>
      <c r="G1068" s="5"/>
      <c r="H1068" s="4"/>
      <c r="I1068" s="5"/>
      <c r="J1068" s="4"/>
      <c r="K1068" s="5"/>
      <c r="L1068" s="4"/>
      <c r="M1068" s="4"/>
      <c r="N1068" s="4"/>
      <c r="O1068" s="6"/>
      <c r="P1068" s="4"/>
      <c r="Q1068" s="4"/>
      <c r="R1068" s="4"/>
      <c r="S1068" s="4"/>
      <c r="T1068" s="4"/>
      <c r="U1068" s="4"/>
      <c r="V1068" s="4"/>
      <c r="W1068" s="4" t="s">
        <v>1190</v>
      </c>
      <c r="X1068" s="4"/>
      <c r="Y1068" s="4"/>
      <c r="Z1068" s="4"/>
      <c r="AA1068" s="4"/>
      <c r="AB1068" s="4"/>
      <c r="AC1068" s="4"/>
      <c r="AD1068" s="4"/>
    </row>
    <row r="1069" spans="1:30" ht="15.75" thickBot="1" x14ac:dyDescent="0.3">
      <c r="A1069" s="3"/>
      <c r="B1069" s="4"/>
      <c r="C1069" s="4"/>
      <c r="D1069" s="31"/>
      <c r="E1069" s="4"/>
      <c r="F1069" s="5"/>
      <c r="G1069" s="5"/>
      <c r="H1069" s="4"/>
      <c r="I1069" s="5"/>
      <c r="J1069" s="4"/>
      <c r="K1069" s="5"/>
      <c r="L1069" s="4"/>
      <c r="M1069" s="4"/>
      <c r="N1069" s="4"/>
      <c r="O1069" s="6"/>
      <c r="P1069" s="4"/>
      <c r="Q1069" s="4"/>
      <c r="R1069" s="4"/>
      <c r="S1069" s="4"/>
      <c r="T1069" s="4"/>
      <c r="U1069" s="4"/>
      <c r="V1069" s="4" t="s">
        <v>1372</v>
      </c>
      <c r="W1069" s="4"/>
      <c r="X1069" s="4"/>
      <c r="Y1069" s="4"/>
      <c r="Z1069" s="4"/>
      <c r="AA1069" s="4"/>
      <c r="AB1069" s="4"/>
      <c r="AC1069" s="4"/>
      <c r="AD1069" s="4"/>
    </row>
    <row r="1070" spans="1:30" ht="15.75" thickBot="1" x14ac:dyDescent="0.3">
      <c r="A1070" s="3"/>
      <c r="B1070" s="4"/>
      <c r="C1070" s="4"/>
      <c r="D1070" s="31"/>
      <c r="E1070" s="4"/>
      <c r="F1070" s="5"/>
      <c r="G1070" s="5"/>
      <c r="H1070" s="4"/>
      <c r="I1070" s="5"/>
      <c r="J1070" s="4"/>
      <c r="K1070" s="5"/>
      <c r="L1070" s="4"/>
      <c r="M1070" s="4"/>
      <c r="N1070" s="4"/>
      <c r="O1070" s="6"/>
      <c r="P1070" s="4"/>
      <c r="Q1070" s="4"/>
      <c r="R1070" s="4"/>
      <c r="S1070" s="4"/>
      <c r="T1070" s="4"/>
      <c r="U1070" s="4"/>
      <c r="V1070" s="4" t="s">
        <v>1372</v>
      </c>
      <c r="W1070" s="4"/>
      <c r="X1070" s="4"/>
      <c r="Y1070" s="4"/>
      <c r="Z1070" s="4"/>
      <c r="AA1070" s="4"/>
      <c r="AB1070" s="4"/>
      <c r="AC1070" s="4"/>
      <c r="AD1070" s="4"/>
    </row>
    <row r="1071" spans="1:30" ht="15.75" thickBot="1" x14ac:dyDescent="0.3">
      <c r="A1071" s="12"/>
      <c r="B1071" s="12"/>
      <c r="C1071" s="12"/>
      <c r="D1071" s="3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</row>
    <row r="1072" spans="1:30" ht="15.75" thickBot="1" x14ac:dyDescent="0.3">
      <c r="A1072" s="12"/>
      <c r="B1072" s="12"/>
      <c r="C1072" s="12"/>
      <c r="D1072" s="3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</row>
    <row r="1073" spans="1:30" ht="15.75" thickBot="1" x14ac:dyDescent="0.3">
      <c r="A1073" s="12"/>
      <c r="B1073" s="12"/>
      <c r="C1073" s="12"/>
      <c r="D1073" s="3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</row>
    <row r="1074" spans="1:30" ht="15.75" thickBot="1" x14ac:dyDescent="0.3">
      <c r="A1074" s="12"/>
      <c r="B1074" s="12"/>
      <c r="C1074" s="12"/>
      <c r="D1074" s="3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</row>
    <row r="1075" spans="1:30" ht="15.75" thickBot="1" x14ac:dyDescent="0.3">
      <c r="A1075" s="12"/>
      <c r="B1075" s="12"/>
      <c r="C1075" s="12"/>
      <c r="D1075" s="3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</row>
    <row r="1076" spans="1:30" ht="15.75" thickBot="1" x14ac:dyDescent="0.3">
      <c r="A1076" s="12"/>
      <c r="B1076" s="12"/>
      <c r="C1076" s="12"/>
      <c r="D1076" s="3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</row>
    <row r="1077" spans="1:30" ht="15.75" thickBot="1" x14ac:dyDescent="0.3">
      <c r="A1077" s="12"/>
      <c r="B1077" s="12"/>
      <c r="C1077" s="12"/>
      <c r="D1077" s="3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</row>
    <row r="1078" spans="1:30" ht="15.75" thickBot="1" x14ac:dyDescent="0.3">
      <c r="A1078" s="12"/>
      <c r="B1078" s="12"/>
      <c r="C1078" s="12"/>
      <c r="D1078" s="3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</row>
    <row r="1079" spans="1:30" ht="15.75" thickBot="1" x14ac:dyDescent="0.3">
      <c r="A1079" s="12"/>
      <c r="B1079" s="12"/>
      <c r="C1079" s="12"/>
      <c r="D1079" s="3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</row>
    <row r="1080" spans="1:30" ht="15.75" thickBot="1" x14ac:dyDescent="0.3">
      <c r="A1080" s="12"/>
      <c r="B1080" s="12"/>
      <c r="C1080" s="12"/>
      <c r="D1080" s="3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</row>
    <row r="1081" spans="1:30" ht="15.75" thickBot="1" x14ac:dyDescent="0.3">
      <c r="A1081" s="12"/>
      <c r="B1081" s="12"/>
      <c r="C1081" s="12"/>
      <c r="D1081" s="3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</row>
    <row r="1082" spans="1:30" ht="15.75" thickBot="1" x14ac:dyDescent="0.3">
      <c r="A1082" s="12"/>
      <c r="B1082" s="12"/>
      <c r="C1082" s="12"/>
      <c r="D1082" s="3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</row>
    <row r="1083" spans="1:30" ht="15.75" thickBot="1" x14ac:dyDescent="0.3">
      <c r="A1083" s="12"/>
      <c r="B1083" s="12"/>
      <c r="C1083" s="12"/>
      <c r="D1083" s="3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</row>
    <row r="1084" spans="1:30" ht="15.75" thickBot="1" x14ac:dyDescent="0.3">
      <c r="A1084" s="12"/>
      <c r="B1084" s="12"/>
      <c r="C1084" s="12"/>
      <c r="D1084" s="3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</row>
    <row r="1085" spans="1:30" ht="15.75" thickBot="1" x14ac:dyDescent="0.3">
      <c r="A1085" s="12"/>
      <c r="B1085" s="12"/>
      <c r="C1085" s="12"/>
      <c r="D1085" s="3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</row>
    <row r="1086" spans="1:30" ht="15.75" thickBot="1" x14ac:dyDescent="0.3">
      <c r="A1086" s="12"/>
      <c r="B1086" s="12"/>
      <c r="C1086" s="12"/>
      <c r="D1086" s="3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</row>
    <row r="1087" spans="1:30" ht="15.75" thickBot="1" x14ac:dyDescent="0.3">
      <c r="A1087" s="12"/>
      <c r="B1087" s="12"/>
      <c r="C1087" s="12"/>
      <c r="D1087" s="3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</row>
    <row r="1088" spans="1:30" ht="15.75" thickBot="1" x14ac:dyDescent="0.3">
      <c r="A1088" s="12"/>
      <c r="B1088" s="12"/>
      <c r="C1088" s="12"/>
      <c r="D1088" s="3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</row>
    <row r="1089" spans="1:30" ht="15.75" thickBot="1" x14ac:dyDescent="0.3">
      <c r="A1089" s="12"/>
      <c r="B1089" s="12"/>
      <c r="C1089" s="12"/>
      <c r="D1089" s="3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</row>
    <row r="1090" spans="1:30" ht="15.75" thickBot="1" x14ac:dyDescent="0.3">
      <c r="A1090" s="12"/>
      <c r="B1090" s="12"/>
      <c r="C1090" s="12"/>
      <c r="D1090" s="3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</row>
    <row r="1091" spans="1:30" ht="15.75" thickBot="1" x14ac:dyDescent="0.3">
      <c r="A1091" s="12"/>
      <c r="B1091" s="12"/>
      <c r="C1091" s="12"/>
      <c r="D1091" s="3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</row>
    <row r="1092" spans="1:30" ht="15.75" thickBot="1" x14ac:dyDescent="0.3">
      <c r="A1092" s="12"/>
      <c r="B1092" s="12"/>
      <c r="C1092" s="12"/>
      <c r="D1092" s="3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</row>
    <row r="1093" spans="1:30" ht="15.75" thickBot="1" x14ac:dyDescent="0.3">
      <c r="A1093" s="12"/>
      <c r="B1093" s="12"/>
      <c r="C1093" s="12"/>
      <c r="D1093" s="3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</row>
    <row r="1094" spans="1:30" ht="15.75" thickBot="1" x14ac:dyDescent="0.3">
      <c r="A1094" s="12"/>
      <c r="B1094" s="12"/>
      <c r="C1094" s="12"/>
      <c r="D1094" s="3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</row>
    <row r="1095" spans="1:30" ht="15.75" thickBot="1" x14ac:dyDescent="0.3">
      <c r="A1095" s="12"/>
      <c r="B1095" s="12"/>
      <c r="C1095" s="12"/>
      <c r="D1095" s="3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</row>
    <row r="1096" spans="1:30" ht="15.75" thickBot="1" x14ac:dyDescent="0.3">
      <c r="A1096" s="12"/>
      <c r="B1096" s="12"/>
      <c r="C1096" s="12"/>
      <c r="D1096" s="3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</row>
    <row r="1097" spans="1:30" ht="15.75" thickBot="1" x14ac:dyDescent="0.3">
      <c r="A1097" s="12"/>
      <c r="B1097" s="12"/>
      <c r="C1097" s="12"/>
      <c r="D1097" s="3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</row>
    <row r="1098" spans="1:30" ht="15.75" thickBot="1" x14ac:dyDescent="0.3">
      <c r="A1098" s="12"/>
      <c r="B1098" s="12"/>
      <c r="C1098" s="12"/>
      <c r="D1098" s="3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</row>
    <row r="1099" spans="1:30" ht="15.75" thickBot="1" x14ac:dyDescent="0.3">
      <c r="A1099" s="12"/>
      <c r="B1099" s="12"/>
      <c r="C1099" s="12"/>
      <c r="D1099" s="3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</row>
    <row r="1100" spans="1:30" ht="15.75" thickBot="1" x14ac:dyDescent="0.3">
      <c r="A1100" s="12"/>
      <c r="B1100" s="12"/>
      <c r="C1100" s="12"/>
      <c r="D1100" s="3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</row>
    <row r="1101" spans="1:30" ht="15.75" thickBot="1" x14ac:dyDescent="0.3">
      <c r="A1101" s="12"/>
      <c r="B1101" s="12"/>
      <c r="C1101" s="12"/>
      <c r="D1101" s="3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</row>
    <row r="1102" spans="1:30" ht="15.75" thickBot="1" x14ac:dyDescent="0.3">
      <c r="A1102" s="12"/>
      <c r="B1102" s="12"/>
      <c r="C1102" s="12"/>
      <c r="D1102" s="3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</row>
    <row r="1103" spans="1:30" ht="15.75" thickBot="1" x14ac:dyDescent="0.3">
      <c r="A1103" s="12"/>
      <c r="B1103" s="12"/>
      <c r="C1103" s="12"/>
      <c r="D1103" s="3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</row>
    <row r="1104" spans="1:30" ht="15.75" thickBot="1" x14ac:dyDescent="0.3">
      <c r="A1104" s="12"/>
      <c r="B1104" s="12"/>
      <c r="C1104" s="12"/>
      <c r="D1104" s="3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</row>
    <row r="1105" spans="1:30" ht="15.75" thickBot="1" x14ac:dyDescent="0.3">
      <c r="A1105" s="12"/>
      <c r="B1105" s="12"/>
      <c r="C1105" s="12"/>
      <c r="D1105" s="3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</row>
    <row r="1106" spans="1:30" ht="15.75" thickBot="1" x14ac:dyDescent="0.3">
      <c r="A1106" s="12"/>
      <c r="B1106" s="12"/>
      <c r="C1106" s="12"/>
      <c r="D1106" s="3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</row>
    <row r="1107" spans="1:30" ht="15.75" thickBot="1" x14ac:dyDescent="0.3">
      <c r="A1107" s="12"/>
      <c r="B1107" s="12"/>
      <c r="C1107" s="12"/>
      <c r="D1107" s="3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</row>
    <row r="1108" spans="1:30" ht="15.75" thickBot="1" x14ac:dyDescent="0.3">
      <c r="A1108" s="12"/>
      <c r="B1108" s="12"/>
      <c r="C1108" s="12"/>
      <c r="D1108" s="3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</row>
    <row r="1109" spans="1:30" ht="15.75" thickBot="1" x14ac:dyDescent="0.3">
      <c r="A1109" s="12"/>
      <c r="B1109" s="12"/>
      <c r="C1109" s="12"/>
      <c r="D1109" s="3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</row>
    <row r="1110" spans="1:30" ht="15.75" thickBot="1" x14ac:dyDescent="0.3">
      <c r="A1110" s="12"/>
      <c r="B1110" s="12"/>
      <c r="C1110" s="12"/>
      <c r="D1110" s="3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</row>
    <row r="1111" spans="1:30" ht="15.75" thickBot="1" x14ac:dyDescent="0.3">
      <c r="A1111" s="12"/>
      <c r="B1111" s="12"/>
      <c r="C1111" s="12"/>
      <c r="D1111" s="3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</row>
    <row r="1112" spans="1:30" ht="15.75" thickBot="1" x14ac:dyDescent="0.3">
      <c r="A1112" s="12"/>
      <c r="B1112" s="12"/>
      <c r="C1112" s="12"/>
      <c r="D1112" s="3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</row>
    <row r="1113" spans="1:30" ht="15.75" thickBot="1" x14ac:dyDescent="0.3">
      <c r="A1113" s="12"/>
      <c r="B1113" s="12"/>
      <c r="C1113" s="12"/>
      <c r="D1113" s="3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</row>
    <row r="1114" spans="1:30" ht="15.75" thickBot="1" x14ac:dyDescent="0.3">
      <c r="A1114" s="12"/>
      <c r="B1114" s="12"/>
      <c r="C1114" s="12"/>
      <c r="D1114" s="3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</row>
    <row r="1115" spans="1:30" ht="15.75" thickBot="1" x14ac:dyDescent="0.3">
      <c r="A1115" s="12"/>
      <c r="B1115" s="12"/>
      <c r="C1115" s="12"/>
      <c r="D1115" s="3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</row>
    <row r="1116" spans="1:30" ht="15.75" thickBot="1" x14ac:dyDescent="0.3">
      <c r="A1116" s="12"/>
      <c r="B1116" s="12"/>
      <c r="C1116" s="12"/>
      <c r="D1116" s="3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</row>
    <row r="1117" spans="1:30" ht="15.75" thickBot="1" x14ac:dyDescent="0.3">
      <c r="A1117" s="12"/>
      <c r="B1117" s="12"/>
      <c r="C1117" s="12"/>
      <c r="D1117" s="3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</row>
    <row r="1118" spans="1:30" ht="15.75" thickBot="1" x14ac:dyDescent="0.3">
      <c r="A1118" s="12"/>
      <c r="B1118" s="12"/>
      <c r="C1118" s="12"/>
      <c r="D1118" s="3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</row>
    <row r="1119" spans="1:30" ht="15.75" thickBot="1" x14ac:dyDescent="0.3">
      <c r="A1119" s="12"/>
      <c r="B1119" s="12"/>
      <c r="C1119" s="12"/>
      <c r="D1119" s="3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</row>
    <row r="1120" spans="1:30" ht="15.75" thickBot="1" x14ac:dyDescent="0.3">
      <c r="A1120" s="12"/>
      <c r="B1120" s="12"/>
      <c r="C1120" s="12"/>
      <c r="D1120" s="3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</row>
    <row r="1121" spans="1:30" ht="15.75" thickBot="1" x14ac:dyDescent="0.3">
      <c r="A1121" s="12"/>
      <c r="B1121" s="12"/>
      <c r="C1121" s="12"/>
      <c r="D1121" s="3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</row>
    <row r="1122" spans="1:30" ht="15.75" thickBot="1" x14ac:dyDescent="0.3">
      <c r="A1122" s="12"/>
      <c r="B1122" s="12"/>
      <c r="C1122" s="12"/>
      <c r="D1122" s="3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</row>
    <row r="1123" spans="1:30" ht="15.75" thickBot="1" x14ac:dyDescent="0.3">
      <c r="A1123" s="12"/>
      <c r="B1123" s="12"/>
      <c r="C1123" s="12"/>
      <c r="D1123" s="3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</row>
    <row r="1124" spans="1:30" ht="15.75" thickBot="1" x14ac:dyDescent="0.3">
      <c r="A1124" s="12"/>
      <c r="B1124" s="12"/>
      <c r="C1124" s="12"/>
      <c r="D1124" s="3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</row>
    <row r="1125" spans="1:30" ht="15.75" thickBot="1" x14ac:dyDescent="0.3">
      <c r="A1125" s="12"/>
      <c r="B1125" s="12"/>
      <c r="C1125" s="12"/>
      <c r="D1125" s="3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</row>
    <row r="1126" spans="1:30" ht="15.75" thickBot="1" x14ac:dyDescent="0.3">
      <c r="A1126" s="12"/>
      <c r="B1126" s="12"/>
      <c r="C1126" s="12"/>
      <c r="D1126" s="3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</row>
    <row r="1127" spans="1:30" ht="15.75" thickBot="1" x14ac:dyDescent="0.3">
      <c r="A1127" s="12"/>
      <c r="B1127" s="12"/>
      <c r="C1127" s="12"/>
      <c r="D1127" s="3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</row>
    <row r="1128" spans="1:30" ht="15.75" thickBot="1" x14ac:dyDescent="0.3">
      <c r="A1128" s="12"/>
      <c r="B1128" s="12"/>
      <c r="C1128" s="12"/>
      <c r="D1128" s="3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</row>
    <row r="1129" spans="1:30" ht="15.75" thickBot="1" x14ac:dyDescent="0.3">
      <c r="A1129" s="12"/>
      <c r="B1129" s="12"/>
      <c r="C1129" s="12"/>
      <c r="D1129" s="3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</row>
    <row r="1130" spans="1:30" ht="15.75" thickBot="1" x14ac:dyDescent="0.3">
      <c r="A1130" s="12"/>
      <c r="B1130" s="12"/>
      <c r="C1130" s="12"/>
      <c r="D1130" s="3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</row>
    <row r="1131" spans="1:30" ht="15.75" thickBot="1" x14ac:dyDescent="0.3">
      <c r="A1131" s="12"/>
      <c r="B1131" s="12"/>
      <c r="C1131" s="12"/>
      <c r="D1131" s="3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</row>
    <row r="1132" spans="1:30" ht="15.75" thickBot="1" x14ac:dyDescent="0.3">
      <c r="A1132" s="12"/>
      <c r="B1132" s="12"/>
      <c r="C1132" s="12"/>
      <c r="D1132" s="3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</row>
    <row r="1133" spans="1:30" ht="15.75" thickBot="1" x14ac:dyDescent="0.3">
      <c r="A1133" s="12"/>
      <c r="B1133" s="12"/>
      <c r="C1133" s="12"/>
      <c r="D1133" s="3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</row>
    <row r="1134" spans="1:30" ht="15.75" thickBot="1" x14ac:dyDescent="0.3">
      <c r="A1134" s="12"/>
      <c r="B1134" s="12"/>
      <c r="C1134" s="12"/>
      <c r="D1134" s="3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</row>
    <row r="1135" spans="1:30" ht="15.75" thickBot="1" x14ac:dyDescent="0.3">
      <c r="A1135" s="12"/>
      <c r="B1135" s="12"/>
      <c r="C1135" s="12"/>
      <c r="D1135" s="3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</row>
    <row r="1136" spans="1:30" ht="15.75" thickBot="1" x14ac:dyDescent="0.3">
      <c r="A1136" s="12"/>
      <c r="B1136" s="12"/>
      <c r="C1136" s="12"/>
      <c r="D1136" s="3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</row>
    <row r="1137" spans="1:30" ht="15.75" thickBot="1" x14ac:dyDescent="0.3">
      <c r="A1137" s="12"/>
      <c r="B1137" s="12"/>
      <c r="C1137" s="12"/>
      <c r="D1137" s="3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</row>
    <row r="1138" spans="1:30" ht="15.75" thickBot="1" x14ac:dyDescent="0.3">
      <c r="A1138" s="12"/>
      <c r="B1138" s="12"/>
      <c r="C1138" s="12"/>
      <c r="D1138" s="3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</row>
    <row r="1139" spans="1:30" ht="15.75" thickBot="1" x14ac:dyDescent="0.3">
      <c r="A1139" s="12"/>
      <c r="B1139" s="12"/>
      <c r="C1139" s="12"/>
      <c r="D1139" s="3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</row>
    <row r="1140" spans="1:30" ht="15.75" thickBot="1" x14ac:dyDescent="0.3">
      <c r="A1140" s="12"/>
      <c r="B1140" s="12"/>
      <c r="C1140" s="12"/>
      <c r="D1140" s="3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</row>
    <row r="1141" spans="1:30" ht="15.75" thickBot="1" x14ac:dyDescent="0.3">
      <c r="A1141" s="12"/>
      <c r="B1141" s="12"/>
      <c r="C1141" s="12"/>
      <c r="D1141" s="3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</row>
    <row r="1142" spans="1:30" ht="15.75" thickBot="1" x14ac:dyDescent="0.3">
      <c r="A1142" s="12"/>
      <c r="B1142" s="12"/>
      <c r="C1142" s="12"/>
      <c r="D1142" s="3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</row>
    <row r="1143" spans="1:30" ht="15.75" thickBot="1" x14ac:dyDescent="0.3">
      <c r="A1143" s="12"/>
      <c r="B1143" s="12"/>
      <c r="C1143" s="12"/>
      <c r="D1143" s="3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</row>
    <row r="1144" spans="1:30" ht="15.75" thickBot="1" x14ac:dyDescent="0.3">
      <c r="A1144" s="12"/>
      <c r="B1144" s="12"/>
      <c r="C1144" s="12"/>
      <c r="D1144" s="3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</row>
    <row r="1145" spans="1:30" ht="15.75" thickBot="1" x14ac:dyDescent="0.3">
      <c r="A1145" s="12"/>
      <c r="B1145" s="12"/>
      <c r="C1145" s="12"/>
      <c r="D1145" s="3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</row>
    <row r="1146" spans="1:30" ht="15.75" thickBot="1" x14ac:dyDescent="0.3">
      <c r="A1146" s="12"/>
      <c r="B1146" s="12"/>
      <c r="C1146" s="12"/>
      <c r="D1146" s="3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</row>
    <row r="1147" spans="1:30" ht="15.75" thickBot="1" x14ac:dyDescent="0.3">
      <c r="A1147" s="12"/>
      <c r="B1147" s="12"/>
      <c r="C1147" s="12"/>
      <c r="D1147" s="3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</row>
    <row r="1148" spans="1:30" ht="15.75" thickBot="1" x14ac:dyDescent="0.3">
      <c r="A1148" s="12"/>
      <c r="B1148" s="12"/>
      <c r="C1148" s="12"/>
      <c r="D1148" s="3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</row>
    <row r="1149" spans="1:30" ht="15.75" thickBot="1" x14ac:dyDescent="0.3">
      <c r="A1149" s="12"/>
      <c r="B1149" s="12"/>
      <c r="C1149" s="12"/>
      <c r="D1149" s="3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</row>
    <row r="1150" spans="1:30" ht="15.75" thickBot="1" x14ac:dyDescent="0.3">
      <c r="A1150" s="12"/>
      <c r="B1150" s="12"/>
      <c r="C1150" s="12"/>
      <c r="D1150" s="3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</row>
    <row r="1151" spans="1:30" ht="15.75" thickBot="1" x14ac:dyDescent="0.3">
      <c r="A1151" s="12"/>
      <c r="B1151" s="12"/>
      <c r="C1151" s="12"/>
      <c r="D1151" s="3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</row>
    <row r="1152" spans="1:30" ht="15.75" thickBot="1" x14ac:dyDescent="0.3">
      <c r="A1152" s="12"/>
      <c r="B1152" s="12"/>
      <c r="C1152" s="12"/>
      <c r="D1152" s="3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</row>
    <row r="1153" spans="1:30" ht="15.75" thickBot="1" x14ac:dyDescent="0.3">
      <c r="A1153" s="12"/>
      <c r="B1153" s="12"/>
      <c r="C1153" s="12"/>
      <c r="D1153" s="3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</row>
    <row r="1154" spans="1:30" ht="15.75" thickBot="1" x14ac:dyDescent="0.3">
      <c r="A1154" s="12"/>
      <c r="B1154" s="12"/>
      <c r="C1154" s="12"/>
      <c r="D1154" s="3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</row>
    <row r="1155" spans="1:30" ht="15.75" thickBot="1" x14ac:dyDescent="0.3">
      <c r="A1155" s="12"/>
      <c r="B1155" s="12"/>
      <c r="C1155" s="12"/>
      <c r="D1155" s="3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</row>
    <row r="1156" spans="1:30" ht="15.75" thickBot="1" x14ac:dyDescent="0.3">
      <c r="A1156" s="12"/>
      <c r="B1156" s="12"/>
      <c r="C1156" s="12"/>
      <c r="D1156" s="3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</row>
    <row r="1157" spans="1:30" ht="15.75" thickBot="1" x14ac:dyDescent="0.3">
      <c r="A1157" s="12"/>
      <c r="B1157" s="12"/>
      <c r="C1157" s="12"/>
      <c r="D1157" s="3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</row>
    <row r="1158" spans="1:30" ht="15.75" thickBot="1" x14ac:dyDescent="0.3">
      <c r="A1158" s="12"/>
      <c r="B1158" s="12"/>
      <c r="C1158" s="12"/>
      <c r="D1158" s="3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</row>
    <row r="1159" spans="1:30" ht="15.75" thickBot="1" x14ac:dyDescent="0.3">
      <c r="A1159" s="12"/>
      <c r="B1159" s="12"/>
      <c r="C1159" s="12"/>
      <c r="D1159" s="3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</row>
    <row r="1160" spans="1:30" ht="15.75" thickBot="1" x14ac:dyDescent="0.3">
      <c r="A1160" s="12"/>
      <c r="B1160" s="12"/>
      <c r="C1160" s="12"/>
      <c r="D1160" s="3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</row>
    <row r="1161" spans="1:30" ht="15.75" thickBot="1" x14ac:dyDescent="0.3">
      <c r="A1161" s="12"/>
      <c r="B1161" s="12"/>
      <c r="C1161" s="12"/>
      <c r="D1161" s="3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</row>
    <row r="1162" spans="1:30" ht="15.75" thickBot="1" x14ac:dyDescent="0.3">
      <c r="A1162" s="12"/>
      <c r="B1162" s="12"/>
      <c r="C1162" s="12"/>
      <c r="D1162" s="3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</row>
    <row r="1163" spans="1:30" ht="15.75" thickBot="1" x14ac:dyDescent="0.3">
      <c r="A1163" s="12"/>
      <c r="B1163" s="12"/>
      <c r="C1163" s="12"/>
      <c r="D1163" s="3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</row>
    <row r="1164" spans="1:30" ht="15.75" thickBot="1" x14ac:dyDescent="0.3">
      <c r="A1164" s="12"/>
      <c r="B1164" s="12"/>
      <c r="C1164" s="12"/>
      <c r="D1164" s="3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</row>
    <row r="1165" spans="1:30" ht="15.75" thickBot="1" x14ac:dyDescent="0.3">
      <c r="A1165" s="12"/>
      <c r="B1165" s="12"/>
      <c r="C1165" s="12"/>
      <c r="D1165" s="3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</row>
    <row r="1166" spans="1:30" ht="15.75" thickBot="1" x14ac:dyDescent="0.3">
      <c r="A1166" s="12"/>
      <c r="B1166" s="12"/>
      <c r="C1166" s="12"/>
      <c r="D1166" s="3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</row>
    <row r="1167" spans="1:30" ht="15.75" thickBot="1" x14ac:dyDescent="0.3">
      <c r="A1167" s="12"/>
      <c r="B1167" s="12"/>
      <c r="C1167" s="12"/>
      <c r="D1167" s="3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</row>
    <row r="1168" spans="1:30" ht="15.75" thickBot="1" x14ac:dyDescent="0.3">
      <c r="A1168" s="12"/>
      <c r="B1168" s="12"/>
      <c r="C1168" s="12"/>
      <c r="D1168" s="3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</row>
    <row r="1169" spans="1:30" ht="15.75" thickBot="1" x14ac:dyDescent="0.3">
      <c r="A1169" s="12"/>
      <c r="B1169" s="12"/>
      <c r="C1169" s="12"/>
      <c r="D1169" s="3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</row>
    <row r="1170" spans="1:30" ht="15.75" thickBot="1" x14ac:dyDescent="0.3">
      <c r="A1170" s="12"/>
      <c r="B1170" s="12"/>
      <c r="C1170" s="12"/>
      <c r="D1170" s="3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</row>
    <row r="1171" spans="1:30" ht="15.75" thickBot="1" x14ac:dyDescent="0.3">
      <c r="A1171" s="12"/>
      <c r="B1171" s="12"/>
      <c r="C1171" s="12"/>
      <c r="D1171" s="3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</row>
    <row r="1172" spans="1:30" ht="15.75" thickBot="1" x14ac:dyDescent="0.3">
      <c r="A1172" s="12"/>
      <c r="B1172" s="12"/>
      <c r="C1172" s="12"/>
      <c r="D1172" s="3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</row>
    <row r="1173" spans="1:30" ht="15.75" thickBot="1" x14ac:dyDescent="0.3">
      <c r="A1173" s="12"/>
      <c r="B1173" s="12"/>
      <c r="C1173" s="12"/>
      <c r="D1173" s="3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</row>
    <row r="1174" spans="1:30" ht="15.75" thickBot="1" x14ac:dyDescent="0.3">
      <c r="A1174" s="12"/>
      <c r="B1174" s="12"/>
      <c r="C1174" s="12"/>
      <c r="D1174" s="3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</row>
    <row r="1175" spans="1:30" ht="15.75" thickBot="1" x14ac:dyDescent="0.3">
      <c r="A1175" s="12"/>
      <c r="B1175" s="12"/>
      <c r="C1175" s="12"/>
      <c r="D1175" s="3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</row>
    <row r="1176" spans="1:30" ht="15.75" thickBot="1" x14ac:dyDescent="0.3">
      <c r="A1176" s="12"/>
      <c r="B1176" s="12"/>
      <c r="C1176" s="12"/>
      <c r="D1176" s="3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</row>
    <row r="1177" spans="1:30" ht="15.75" thickBot="1" x14ac:dyDescent="0.3">
      <c r="A1177" s="12"/>
      <c r="B1177" s="12"/>
      <c r="C1177" s="12"/>
      <c r="D1177" s="3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</row>
    <row r="1178" spans="1:30" ht="15.75" thickBot="1" x14ac:dyDescent="0.3">
      <c r="A1178" s="12"/>
      <c r="B1178" s="12"/>
      <c r="C1178" s="12"/>
      <c r="D1178" s="3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</row>
    <row r="1179" spans="1:30" ht="15.75" thickBot="1" x14ac:dyDescent="0.3">
      <c r="A1179" s="12"/>
      <c r="B1179" s="12"/>
      <c r="C1179" s="12"/>
      <c r="D1179" s="3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</row>
    <row r="1180" spans="1:30" ht="15.75" thickBot="1" x14ac:dyDescent="0.3">
      <c r="A1180" s="12"/>
      <c r="B1180" s="12"/>
      <c r="C1180" s="12"/>
      <c r="D1180" s="3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</row>
    <row r="1181" spans="1:30" ht="15.75" thickBot="1" x14ac:dyDescent="0.3">
      <c r="A1181" s="12"/>
      <c r="B1181" s="12"/>
      <c r="C1181" s="12"/>
      <c r="D1181" s="3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</row>
    <row r="1182" spans="1:30" ht="15.75" thickBot="1" x14ac:dyDescent="0.3">
      <c r="A1182" s="12"/>
      <c r="B1182" s="12"/>
      <c r="C1182" s="12"/>
      <c r="D1182" s="3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</row>
    <row r="1183" spans="1:30" ht="15.75" thickBot="1" x14ac:dyDescent="0.3">
      <c r="A1183" s="12"/>
      <c r="B1183" s="12"/>
      <c r="C1183" s="12"/>
      <c r="D1183" s="3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</row>
    <row r="1184" spans="1:30" ht="15.75" thickBot="1" x14ac:dyDescent="0.3">
      <c r="A1184" s="12"/>
      <c r="B1184" s="12"/>
      <c r="C1184" s="12"/>
      <c r="D1184" s="3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</row>
    <row r="1185" spans="1:30" ht="15.75" thickBot="1" x14ac:dyDescent="0.3">
      <c r="A1185" s="12"/>
      <c r="B1185" s="12"/>
      <c r="C1185" s="12"/>
      <c r="D1185" s="3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</row>
    <row r="1186" spans="1:30" ht="15.75" thickBot="1" x14ac:dyDescent="0.3">
      <c r="A1186" s="12"/>
      <c r="B1186" s="12"/>
      <c r="C1186" s="12"/>
      <c r="D1186" s="3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</row>
    <row r="1187" spans="1:30" ht="15.75" thickBot="1" x14ac:dyDescent="0.3">
      <c r="A1187" s="12"/>
      <c r="B1187" s="12"/>
      <c r="C1187" s="12"/>
      <c r="D1187" s="3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</row>
    <row r="1188" spans="1:30" ht="15.75" thickBot="1" x14ac:dyDescent="0.3">
      <c r="A1188" s="12"/>
      <c r="B1188" s="12"/>
      <c r="C1188" s="12"/>
      <c r="D1188" s="3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</row>
    <row r="1189" spans="1:30" ht="15.75" thickBot="1" x14ac:dyDescent="0.3">
      <c r="A1189" s="12"/>
      <c r="B1189" s="12"/>
      <c r="C1189" s="12"/>
      <c r="D1189" s="3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</row>
    <row r="1190" spans="1:30" ht="15.75" thickBot="1" x14ac:dyDescent="0.3">
      <c r="A1190" s="12"/>
      <c r="B1190" s="12"/>
      <c r="C1190" s="12"/>
      <c r="D1190" s="3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</row>
    <row r="1191" spans="1:30" ht="15.75" thickBot="1" x14ac:dyDescent="0.3">
      <c r="A1191" s="12"/>
      <c r="B1191" s="12"/>
      <c r="C1191" s="12"/>
      <c r="D1191" s="3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</row>
    <row r="1192" spans="1:30" ht="15.75" thickBot="1" x14ac:dyDescent="0.3">
      <c r="A1192" s="12"/>
      <c r="B1192" s="12"/>
      <c r="C1192" s="12"/>
      <c r="D1192" s="3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</row>
    <row r="1193" spans="1:30" ht="15.75" thickBot="1" x14ac:dyDescent="0.3">
      <c r="A1193" s="12"/>
      <c r="B1193" s="12"/>
      <c r="C1193" s="12"/>
      <c r="D1193" s="3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</row>
    <row r="1194" spans="1:30" ht="15.75" thickBot="1" x14ac:dyDescent="0.3">
      <c r="A1194" s="12"/>
      <c r="B1194" s="12"/>
      <c r="C1194" s="12"/>
      <c r="D1194" s="3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</row>
    <row r="1195" spans="1:30" ht="15.75" thickBot="1" x14ac:dyDescent="0.3">
      <c r="A1195" s="12"/>
      <c r="B1195" s="12"/>
      <c r="C1195" s="12"/>
      <c r="D1195" s="3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</row>
    <row r="1196" spans="1:30" ht="15.75" thickBot="1" x14ac:dyDescent="0.3">
      <c r="A1196" s="12"/>
      <c r="B1196" s="12"/>
      <c r="C1196" s="12"/>
      <c r="D1196" s="3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</row>
    <row r="1197" spans="1:30" ht="15.75" thickBot="1" x14ac:dyDescent="0.3">
      <c r="A1197" s="12"/>
      <c r="B1197" s="12"/>
      <c r="C1197" s="12"/>
      <c r="D1197" s="3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</row>
    <row r="1198" spans="1:30" ht="15.75" thickBot="1" x14ac:dyDescent="0.3">
      <c r="A1198" s="12"/>
      <c r="B1198" s="12"/>
      <c r="C1198" s="12"/>
      <c r="D1198" s="3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</row>
    <row r="1199" spans="1:30" ht="15.75" thickBot="1" x14ac:dyDescent="0.3">
      <c r="A1199" s="12"/>
      <c r="B1199" s="12"/>
      <c r="C1199" s="12"/>
      <c r="D1199" s="3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</row>
    <row r="1200" spans="1:30" ht="15.75" thickBot="1" x14ac:dyDescent="0.3">
      <c r="A1200" s="12"/>
      <c r="B1200" s="12"/>
      <c r="C1200" s="12"/>
      <c r="D1200" s="3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</row>
    <row r="1201" spans="1:30" ht="15.75" thickBot="1" x14ac:dyDescent="0.3">
      <c r="A1201" s="12"/>
      <c r="B1201" s="12"/>
      <c r="C1201" s="12"/>
      <c r="D1201" s="3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</row>
    <row r="1202" spans="1:30" ht="15.75" thickBot="1" x14ac:dyDescent="0.3">
      <c r="A1202" s="12"/>
      <c r="B1202" s="12"/>
      <c r="C1202" s="12"/>
      <c r="D1202" s="3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</row>
    <row r="1203" spans="1:30" ht="15.75" thickBot="1" x14ac:dyDescent="0.3">
      <c r="A1203" s="12"/>
      <c r="B1203" s="12"/>
      <c r="C1203" s="12"/>
      <c r="D1203" s="3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</row>
    <row r="1204" spans="1:30" ht="15.75" thickBot="1" x14ac:dyDescent="0.3">
      <c r="A1204" s="12"/>
      <c r="B1204" s="12"/>
      <c r="C1204" s="12"/>
      <c r="D1204" s="3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</row>
    <row r="1205" spans="1:30" ht="15.75" thickBot="1" x14ac:dyDescent="0.3">
      <c r="A1205" s="12"/>
      <c r="B1205" s="12"/>
      <c r="C1205" s="12"/>
      <c r="D1205" s="3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</row>
    <row r="1206" spans="1:30" ht="15.75" thickBot="1" x14ac:dyDescent="0.3">
      <c r="A1206" s="12"/>
      <c r="B1206" s="12"/>
      <c r="C1206" s="12"/>
      <c r="D1206" s="3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</row>
    <row r="1207" spans="1:30" ht="15.75" thickBot="1" x14ac:dyDescent="0.3">
      <c r="A1207" s="12"/>
      <c r="B1207" s="12"/>
      <c r="C1207" s="12"/>
      <c r="D1207" s="3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</row>
    <row r="1208" spans="1:30" ht="15.75" thickBot="1" x14ac:dyDescent="0.3">
      <c r="A1208" s="12"/>
      <c r="B1208" s="12"/>
      <c r="C1208" s="12"/>
      <c r="D1208" s="3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</row>
    <row r="1209" spans="1:30" ht="15.75" thickBot="1" x14ac:dyDescent="0.3">
      <c r="A1209" s="12"/>
      <c r="B1209" s="12"/>
      <c r="C1209" s="12"/>
      <c r="D1209" s="3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</row>
    <row r="1210" spans="1:30" ht="15.75" thickBot="1" x14ac:dyDescent="0.3">
      <c r="A1210" s="12"/>
      <c r="B1210" s="12"/>
      <c r="C1210" s="12"/>
      <c r="D1210" s="3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</row>
    <row r="1211" spans="1:30" ht="15.75" thickBot="1" x14ac:dyDescent="0.3">
      <c r="A1211" s="12"/>
      <c r="B1211" s="12"/>
      <c r="C1211" s="12"/>
      <c r="D1211" s="3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</row>
    <row r="1212" spans="1:30" ht="15.75" thickBot="1" x14ac:dyDescent="0.3">
      <c r="A1212" s="12"/>
      <c r="B1212" s="12"/>
      <c r="C1212" s="12"/>
      <c r="D1212" s="3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</row>
    <row r="1213" spans="1:30" ht="15.75" thickBot="1" x14ac:dyDescent="0.3">
      <c r="A1213" s="12"/>
      <c r="B1213" s="12"/>
      <c r="C1213" s="12"/>
      <c r="D1213" s="3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</row>
    <row r="1214" spans="1:30" ht="15.75" thickBot="1" x14ac:dyDescent="0.3">
      <c r="A1214" s="12"/>
      <c r="B1214" s="12"/>
      <c r="C1214" s="12"/>
      <c r="D1214" s="3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</row>
    <row r="1215" spans="1:30" ht="15.75" thickBot="1" x14ac:dyDescent="0.3">
      <c r="A1215" s="12"/>
      <c r="B1215" s="12"/>
      <c r="C1215" s="12"/>
      <c r="D1215" s="3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</row>
    <row r="1216" spans="1:30" ht="15.75" thickBot="1" x14ac:dyDescent="0.3">
      <c r="A1216" s="12"/>
      <c r="B1216" s="12"/>
      <c r="C1216" s="12"/>
      <c r="D1216" s="3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</row>
    <row r="1217" spans="1:30" ht="15.75" thickBot="1" x14ac:dyDescent="0.3">
      <c r="A1217" s="12"/>
      <c r="B1217" s="12"/>
      <c r="C1217" s="12"/>
      <c r="D1217" s="3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</row>
    <row r="1218" spans="1:30" ht="15.75" thickBot="1" x14ac:dyDescent="0.3">
      <c r="A1218" s="12"/>
      <c r="B1218" s="12"/>
      <c r="C1218" s="12"/>
      <c r="D1218" s="3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</row>
    <row r="1219" spans="1:30" ht="15.75" thickBot="1" x14ac:dyDescent="0.3">
      <c r="A1219" s="12"/>
      <c r="B1219" s="12"/>
      <c r="C1219" s="12"/>
      <c r="D1219" s="3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</row>
    <row r="1220" spans="1:30" ht="15.75" thickBot="1" x14ac:dyDescent="0.3">
      <c r="A1220" s="12"/>
      <c r="B1220" s="12"/>
      <c r="C1220" s="12"/>
      <c r="D1220" s="3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</row>
    <row r="1221" spans="1:30" ht="15.75" thickBot="1" x14ac:dyDescent="0.3">
      <c r="A1221" s="12"/>
      <c r="B1221" s="12"/>
      <c r="C1221" s="12"/>
      <c r="D1221" s="3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</row>
    <row r="1222" spans="1:30" ht="15.75" thickBot="1" x14ac:dyDescent="0.3">
      <c r="A1222" s="12"/>
      <c r="B1222" s="12"/>
      <c r="C1222" s="12"/>
      <c r="D1222" s="3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</row>
    <row r="1223" spans="1:30" ht="15.75" thickBot="1" x14ac:dyDescent="0.3">
      <c r="A1223" s="12"/>
      <c r="B1223" s="12"/>
      <c r="C1223" s="12"/>
      <c r="D1223" s="3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</row>
    <row r="1224" spans="1:30" ht="15.75" thickBot="1" x14ac:dyDescent="0.3">
      <c r="A1224" s="12"/>
      <c r="B1224" s="12"/>
      <c r="C1224" s="12"/>
      <c r="D1224" s="3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</row>
    <row r="1225" spans="1:30" ht="15.75" thickBot="1" x14ac:dyDescent="0.3">
      <c r="A1225" s="12"/>
      <c r="B1225" s="12"/>
      <c r="C1225" s="12"/>
      <c r="D1225" s="3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</row>
    <row r="1226" spans="1:30" ht="15.75" thickBot="1" x14ac:dyDescent="0.3">
      <c r="A1226" s="12"/>
      <c r="B1226" s="12"/>
      <c r="C1226" s="12"/>
      <c r="D1226" s="3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</row>
    <row r="1227" spans="1:30" ht="15.75" thickBot="1" x14ac:dyDescent="0.3">
      <c r="A1227" s="12"/>
      <c r="B1227" s="12"/>
      <c r="C1227" s="12"/>
      <c r="D1227" s="3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</row>
    <row r="1228" spans="1:30" ht="15.75" thickBot="1" x14ac:dyDescent="0.3">
      <c r="A1228" s="12"/>
      <c r="B1228" s="12"/>
      <c r="C1228" s="12"/>
      <c r="D1228" s="3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</row>
    <row r="1229" spans="1:30" ht="15.75" thickBot="1" x14ac:dyDescent="0.3">
      <c r="A1229" s="12"/>
      <c r="B1229" s="12"/>
      <c r="C1229" s="12"/>
      <c r="D1229" s="3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</row>
    <row r="1230" spans="1:30" ht="15.75" thickBot="1" x14ac:dyDescent="0.3">
      <c r="A1230" s="12"/>
      <c r="B1230" s="12"/>
      <c r="C1230" s="12"/>
      <c r="D1230" s="3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</row>
    <row r="1231" spans="1:30" ht="15.75" thickBot="1" x14ac:dyDescent="0.3">
      <c r="A1231" s="12"/>
      <c r="B1231" s="12"/>
      <c r="C1231" s="12"/>
      <c r="D1231" s="3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</row>
    <row r="1232" spans="1:30" ht="15.75" thickBot="1" x14ac:dyDescent="0.3">
      <c r="A1232" s="12"/>
      <c r="B1232" s="12"/>
      <c r="C1232" s="12"/>
      <c r="D1232" s="3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</row>
    <row r="1233" spans="1:30" ht="15.75" thickBot="1" x14ac:dyDescent="0.3">
      <c r="A1233" s="12"/>
      <c r="B1233" s="12"/>
      <c r="C1233" s="12"/>
      <c r="D1233" s="3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</row>
    <row r="1234" spans="1:30" ht="15.75" thickBot="1" x14ac:dyDescent="0.3">
      <c r="A1234" s="12"/>
      <c r="B1234" s="12"/>
      <c r="C1234" s="12"/>
      <c r="D1234" s="3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</row>
    <row r="1235" spans="1:30" ht="15.75" thickBot="1" x14ac:dyDescent="0.3">
      <c r="A1235" s="12"/>
      <c r="B1235" s="12"/>
      <c r="C1235" s="12"/>
      <c r="D1235" s="3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</row>
    <row r="1236" spans="1:30" ht="15.75" thickBot="1" x14ac:dyDescent="0.3">
      <c r="A1236" s="12"/>
      <c r="B1236" s="12"/>
      <c r="C1236" s="12"/>
      <c r="D1236" s="3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</row>
    <row r="1237" spans="1:30" ht="15.75" thickBot="1" x14ac:dyDescent="0.3">
      <c r="A1237" s="12"/>
      <c r="B1237" s="12"/>
      <c r="C1237" s="12"/>
      <c r="D1237" s="3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</row>
    <row r="1238" spans="1:30" ht="15.75" thickBot="1" x14ac:dyDescent="0.3">
      <c r="A1238" s="12"/>
      <c r="B1238" s="12"/>
      <c r="C1238" s="12"/>
      <c r="D1238" s="3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</row>
    <row r="1239" spans="1:30" ht="15.75" thickBot="1" x14ac:dyDescent="0.3">
      <c r="A1239" s="12"/>
      <c r="B1239" s="12"/>
      <c r="C1239" s="12"/>
      <c r="D1239" s="3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</row>
    <row r="1240" spans="1:30" ht="15.75" thickBot="1" x14ac:dyDescent="0.3">
      <c r="A1240" s="12"/>
      <c r="B1240" s="12"/>
      <c r="C1240" s="12"/>
      <c r="D1240" s="3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</row>
    <row r="1241" spans="1:30" ht="15.75" thickBot="1" x14ac:dyDescent="0.3">
      <c r="A1241" s="12"/>
      <c r="B1241" s="12"/>
      <c r="C1241" s="12"/>
      <c r="D1241" s="3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</row>
    <row r="1242" spans="1:30" ht="15.75" thickBot="1" x14ac:dyDescent="0.3">
      <c r="A1242" s="12"/>
      <c r="B1242" s="12"/>
      <c r="C1242" s="12"/>
      <c r="D1242" s="3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</row>
    <row r="1243" spans="1:30" ht="15.75" thickBot="1" x14ac:dyDescent="0.3">
      <c r="A1243" s="12"/>
      <c r="B1243" s="12"/>
      <c r="C1243" s="12"/>
      <c r="D1243" s="3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</row>
    <row r="1244" spans="1:30" ht="15.75" thickBot="1" x14ac:dyDescent="0.3">
      <c r="A1244" s="12"/>
      <c r="B1244" s="12"/>
      <c r="C1244" s="12"/>
      <c r="D1244" s="3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</row>
    <row r="1245" spans="1:30" ht="15.75" thickBot="1" x14ac:dyDescent="0.3">
      <c r="A1245" s="12"/>
      <c r="B1245" s="12"/>
      <c r="C1245" s="12"/>
      <c r="D1245" s="3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</row>
    <row r="1246" spans="1:30" ht="15.75" thickBot="1" x14ac:dyDescent="0.3">
      <c r="A1246" s="12"/>
      <c r="B1246" s="12"/>
      <c r="C1246" s="12"/>
      <c r="D1246" s="3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</row>
    <row r="1247" spans="1:30" ht="15.75" thickBot="1" x14ac:dyDescent="0.3">
      <c r="A1247" s="12"/>
      <c r="B1247" s="12"/>
      <c r="C1247" s="12"/>
      <c r="D1247" s="3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</row>
    <row r="1248" spans="1:30" ht="15.75" thickBot="1" x14ac:dyDescent="0.3">
      <c r="A1248" s="12"/>
      <c r="B1248" s="12"/>
      <c r="C1248" s="12"/>
      <c r="D1248" s="3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</row>
    <row r="1249" spans="1:30" ht="15.75" thickBot="1" x14ac:dyDescent="0.3">
      <c r="A1249" s="12"/>
      <c r="B1249" s="12"/>
      <c r="C1249" s="12"/>
      <c r="D1249" s="3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</row>
    <row r="1250" spans="1:30" ht="15.75" thickBot="1" x14ac:dyDescent="0.3">
      <c r="A1250" s="12"/>
      <c r="B1250" s="12"/>
      <c r="C1250" s="12"/>
      <c r="D1250" s="3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</row>
    <row r="1251" spans="1:30" ht="15.75" thickBot="1" x14ac:dyDescent="0.3">
      <c r="A1251" s="12"/>
      <c r="B1251" s="12"/>
      <c r="C1251" s="12"/>
      <c r="D1251" s="3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</row>
    <row r="1252" spans="1:30" ht="15.75" thickBot="1" x14ac:dyDescent="0.3">
      <c r="A1252" s="12"/>
      <c r="B1252" s="12"/>
      <c r="C1252" s="12"/>
      <c r="D1252" s="3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</row>
    <row r="1253" spans="1:30" ht="15.75" thickBot="1" x14ac:dyDescent="0.3">
      <c r="A1253" s="12"/>
      <c r="B1253" s="12"/>
      <c r="C1253" s="12"/>
      <c r="D1253" s="3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</row>
    <row r="1254" spans="1:30" ht="15.75" thickBot="1" x14ac:dyDescent="0.3">
      <c r="A1254" s="12"/>
      <c r="B1254" s="12"/>
      <c r="C1254" s="12"/>
      <c r="D1254" s="3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</row>
    <row r="1255" spans="1:30" ht="15.75" thickBot="1" x14ac:dyDescent="0.3">
      <c r="A1255" s="12"/>
      <c r="B1255" s="12"/>
      <c r="C1255" s="12"/>
      <c r="D1255" s="3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</row>
    <row r="1256" spans="1:30" ht="15.75" thickBot="1" x14ac:dyDescent="0.3">
      <c r="A1256" s="12"/>
      <c r="B1256" s="12"/>
      <c r="C1256" s="12"/>
      <c r="D1256" s="3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</row>
    <row r="1257" spans="1:30" ht="15.75" thickBot="1" x14ac:dyDescent="0.3">
      <c r="A1257" s="12"/>
      <c r="B1257" s="12"/>
      <c r="C1257" s="12"/>
      <c r="D1257" s="3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</row>
    <row r="1258" spans="1:30" ht="15.75" thickBot="1" x14ac:dyDescent="0.3">
      <c r="A1258" s="12"/>
      <c r="B1258" s="12"/>
      <c r="C1258" s="12"/>
      <c r="D1258" s="3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</row>
    <row r="1259" spans="1:30" ht="15.75" thickBot="1" x14ac:dyDescent="0.3">
      <c r="A1259" s="12"/>
      <c r="B1259" s="12"/>
      <c r="C1259" s="12"/>
      <c r="D1259" s="3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</row>
    <row r="1260" spans="1:30" ht="15.75" thickBot="1" x14ac:dyDescent="0.3">
      <c r="A1260" s="12"/>
      <c r="B1260" s="12"/>
      <c r="C1260" s="12"/>
      <c r="D1260" s="3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</row>
    <row r="1261" spans="1:30" ht="15.75" thickBot="1" x14ac:dyDescent="0.3">
      <c r="A1261" s="12"/>
      <c r="B1261" s="12"/>
      <c r="C1261" s="12"/>
      <c r="D1261" s="3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</row>
    <row r="1262" spans="1:30" ht="15.75" thickBot="1" x14ac:dyDescent="0.3">
      <c r="A1262" s="12"/>
      <c r="B1262" s="12"/>
      <c r="C1262" s="12"/>
      <c r="D1262" s="3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</row>
    <row r="1263" spans="1:30" ht="15.75" thickBot="1" x14ac:dyDescent="0.3">
      <c r="A1263" s="12"/>
      <c r="B1263" s="12"/>
      <c r="C1263" s="12"/>
      <c r="D1263" s="3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</row>
    <row r="1264" spans="1:30" ht="15.75" thickBot="1" x14ac:dyDescent="0.3">
      <c r="A1264" s="12"/>
      <c r="B1264" s="12"/>
      <c r="C1264" s="12"/>
      <c r="D1264" s="3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</row>
    <row r="1265" spans="1:30" ht="15.75" thickBot="1" x14ac:dyDescent="0.3">
      <c r="A1265" s="12"/>
      <c r="B1265" s="12"/>
      <c r="C1265" s="12"/>
      <c r="D1265" s="3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</row>
    <row r="1266" spans="1:30" ht="15.75" thickBot="1" x14ac:dyDescent="0.3">
      <c r="A1266" s="12"/>
      <c r="B1266" s="12"/>
      <c r="C1266" s="12"/>
      <c r="D1266" s="3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</row>
    <row r="1267" spans="1:30" ht="15.75" thickBot="1" x14ac:dyDescent="0.3">
      <c r="A1267" s="12"/>
      <c r="B1267" s="12"/>
      <c r="C1267" s="12"/>
      <c r="D1267" s="3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</row>
    <row r="1268" spans="1:30" ht="15.75" thickBot="1" x14ac:dyDescent="0.3">
      <c r="A1268" s="12"/>
      <c r="B1268" s="12"/>
      <c r="C1268" s="12"/>
      <c r="D1268" s="3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</row>
    <row r="1269" spans="1:30" ht="15.75" thickBot="1" x14ac:dyDescent="0.3">
      <c r="A1269" s="12"/>
      <c r="B1269" s="12"/>
      <c r="C1269" s="12"/>
      <c r="D1269" s="3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</row>
    <row r="1270" spans="1:30" ht="15.75" thickBot="1" x14ac:dyDescent="0.3">
      <c r="A1270" s="12"/>
      <c r="B1270" s="12"/>
      <c r="C1270" s="12"/>
      <c r="D1270" s="3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</row>
    <row r="1271" spans="1:30" ht="15.75" thickBot="1" x14ac:dyDescent="0.3">
      <c r="A1271" s="12"/>
      <c r="B1271" s="12"/>
      <c r="C1271" s="12"/>
      <c r="D1271" s="3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</row>
    <row r="1272" spans="1:30" ht="15.75" thickBot="1" x14ac:dyDescent="0.3">
      <c r="A1272" s="12"/>
      <c r="B1272" s="12"/>
      <c r="C1272" s="12"/>
      <c r="D1272" s="3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</row>
    <row r="1273" spans="1:30" ht="15.75" thickBot="1" x14ac:dyDescent="0.3">
      <c r="A1273" s="12"/>
      <c r="B1273" s="12"/>
      <c r="C1273" s="12"/>
      <c r="D1273" s="3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</row>
    <row r="1274" spans="1:30" ht="15.75" thickBot="1" x14ac:dyDescent="0.3">
      <c r="A1274" s="12"/>
      <c r="B1274" s="12"/>
      <c r="C1274" s="12"/>
      <c r="D1274" s="3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</row>
    <row r="1275" spans="1:30" ht="15.75" thickBot="1" x14ac:dyDescent="0.3">
      <c r="A1275" s="12"/>
      <c r="B1275" s="12"/>
      <c r="C1275" s="12"/>
      <c r="D1275" s="3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</row>
    <row r="1276" spans="1:30" ht="15.75" thickBot="1" x14ac:dyDescent="0.3">
      <c r="A1276" s="12"/>
      <c r="B1276" s="12"/>
      <c r="C1276" s="12"/>
      <c r="D1276" s="3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</row>
    <row r="1277" spans="1:30" ht="15.75" thickBot="1" x14ac:dyDescent="0.3">
      <c r="A1277" s="12"/>
      <c r="B1277" s="12"/>
      <c r="C1277" s="12"/>
      <c r="D1277" s="3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</row>
    <row r="1278" spans="1:30" ht="15.75" thickBot="1" x14ac:dyDescent="0.3">
      <c r="A1278" s="12"/>
      <c r="B1278" s="12"/>
      <c r="C1278" s="12"/>
      <c r="D1278" s="3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</row>
    <row r="1279" spans="1:30" ht="15.75" thickBot="1" x14ac:dyDescent="0.3">
      <c r="A1279" s="12"/>
      <c r="B1279" s="12"/>
      <c r="C1279" s="12"/>
      <c r="D1279" s="3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</row>
    <row r="1280" spans="1:30" ht="15.75" thickBot="1" x14ac:dyDescent="0.3">
      <c r="A1280" s="12"/>
      <c r="B1280" s="12"/>
      <c r="C1280" s="12"/>
      <c r="D1280" s="3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</row>
    <row r="1281" spans="1:30" ht="15.75" thickBot="1" x14ac:dyDescent="0.3">
      <c r="A1281" s="12"/>
      <c r="B1281" s="12"/>
      <c r="C1281" s="12"/>
      <c r="D1281" s="3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</row>
    <row r="1282" spans="1:30" ht="15.75" thickBot="1" x14ac:dyDescent="0.3">
      <c r="A1282" s="12"/>
      <c r="B1282" s="12"/>
      <c r="C1282" s="12"/>
      <c r="D1282" s="3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</row>
    <row r="1283" spans="1:30" ht="15.75" thickBot="1" x14ac:dyDescent="0.3">
      <c r="A1283" s="12"/>
      <c r="B1283" s="12"/>
      <c r="C1283" s="12"/>
      <c r="D1283" s="3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</row>
    <row r="1284" spans="1:30" ht="15.75" thickBot="1" x14ac:dyDescent="0.3">
      <c r="A1284" s="12"/>
      <c r="B1284" s="12"/>
      <c r="C1284" s="12"/>
      <c r="D1284" s="3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</row>
    <row r="1285" spans="1:30" ht="15.75" thickBot="1" x14ac:dyDescent="0.3">
      <c r="A1285" s="12"/>
      <c r="B1285" s="12"/>
      <c r="C1285" s="12"/>
      <c r="D1285" s="3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</row>
    <row r="1286" spans="1:30" ht="15.75" thickBot="1" x14ac:dyDescent="0.3">
      <c r="A1286" s="12"/>
      <c r="B1286" s="12"/>
      <c r="C1286" s="12"/>
      <c r="D1286" s="3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</row>
    <row r="1287" spans="1:30" ht="15.75" thickBot="1" x14ac:dyDescent="0.3">
      <c r="A1287" s="12"/>
      <c r="B1287" s="12"/>
      <c r="C1287" s="12"/>
      <c r="D1287" s="3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</row>
    <row r="1288" spans="1:30" ht="15.75" thickBot="1" x14ac:dyDescent="0.3">
      <c r="A1288" s="12"/>
      <c r="B1288" s="12"/>
      <c r="C1288" s="12"/>
      <c r="D1288" s="3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</row>
    <row r="1289" spans="1:30" ht="15.75" thickBot="1" x14ac:dyDescent="0.3">
      <c r="A1289" s="12"/>
      <c r="B1289" s="12"/>
      <c r="C1289" s="12"/>
      <c r="D1289" s="3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</row>
    <row r="1290" spans="1:30" ht="15.75" thickBot="1" x14ac:dyDescent="0.3">
      <c r="A1290" s="12"/>
      <c r="B1290" s="12"/>
      <c r="C1290" s="12"/>
      <c r="D1290" s="3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</row>
    <row r="1291" spans="1:30" ht="15.75" thickBot="1" x14ac:dyDescent="0.3">
      <c r="A1291" s="12"/>
      <c r="B1291" s="12"/>
      <c r="C1291" s="12"/>
      <c r="D1291" s="3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</row>
    <row r="1292" spans="1:30" ht="15.75" thickBot="1" x14ac:dyDescent="0.3">
      <c r="A1292" s="12"/>
      <c r="B1292" s="12"/>
      <c r="C1292" s="12"/>
      <c r="D1292" s="3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</row>
    <row r="1293" spans="1:30" ht="15.75" thickBot="1" x14ac:dyDescent="0.3">
      <c r="A1293" s="12"/>
      <c r="B1293" s="12"/>
      <c r="C1293" s="12"/>
      <c r="D1293" s="3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</row>
    <row r="1294" spans="1:30" ht="15.75" thickBot="1" x14ac:dyDescent="0.3">
      <c r="A1294" s="12"/>
      <c r="B1294" s="12"/>
      <c r="C1294" s="12"/>
      <c r="D1294" s="3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</row>
    <row r="1295" spans="1:30" ht="15.75" thickBot="1" x14ac:dyDescent="0.3">
      <c r="A1295" s="12"/>
      <c r="B1295" s="12"/>
      <c r="C1295" s="12"/>
      <c r="D1295" s="3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</row>
    <row r="1296" spans="1:30" ht="15.75" thickBot="1" x14ac:dyDescent="0.3">
      <c r="A1296" s="12"/>
      <c r="B1296" s="12"/>
      <c r="C1296" s="12"/>
      <c r="D1296" s="3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</row>
    <row r="1297" spans="1:30" ht="15.75" thickBot="1" x14ac:dyDescent="0.3">
      <c r="A1297" s="12"/>
      <c r="B1297" s="12"/>
      <c r="C1297" s="12"/>
      <c r="D1297" s="3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</row>
    <row r="1298" spans="1:30" ht="15.75" thickBot="1" x14ac:dyDescent="0.3">
      <c r="A1298" s="12"/>
      <c r="B1298" s="12"/>
      <c r="C1298" s="12"/>
      <c r="D1298" s="3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</row>
    <row r="1299" spans="1:30" ht="15.75" thickBot="1" x14ac:dyDescent="0.3">
      <c r="A1299" s="12"/>
      <c r="B1299" s="12"/>
      <c r="C1299" s="12"/>
      <c r="D1299" s="3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</row>
    <row r="1300" spans="1:30" ht="15.75" thickBot="1" x14ac:dyDescent="0.3">
      <c r="A1300" s="12"/>
      <c r="B1300" s="12"/>
      <c r="C1300" s="12"/>
      <c r="D1300" s="3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</row>
    <row r="1301" spans="1:30" ht="15.75" thickBot="1" x14ac:dyDescent="0.3">
      <c r="A1301" s="12"/>
      <c r="B1301" s="12"/>
      <c r="C1301" s="12"/>
      <c r="D1301" s="3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</row>
    <row r="1302" spans="1:30" ht="15.75" thickBot="1" x14ac:dyDescent="0.3">
      <c r="A1302" s="12"/>
      <c r="B1302" s="12"/>
      <c r="C1302" s="12"/>
      <c r="D1302" s="3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</row>
    <row r="1303" spans="1:30" ht="15.75" thickBot="1" x14ac:dyDescent="0.3">
      <c r="A1303" s="12"/>
      <c r="B1303" s="12"/>
      <c r="C1303" s="12"/>
      <c r="D1303" s="3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</row>
    <row r="1304" spans="1:30" ht="15.75" thickBot="1" x14ac:dyDescent="0.3">
      <c r="A1304" s="12"/>
      <c r="B1304" s="12"/>
      <c r="C1304" s="12"/>
      <c r="D1304" s="3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</row>
    <row r="1305" spans="1:30" ht="15.75" thickBot="1" x14ac:dyDescent="0.3">
      <c r="A1305" s="12"/>
      <c r="B1305" s="12"/>
      <c r="C1305" s="12"/>
      <c r="D1305" s="3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</row>
    <row r="1306" spans="1:30" ht="15.75" thickBot="1" x14ac:dyDescent="0.3">
      <c r="A1306" s="12"/>
      <c r="B1306" s="12"/>
      <c r="C1306" s="12"/>
      <c r="D1306" s="3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</row>
    <row r="1307" spans="1:30" ht="15.75" thickBot="1" x14ac:dyDescent="0.3">
      <c r="A1307" s="12"/>
      <c r="B1307" s="12"/>
      <c r="C1307" s="12"/>
      <c r="D1307" s="3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</row>
    <row r="1308" spans="1:30" ht="15.75" thickBot="1" x14ac:dyDescent="0.3">
      <c r="A1308" s="12"/>
      <c r="B1308" s="12"/>
      <c r="C1308" s="12"/>
      <c r="D1308" s="3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</row>
    <row r="1309" spans="1:30" ht="15.75" thickBot="1" x14ac:dyDescent="0.3">
      <c r="A1309" s="12"/>
      <c r="B1309" s="12"/>
      <c r="C1309" s="12"/>
      <c r="D1309" s="3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</row>
    <row r="1310" spans="1:30" ht="15.75" thickBot="1" x14ac:dyDescent="0.3">
      <c r="A1310" s="12"/>
      <c r="B1310" s="12"/>
      <c r="C1310" s="12"/>
      <c r="D1310" s="3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</row>
    <row r="1311" spans="1:30" ht="15.75" thickBot="1" x14ac:dyDescent="0.3">
      <c r="A1311" s="12"/>
      <c r="B1311" s="12"/>
      <c r="C1311" s="12"/>
      <c r="D1311" s="3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</row>
    <row r="1312" spans="1:30" ht="15.75" thickBot="1" x14ac:dyDescent="0.3">
      <c r="A1312" s="12"/>
      <c r="B1312" s="12"/>
      <c r="C1312" s="12"/>
      <c r="D1312" s="3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</row>
    <row r="1313" spans="1:30" ht="15.75" thickBot="1" x14ac:dyDescent="0.3">
      <c r="A1313" s="12"/>
      <c r="B1313" s="12"/>
      <c r="C1313" s="12"/>
      <c r="D1313" s="3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</row>
    <row r="1314" spans="1:30" ht="15.75" thickBot="1" x14ac:dyDescent="0.3">
      <c r="A1314" s="12"/>
      <c r="B1314" s="12"/>
      <c r="C1314" s="12"/>
      <c r="D1314" s="3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</row>
    <row r="1315" spans="1:30" ht="15.75" thickBot="1" x14ac:dyDescent="0.3">
      <c r="A1315" s="12"/>
      <c r="B1315" s="12"/>
      <c r="C1315" s="12"/>
      <c r="D1315" s="3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</row>
    <row r="1316" spans="1:30" ht="15.75" thickBot="1" x14ac:dyDescent="0.3">
      <c r="A1316" s="12"/>
      <c r="B1316" s="12"/>
      <c r="C1316" s="12"/>
      <c r="D1316" s="3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</row>
    <row r="1317" spans="1:30" ht="15.75" thickBot="1" x14ac:dyDescent="0.3">
      <c r="A1317" s="12"/>
      <c r="B1317" s="12"/>
      <c r="C1317" s="12"/>
      <c r="D1317" s="3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</row>
    <row r="1318" spans="1:30" ht="15.75" thickBot="1" x14ac:dyDescent="0.3">
      <c r="A1318" s="12"/>
      <c r="B1318" s="12"/>
      <c r="C1318" s="12"/>
      <c r="D1318" s="3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</row>
    <row r="1319" spans="1:30" ht="15.75" thickBot="1" x14ac:dyDescent="0.3">
      <c r="A1319" s="12"/>
      <c r="B1319" s="12"/>
      <c r="C1319" s="12"/>
      <c r="D1319" s="3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</row>
    <row r="1320" spans="1:30" ht="15.75" thickBot="1" x14ac:dyDescent="0.3">
      <c r="A1320" s="12"/>
      <c r="B1320" s="12"/>
      <c r="C1320" s="12"/>
      <c r="D1320" s="3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</row>
    <row r="1321" spans="1:30" ht="15.75" thickBot="1" x14ac:dyDescent="0.3">
      <c r="A1321" s="12"/>
      <c r="B1321" s="12"/>
      <c r="C1321" s="12"/>
      <c r="D1321" s="3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</row>
    <row r="1322" spans="1:30" ht="15.75" thickBot="1" x14ac:dyDescent="0.3">
      <c r="A1322" s="12"/>
      <c r="B1322" s="12"/>
      <c r="C1322" s="12"/>
      <c r="D1322" s="3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</row>
    <row r="1323" spans="1:30" ht="15.75" thickBot="1" x14ac:dyDescent="0.3">
      <c r="A1323" s="12"/>
      <c r="B1323" s="12"/>
      <c r="C1323" s="12"/>
      <c r="D1323" s="3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</row>
    <row r="1324" spans="1:30" ht="15.75" thickBot="1" x14ac:dyDescent="0.3">
      <c r="A1324" s="12"/>
      <c r="B1324" s="12"/>
      <c r="C1324" s="12"/>
      <c r="D1324" s="3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</row>
    <row r="1325" spans="1:30" ht="15.75" thickBot="1" x14ac:dyDescent="0.3">
      <c r="A1325" s="12"/>
      <c r="B1325" s="12"/>
      <c r="C1325" s="12"/>
      <c r="D1325" s="3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</row>
    <row r="1326" spans="1:30" ht="15.75" thickBot="1" x14ac:dyDescent="0.3">
      <c r="A1326" s="12"/>
      <c r="B1326" s="12"/>
      <c r="C1326" s="12"/>
      <c r="D1326" s="3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</row>
    <row r="1327" spans="1:30" ht="15.75" thickBot="1" x14ac:dyDescent="0.3">
      <c r="A1327" s="12"/>
      <c r="B1327" s="12"/>
      <c r="C1327" s="12"/>
      <c r="D1327" s="3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</row>
    <row r="1328" spans="1:30" ht="15.75" thickBot="1" x14ac:dyDescent="0.3">
      <c r="A1328" s="12"/>
      <c r="B1328" s="12"/>
      <c r="C1328" s="12"/>
      <c r="D1328" s="3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</row>
    <row r="1329" spans="1:30" ht="15.75" thickBot="1" x14ac:dyDescent="0.3">
      <c r="A1329" s="12"/>
      <c r="B1329" s="12"/>
      <c r="C1329" s="12"/>
      <c r="D1329" s="3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</row>
    <row r="1330" spans="1:30" ht="15.75" thickBot="1" x14ac:dyDescent="0.3">
      <c r="A1330" s="12"/>
      <c r="B1330" s="12"/>
      <c r="C1330" s="12"/>
      <c r="D1330" s="3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</row>
    <row r="1331" spans="1:30" ht="15.75" thickBot="1" x14ac:dyDescent="0.3">
      <c r="A1331" s="12"/>
      <c r="B1331" s="12"/>
      <c r="C1331" s="12"/>
      <c r="D1331" s="3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</row>
    <row r="1332" spans="1:30" ht="15.75" thickBot="1" x14ac:dyDescent="0.3">
      <c r="A1332" s="12"/>
      <c r="B1332" s="12"/>
      <c r="C1332" s="12"/>
      <c r="D1332" s="3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</row>
    <row r="1333" spans="1:30" ht="15.75" thickBot="1" x14ac:dyDescent="0.3">
      <c r="A1333" s="12"/>
      <c r="B1333" s="12"/>
      <c r="C1333" s="12"/>
      <c r="D1333" s="3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</row>
    <row r="1334" spans="1:30" ht="15.75" thickBot="1" x14ac:dyDescent="0.3">
      <c r="A1334" s="12"/>
      <c r="B1334" s="12"/>
      <c r="C1334" s="12"/>
      <c r="D1334" s="3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</row>
    <row r="1335" spans="1:30" ht="15.75" thickBot="1" x14ac:dyDescent="0.3">
      <c r="A1335" s="12"/>
      <c r="B1335" s="12"/>
      <c r="C1335" s="12"/>
      <c r="D1335" s="3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</row>
    <row r="1336" spans="1:30" ht="15.75" thickBot="1" x14ac:dyDescent="0.3">
      <c r="A1336" s="12"/>
      <c r="B1336" s="12"/>
      <c r="C1336" s="12"/>
      <c r="D1336" s="3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</row>
    <row r="1337" spans="1:30" ht="15.75" thickBot="1" x14ac:dyDescent="0.3">
      <c r="A1337" s="12"/>
      <c r="B1337" s="12"/>
      <c r="C1337" s="12"/>
      <c r="D1337" s="3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</row>
    <row r="1338" spans="1:30" ht="15.75" thickBot="1" x14ac:dyDescent="0.3">
      <c r="A1338" s="12"/>
      <c r="B1338" s="12"/>
      <c r="C1338" s="12"/>
      <c r="D1338" s="3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</row>
    <row r="1339" spans="1:30" ht="15.75" thickBot="1" x14ac:dyDescent="0.3">
      <c r="A1339" s="12"/>
      <c r="B1339" s="12"/>
      <c r="C1339" s="12"/>
      <c r="D1339" s="3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</row>
    <row r="1340" spans="1:30" ht="15.75" thickBot="1" x14ac:dyDescent="0.3">
      <c r="A1340" s="12"/>
      <c r="B1340" s="12"/>
      <c r="C1340" s="12"/>
      <c r="D1340" s="3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</row>
    <row r="1341" spans="1:30" ht="15.75" thickBot="1" x14ac:dyDescent="0.3">
      <c r="A1341" s="12"/>
      <c r="B1341" s="12"/>
      <c r="C1341" s="12"/>
      <c r="D1341" s="3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</row>
    <row r="1342" spans="1:30" ht="15.75" thickBot="1" x14ac:dyDescent="0.3">
      <c r="A1342" s="12"/>
      <c r="B1342" s="12"/>
      <c r="C1342" s="12"/>
      <c r="D1342" s="3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</row>
    <row r="1343" spans="1:30" ht="15.75" thickBot="1" x14ac:dyDescent="0.3">
      <c r="A1343" s="12"/>
      <c r="B1343" s="12"/>
      <c r="C1343" s="12"/>
      <c r="D1343" s="3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</row>
    <row r="1344" spans="1:30" ht="15.75" thickBot="1" x14ac:dyDescent="0.3">
      <c r="A1344" s="12"/>
      <c r="B1344" s="12"/>
      <c r="C1344" s="12"/>
      <c r="D1344" s="3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</row>
    <row r="1345" spans="1:30" ht="15.75" thickBot="1" x14ac:dyDescent="0.3">
      <c r="A1345" s="12"/>
      <c r="B1345" s="12"/>
      <c r="C1345" s="12"/>
      <c r="D1345" s="3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</row>
    <row r="1346" spans="1:30" ht="15.75" thickBot="1" x14ac:dyDescent="0.3">
      <c r="A1346" s="12"/>
      <c r="B1346" s="12"/>
      <c r="C1346" s="12"/>
      <c r="D1346" s="3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</row>
    <row r="1347" spans="1:30" ht="15.75" thickBot="1" x14ac:dyDescent="0.3">
      <c r="A1347" s="12"/>
      <c r="B1347" s="12"/>
      <c r="C1347" s="12"/>
      <c r="D1347" s="3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</row>
    <row r="1348" spans="1:30" ht="15.75" thickBot="1" x14ac:dyDescent="0.3">
      <c r="A1348" s="12"/>
      <c r="B1348" s="12"/>
      <c r="C1348" s="12"/>
      <c r="D1348" s="3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</row>
    <row r="1349" spans="1:30" ht="15.75" thickBot="1" x14ac:dyDescent="0.3">
      <c r="A1349" s="12"/>
      <c r="B1349" s="12"/>
      <c r="C1349" s="12"/>
      <c r="D1349" s="3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</row>
    <row r="1350" spans="1:30" ht="15.75" thickBot="1" x14ac:dyDescent="0.3">
      <c r="A1350" s="12"/>
      <c r="B1350" s="12"/>
      <c r="C1350" s="12"/>
      <c r="D1350" s="3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</row>
    <row r="1351" spans="1:30" ht="15.75" thickBot="1" x14ac:dyDescent="0.3">
      <c r="A1351" s="12"/>
      <c r="B1351" s="12"/>
      <c r="C1351" s="12"/>
      <c r="D1351" s="3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</row>
    <row r="1352" spans="1:30" ht="15.75" thickBot="1" x14ac:dyDescent="0.3">
      <c r="A1352" s="12"/>
      <c r="B1352" s="12"/>
      <c r="C1352" s="12"/>
      <c r="D1352" s="3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</row>
    <row r="1353" spans="1:30" ht="15.75" thickBot="1" x14ac:dyDescent="0.3">
      <c r="A1353" s="12"/>
      <c r="B1353" s="12"/>
      <c r="C1353" s="12"/>
      <c r="D1353" s="3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</row>
    <row r="1354" spans="1:30" ht="15.75" thickBot="1" x14ac:dyDescent="0.3">
      <c r="A1354" s="12"/>
      <c r="B1354" s="12"/>
      <c r="C1354" s="12"/>
      <c r="D1354" s="3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</row>
    <row r="1355" spans="1:30" ht="15.75" thickBot="1" x14ac:dyDescent="0.3">
      <c r="A1355" s="12"/>
      <c r="B1355" s="12"/>
      <c r="C1355" s="12"/>
      <c r="D1355" s="3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</row>
    <row r="1356" spans="1:30" ht="15.75" thickBot="1" x14ac:dyDescent="0.3">
      <c r="A1356" s="12"/>
      <c r="B1356" s="12"/>
      <c r="C1356" s="12"/>
      <c r="D1356" s="3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</row>
    <row r="1357" spans="1:30" ht="15.75" thickBot="1" x14ac:dyDescent="0.3">
      <c r="A1357" s="12"/>
      <c r="B1357" s="12"/>
      <c r="C1357" s="12"/>
      <c r="D1357" s="3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</row>
    <row r="1358" spans="1:30" ht="15.75" thickBot="1" x14ac:dyDescent="0.3">
      <c r="A1358" s="12"/>
      <c r="B1358" s="12"/>
      <c r="C1358" s="12"/>
      <c r="D1358" s="3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</row>
    <row r="1359" spans="1:30" ht="15.75" thickBot="1" x14ac:dyDescent="0.3">
      <c r="A1359" s="12"/>
      <c r="B1359" s="12"/>
      <c r="C1359" s="12"/>
      <c r="D1359" s="3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</row>
    <row r="1360" spans="1:30" ht="15.75" thickBot="1" x14ac:dyDescent="0.3">
      <c r="A1360" s="12"/>
      <c r="B1360" s="12"/>
      <c r="C1360" s="12"/>
      <c r="D1360" s="3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</row>
    <row r="1361" spans="1:30" ht="15.75" thickBot="1" x14ac:dyDescent="0.3">
      <c r="A1361" s="12"/>
      <c r="B1361" s="12"/>
      <c r="C1361" s="12"/>
      <c r="D1361" s="3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</row>
    <row r="1362" spans="1:30" ht="15.75" thickBot="1" x14ac:dyDescent="0.3">
      <c r="A1362" s="12"/>
      <c r="B1362" s="12"/>
      <c r="C1362" s="12"/>
      <c r="D1362" s="3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</row>
    <row r="1363" spans="1:30" ht="15.75" thickBot="1" x14ac:dyDescent="0.3">
      <c r="A1363" s="12"/>
      <c r="B1363" s="12"/>
      <c r="C1363" s="12"/>
      <c r="D1363" s="3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</row>
    <row r="1364" spans="1:30" ht="15.75" thickBot="1" x14ac:dyDescent="0.3">
      <c r="A1364" s="12"/>
      <c r="B1364" s="12"/>
      <c r="C1364" s="12"/>
      <c r="D1364" s="3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</row>
    <row r="1365" spans="1:30" ht="15.75" thickBot="1" x14ac:dyDescent="0.3">
      <c r="A1365" s="12"/>
      <c r="B1365" s="12"/>
      <c r="C1365" s="12"/>
      <c r="D1365" s="3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</row>
    <row r="1366" spans="1:30" ht="15.75" thickBot="1" x14ac:dyDescent="0.3">
      <c r="A1366" s="12"/>
      <c r="B1366" s="12"/>
      <c r="C1366" s="12"/>
      <c r="D1366" s="3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</row>
    <row r="1367" spans="1:30" ht="15.75" thickBot="1" x14ac:dyDescent="0.3">
      <c r="A1367" s="12"/>
      <c r="B1367" s="12"/>
      <c r="C1367" s="12"/>
      <c r="D1367" s="3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</row>
    <row r="1368" spans="1:30" ht="15.75" thickBot="1" x14ac:dyDescent="0.3">
      <c r="A1368" s="12"/>
      <c r="B1368" s="12"/>
      <c r="C1368" s="12"/>
      <c r="D1368" s="3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</row>
    <row r="1369" spans="1:30" ht="15.75" thickBot="1" x14ac:dyDescent="0.3">
      <c r="A1369" s="12"/>
      <c r="B1369" s="12"/>
      <c r="C1369" s="12"/>
      <c r="D1369" s="3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</row>
    <row r="1370" spans="1:30" ht="15.75" thickBot="1" x14ac:dyDescent="0.3">
      <c r="A1370" s="12"/>
      <c r="B1370" s="12"/>
      <c r="C1370" s="12"/>
      <c r="D1370" s="3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</row>
    <row r="1371" spans="1:30" ht="15.75" thickBot="1" x14ac:dyDescent="0.3">
      <c r="A1371" s="12"/>
      <c r="B1371" s="12"/>
      <c r="C1371" s="12"/>
      <c r="D1371" s="3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</row>
    <row r="1372" spans="1:30" ht="15.75" thickBot="1" x14ac:dyDescent="0.3">
      <c r="A1372" s="12"/>
      <c r="B1372" s="12"/>
      <c r="C1372" s="12"/>
      <c r="D1372" s="3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</row>
    <row r="1373" spans="1:30" ht="15.75" thickBot="1" x14ac:dyDescent="0.3">
      <c r="A1373" s="12"/>
      <c r="B1373" s="12"/>
      <c r="C1373" s="12"/>
      <c r="D1373" s="3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</row>
    <row r="1374" spans="1:30" ht="15.75" thickBot="1" x14ac:dyDescent="0.3">
      <c r="A1374" s="12"/>
      <c r="B1374" s="12"/>
      <c r="C1374" s="12"/>
      <c r="D1374" s="3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</row>
    <row r="1375" spans="1:30" ht="15.75" thickBot="1" x14ac:dyDescent="0.3">
      <c r="A1375" s="12"/>
      <c r="B1375" s="12"/>
      <c r="C1375" s="12"/>
      <c r="D1375" s="3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</row>
    <row r="1376" spans="1:30" ht="15.75" thickBot="1" x14ac:dyDescent="0.3">
      <c r="A1376" s="12"/>
      <c r="B1376" s="12"/>
      <c r="C1376" s="12"/>
      <c r="D1376" s="3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</row>
    <row r="1377" spans="1:30" ht="15.75" thickBot="1" x14ac:dyDescent="0.3">
      <c r="A1377" s="12"/>
      <c r="B1377" s="12"/>
      <c r="C1377" s="12"/>
      <c r="D1377" s="3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</row>
    <row r="1378" spans="1:30" ht="15.75" thickBot="1" x14ac:dyDescent="0.3">
      <c r="A1378" s="12"/>
      <c r="B1378" s="12"/>
      <c r="C1378" s="12"/>
      <c r="D1378" s="3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</row>
    <row r="1379" spans="1:30" ht="15.75" thickBot="1" x14ac:dyDescent="0.3">
      <c r="A1379" s="12"/>
      <c r="B1379" s="12"/>
      <c r="C1379" s="12"/>
      <c r="D1379" s="3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</row>
    <row r="1380" spans="1:30" ht="15.75" thickBot="1" x14ac:dyDescent="0.3">
      <c r="A1380" s="12"/>
      <c r="B1380" s="12"/>
      <c r="C1380" s="12"/>
      <c r="D1380" s="3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</row>
    <row r="1381" spans="1:30" ht="15.75" thickBot="1" x14ac:dyDescent="0.3">
      <c r="A1381" s="12"/>
      <c r="B1381" s="12"/>
      <c r="C1381" s="12"/>
      <c r="D1381" s="3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</row>
    <row r="1382" spans="1:30" ht="15.75" thickBot="1" x14ac:dyDescent="0.3">
      <c r="A1382" s="12"/>
      <c r="B1382" s="12"/>
      <c r="C1382" s="12"/>
      <c r="D1382" s="3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</row>
    <row r="1383" spans="1:30" ht="15.75" thickBot="1" x14ac:dyDescent="0.3">
      <c r="A1383" s="12"/>
      <c r="B1383" s="12"/>
      <c r="C1383" s="12"/>
      <c r="D1383" s="3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</row>
    <row r="1384" spans="1:30" ht="15.75" thickBot="1" x14ac:dyDescent="0.3">
      <c r="A1384" s="12"/>
      <c r="B1384" s="12"/>
      <c r="C1384" s="12"/>
      <c r="D1384" s="3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</row>
    <row r="1385" spans="1:30" ht="15.75" thickBot="1" x14ac:dyDescent="0.3">
      <c r="A1385" s="12"/>
      <c r="B1385" s="12"/>
      <c r="C1385" s="12"/>
      <c r="D1385" s="3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</row>
    <row r="1386" spans="1:30" ht="15.75" thickBot="1" x14ac:dyDescent="0.3">
      <c r="A1386" s="12"/>
      <c r="B1386" s="12"/>
      <c r="C1386" s="12"/>
      <c r="D1386" s="3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</row>
    <row r="1387" spans="1:30" ht="15.75" thickBot="1" x14ac:dyDescent="0.3">
      <c r="A1387" s="12"/>
      <c r="B1387" s="12"/>
      <c r="C1387" s="12"/>
      <c r="D1387" s="3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</row>
    <row r="1388" spans="1:30" ht="15.75" thickBot="1" x14ac:dyDescent="0.3">
      <c r="A1388" s="12"/>
      <c r="B1388" s="12"/>
      <c r="C1388" s="12"/>
      <c r="D1388" s="3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</row>
    <row r="1389" spans="1:30" ht="15.75" thickBot="1" x14ac:dyDescent="0.3">
      <c r="A1389" s="12"/>
      <c r="B1389" s="12"/>
      <c r="C1389" s="12"/>
      <c r="D1389" s="3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</row>
    <row r="1390" spans="1:30" ht="15.75" thickBot="1" x14ac:dyDescent="0.3">
      <c r="A1390" s="12"/>
      <c r="B1390" s="12"/>
      <c r="C1390" s="12"/>
      <c r="D1390" s="3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</row>
    <row r="1391" spans="1:30" ht="15.75" thickBot="1" x14ac:dyDescent="0.3">
      <c r="A1391" s="12"/>
      <c r="B1391" s="12"/>
      <c r="C1391" s="12"/>
      <c r="D1391" s="3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</row>
    <row r="1392" spans="1:30" ht="15.75" thickBot="1" x14ac:dyDescent="0.3">
      <c r="A1392" s="12"/>
      <c r="B1392" s="12"/>
      <c r="C1392" s="12"/>
      <c r="D1392" s="3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</row>
    <row r="1393" spans="1:30" ht="15.75" thickBot="1" x14ac:dyDescent="0.3">
      <c r="A1393" s="12"/>
      <c r="B1393" s="12"/>
      <c r="C1393" s="12"/>
      <c r="D1393" s="3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</row>
    <row r="1394" spans="1:30" ht="15.75" thickBot="1" x14ac:dyDescent="0.3">
      <c r="A1394" s="12"/>
      <c r="B1394" s="12"/>
      <c r="C1394" s="12"/>
      <c r="D1394" s="3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</row>
    <row r="1395" spans="1:30" ht="15.75" thickBot="1" x14ac:dyDescent="0.3">
      <c r="A1395" s="12"/>
      <c r="B1395" s="12"/>
      <c r="C1395" s="12"/>
      <c r="D1395" s="3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</row>
    <row r="1396" spans="1:30" ht="15.75" thickBot="1" x14ac:dyDescent="0.3">
      <c r="A1396" s="12"/>
      <c r="B1396" s="12"/>
      <c r="C1396" s="12"/>
      <c r="D1396" s="3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</row>
    <row r="1397" spans="1:30" ht="15.75" thickBot="1" x14ac:dyDescent="0.3">
      <c r="A1397" s="12"/>
      <c r="B1397" s="12"/>
      <c r="C1397" s="12"/>
      <c r="D1397" s="3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</row>
    <row r="1398" spans="1:30" ht="15.75" thickBot="1" x14ac:dyDescent="0.3">
      <c r="A1398" s="12"/>
      <c r="B1398" s="12"/>
      <c r="C1398" s="12"/>
      <c r="D1398" s="3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</row>
    <row r="1399" spans="1:30" ht="15.75" thickBot="1" x14ac:dyDescent="0.3">
      <c r="A1399" s="12"/>
      <c r="B1399" s="12"/>
      <c r="C1399" s="12"/>
      <c r="D1399" s="3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</row>
    <row r="1400" spans="1:30" ht="15.75" thickBot="1" x14ac:dyDescent="0.3">
      <c r="A1400" s="12"/>
      <c r="B1400" s="12"/>
      <c r="C1400" s="12"/>
      <c r="D1400" s="3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</row>
    <row r="1401" spans="1:30" ht="15.75" thickBot="1" x14ac:dyDescent="0.3">
      <c r="A1401" s="12"/>
      <c r="B1401" s="12"/>
      <c r="C1401" s="12"/>
      <c r="D1401" s="3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</row>
    <row r="1402" spans="1:30" ht="15.75" thickBot="1" x14ac:dyDescent="0.3">
      <c r="A1402" s="12"/>
      <c r="B1402" s="12"/>
      <c r="C1402" s="12"/>
      <c r="D1402" s="3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</row>
    <row r="1403" spans="1:30" ht="15.75" thickBot="1" x14ac:dyDescent="0.3">
      <c r="A1403" s="12"/>
      <c r="B1403" s="12"/>
      <c r="C1403" s="12"/>
      <c r="D1403" s="3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</row>
    <row r="1404" spans="1:30" ht="15.75" thickBot="1" x14ac:dyDescent="0.3">
      <c r="A1404" s="12"/>
      <c r="B1404" s="12"/>
      <c r="C1404" s="12"/>
      <c r="D1404" s="3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</row>
    <row r="1405" spans="1:30" ht="15.75" thickBot="1" x14ac:dyDescent="0.3">
      <c r="A1405" s="12"/>
      <c r="B1405" s="12"/>
      <c r="C1405" s="12"/>
      <c r="D1405" s="3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</row>
    <row r="1406" spans="1:30" ht="15.75" thickBot="1" x14ac:dyDescent="0.3">
      <c r="A1406" s="12"/>
      <c r="B1406" s="12"/>
      <c r="C1406" s="12"/>
      <c r="D1406" s="3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</row>
    <row r="1407" spans="1:30" ht="15.75" thickBot="1" x14ac:dyDescent="0.3">
      <c r="A1407" s="12"/>
      <c r="B1407" s="12"/>
      <c r="C1407" s="12"/>
      <c r="D1407" s="3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</row>
    <row r="1408" spans="1:30" ht="15.75" thickBot="1" x14ac:dyDescent="0.3">
      <c r="A1408" s="12"/>
      <c r="B1408" s="12"/>
      <c r="C1408" s="12"/>
      <c r="D1408" s="3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</row>
    <row r="1409" spans="1:30" ht="15.75" thickBot="1" x14ac:dyDescent="0.3">
      <c r="A1409" s="12"/>
      <c r="B1409" s="12"/>
      <c r="C1409" s="12"/>
      <c r="D1409" s="3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</row>
    <row r="1410" spans="1:30" ht="15.75" thickBot="1" x14ac:dyDescent="0.3">
      <c r="A1410" s="12"/>
      <c r="B1410" s="12"/>
      <c r="C1410" s="12"/>
      <c r="D1410" s="3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</row>
    <row r="1411" spans="1:30" ht="15.75" thickBot="1" x14ac:dyDescent="0.3">
      <c r="A1411" s="12"/>
      <c r="B1411" s="12"/>
      <c r="C1411" s="12"/>
      <c r="D1411" s="3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</row>
    <row r="1412" spans="1:30" ht="15.75" thickBot="1" x14ac:dyDescent="0.3">
      <c r="A1412" s="12"/>
      <c r="B1412" s="12"/>
      <c r="C1412" s="12"/>
      <c r="D1412" s="3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</row>
    <row r="1413" spans="1:30" ht="15.75" thickBot="1" x14ac:dyDescent="0.3">
      <c r="A1413" s="12"/>
      <c r="B1413" s="12"/>
      <c r="C1413" s="12"/>
      <c r="D1413" s="3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</row>
    <row r="1414" spans="1:30" ht="15.75" thickBot="1" x14ac:dyDescent="0.3">
      <c r="A1414" s="12"/>
      <c r="B1414" s="12"/>
      <c r="C1414" s="12"/>
      <c r="D1414" s="3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</row>
    <row r="1415" spans="1:30" ht="15.75" thickBot="1" x14ac:dyDescent="0.3">
      <c r="A1415" s="12"/>
      <c r="B1415" s="12"/>
      <c r="C1415" s="12"/>
      <c r="D1415" s="3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</row>
    <row r="1416" spans="1:30" ht="15.75" thickBot="1" x14ac:dyDescent="0.3">
      <c r="A1416" s="12"/>
      <c r="B1416" s="12"/>
      <c r="C1416" s="12"/>
      <c r="D1416" s="3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</row>
    <row r="1417" spans="1:30" ht="15.75" thickBot="1" x14ac:dyDescent="0.3">
      <c r="A1417" s="12"/>
      <c r="B1417" s="12"/>
      <c r="C1417" s="12"/>
      <c r="D1417" s="3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</row>
    <row r="1418" spans="1:30" ht="15.75" thickBot="1" x14ac:dyDescent="0.3">
      <c r="A1418" s="12"/>
      <c r="B1418" s="12"/>
      <c r="C1418" s="12"/>
      <c r="D1418" s="3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</row>
    <row r="1419" spans="1:30" ht="15.75" thickBot="1" x14ac:dyDescent="0.3">
      <c r="A1419" s="12"/>
      <c r="B1419" s="12"/>
      <c r="C1419" s="12"/>
      <c r="D1419" s="3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</row>
    <row r="1420" spans="1:30" ht="15.75" thickBot="1" x14ac:dyDescent="0.3">
      <c r="A1420" s="12"/>
      <c r="B1420" s="12"/>
      <c r="C1420" s="12"/>
      <c r="D1420" s="3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</row>
    <row r="1421" spans="1:30" ht="15.75" thickBot="1" x14ac:dyDescent="0.3">
      <c r="A1421" s="12"/>
      <c r="B1421" s="12"/>
      <c r="C1421" s="12"/>
      <c r="D1421" s="3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</row>
    <row r="1422" spans="1:30" ht="15.75" thickBot="1" x14ac:dyDescent="0.3">
      <c r="A1422" s="12"/>
      <c r="B1422" s="12"/>
      <c r="C1422" s="12"/>
      <c r="D1422" s="3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</row>
    <row r="1423" spans="1:30" ht="15.75" thickBot="1" x14ac:dyDescent="0.3">
      <c r="A1423" s="12"/>
      <c r="B1423" s="12"/>
      <c r="C1423" s="12"/>
      <c r="D1423" s="3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</row>
    <row r="1424" spans="1:30" ht="15.75" thickBot="1" x14ac:dyDescent="0.3">
      <c r="A1424" s="12"/>
      <c r="B1424" s="12"/>
      <c r="C1424" s="12"/>
      <c r="D1424" s="3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</row>
    <row r="1425" spans="1:30" ht="15.75" thickBot="1" x14ac:dyDescent="0.3">
      <c r="A1425" s="12"/>
      <c r="B1425" s="12"/>
      <c r="C1425" s="12"/>
      <c r="D1425" s="3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</row>
    <row r="1426" spans="1:30" ht="15.75" thickBot="1" x14ac:dyDescent="0.3">
      <c r="A1426" s="12"/>
      <c r="B1426" s="12"/>
      <c r="C1426" s="12"/>
      <c r="D1426" s="3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</row>
    <row r="1427" spans="1:30" ht="15.75" thickBot="1" x14ac:dyDescent="0.3">
      <c r="A1427" s="12"/>
      <c r="B1427" s="12"/>
      <c r="C1427" s="12"/>
      <c r="D1427" s="3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</row>
    <row r="1428" spans="1:30" ht="15.75" thickBot="1" x14ac:dyDescent="0.3">
      <c r="A1428" s="12"/>
      <c r="B1428" s="12"/>
      <c r="C1428" s="12"/>
      <c r="D1428" s="3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</row>
    <row r="1429" spans="1:30" ht="15.75" thickBot="1" x14ac:dyDescent="0.3">
      <c r="A1429" s="12"/>
      <c r="B1429" s="12"/>
      <c r="C1429" s="12"/>
      <c r="D1429" s="3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</row>
    <row r="1430" spans="1:30" ht="15.75" thickBot="1" x14ac:dyDescent="0.3">
      <c r="A1430" s="12"/>
      <c r="B1430" s="12"/>
      <c r="C1430" s="12"/>
      <c r="D1430" s="3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</row>
    <row r="1431" spans="1:30" ht="15.75" thickBot="1" x14ac:dyDescent="0.3">
      <c r="A1431" s="12"/>
      <c r="B1431" s="12"/>
      <c r="C1431" s="12"/>
      <c r="D1431" s="3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</row>
    <row r="1432" spans="1:30" ht="15.75" thickBot="1" x14ac:dyDescent="0.3">
      <c r="A1432" s="12"/>
      <c r="B1432" s="12"/>
      <c r="C1432" s="12"/>
      <c r="D1432" s="3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</row>
    <row r="1433" spans="1:30" ht="15.75" thickBot="1" x14ac:dyDescent="0.3">
      <c r="A1433" s="12"/>
      <c r="B1433" s="12"/>
      <c r="C1433" s="12"/>
      <c r="D1433" s="3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</row>
    <row r="1434" spans="1:30" ht="15.75" thickBot="1" x14ac:dyDescent="0.3">
      <c r="A1434" s="12"/>
      <c r="B1434" s="12"/>
      <c r="C1434" s="12"/>
      <c r="D1434" s="3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</row>
    <row r="1435" spans="1:30" ht="15.75" thickBot="1" x14ac:dyDescent="0.3">
      <c r="A1435" s="12"/>
      <c r="B1435" s="12"/>
      <c r="C1435" s="12"/>
      <c r="D1435" s="3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</row>
    <row r="1436" spans="1:30" ht="15.75" thickBot="1" x14ac:dyDescent="0.3">
      <c r="A1436" s="12"/>
      <c r="B1436" s="12"/>
      <c r="C1436" s="12"/>
      <c r="D1436" s="3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</row>
    <row r="1437" spans="1:30" ht="15.75" thickBot="1" x14ac:dyDescent="0.3">
      <c r="A1437" s="12"/>
      <c r="B1437" s="12"/>
      <c r="C1437" s="12"/>
      <c r="D1437" s="3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</row>
    <row r="1438" spans="1:30" ht="15.75" thickBot="1" x14ac:dyDescent="0.3">
      <c r="A1438" s="12"/>
      <c r="B1438" s="12"/>
      <c r="C1438" s="12"/>
      <c r="D1438" s="3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</row>
    <row r="1439" spans="1:30" ht="15.75" thickBot="1" x14ac:dyDescent="0.3">
      <c r="A1439" s="12"/>
      <c r="B1439" s="12"/>
      <c r="C1439" s="12"/>
      <c r="D1439" s="3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</row>
    <row r="1440" spans="1:30" ht="15.75" thickBot="1" x14ac:dyDescent="0.3">
      <c r="A1440" s="12"/>
      <c r="B1440" s="12"/>
      <c r="C1440" s="12"/>
      <c r="D1440" s="3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</row>
    <row r="1441" spans="1:30" ht="15.75" thickBot="1" x14ac:dyDescent="0.3">
      <c r="A1441" s="12"/>
      <c r="B1441" s="12"/>
      <c r="C1441" s="12"/>
      <c r="D1441" s="3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</row>
    <row r="1442" spans="1:30" ht="15.75" thickBot="1" x14ac:dyDescent="0.3">
      <c r="A1442" s="12"/>
      <c r="B1442" s="12"/>
      <c r="C1442" s="12"/>
      <c r="D1442" s="3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</row>
    <row r="1443" spans="1:30" ht="15.75" thickBot="1" x14ac:dyDescent="0.3">
      <c r="A1443" s="12"/>
      <c r="B1443" s="12"/>
      <c r="C1443" s="12"/>
      <c r="D1443" s="3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</row>
    <row r="1444" spans="1:30" ht="15.75" thickBot="1" x14ac:dyDescent="0.3">
      <c r="A1444" s="12"/>
      <c r="B1444" s="12"/>
      <c r="C1444" s="12"/>
      <c r="D1444" s="3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</row>
    <row r="1445" spans="1:30" ht="15.75" thickBot="1" x14ac:dyDescent="0.3">
      <c r="A1445" s="12"/>
      <c r="B1445" s="12"/>
      <c r="C1445" s="12"/>
      <c r="D1445" s="3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</row>
    <row r="1446" spans="1:30" ht="15.75" thickBot="1" x14ac:dyDescent="0.3">
      <c r="A1446" s="12"/>
      <c r="B1446" s="12"/>
      <c r="C1446" s="12"/>
      <c r="D1446" s="3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</row>
    <row r="1447" spans="1:30" ht="15.75" thickBot="1" x14ac:dyDescent="0.3">
      <c r="A1447" s="12"/>
      <c r="B1447" s="12"/>
      <c r="C1447" s="12"/>
      <c r="D1447" s="3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</row>
    <row r="1448" spans="1:30" ht="15.75" thickBot="1" x14ac:dyDescent="0.3">
      <c r="A1448" s="12"/>
      <c r="B1448" s="12"/>
      <c r="C1448" s="12"/>
      <c r="D1448" s="3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</row>
    <row r="1449" spans="1:30" ht="15.75" thickBot="1" x14ac:dyDescent="0.3">
      <c r="A1449" s="12"/>
      <c r="B1449" s="12"/>
      <c r="C1449" s="12"/>
      <c r="D1449" s="3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</row>
    <row r="1450" spans="1:30" ht="15.75" thickBot="1" x14ac:dyDescent="0.3">
      <c r="A1450" s="12"/>
      <c r="B1450" s="12"/>
      <c r="C1450" s="12"/>
      <c r="D1450" s="3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</row>
    <row r="1451" spans="1:30" ht="15.75" thickBot="1" x14ac:dyDescent="0.3">
      <c r="A1451" s="12"/>
      <c r="B1451" s="12"/>
      <c r="C1451" s="12"/>
      <c r="D1451" s="3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</row>
    <row r="1452" spans="1:30" ht="15.75" thickBot="1" x14ac:dyDescent="0.3">
      <c r="A1452" s="12"/>
      <c r="B1452" s="12"/>
      <c r="C1452" s="12"/>
      <c r="D1452" s="3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</row>
    <row r="1453" spans="1:30" ht="15.75" thickBot="1" x14ac:dyDescent="0.3">
      <c r="A1453" s="12"/>
      <c r="B1453" s="12"/>
      <c r="C1453" s="12"/>
      <c r="D1453" s="3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</row>
    <row r="1454" spans="1:30" ht="15.75" thickBot="1" x14ac:dyDescent="0.3">
      <c r="A1454" s="12"/>
      <c r="B1454" s="12"/>
      <c r="C1454" s="12"/>
      <c r="D1454" s="3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</row>
    <row r="1455" spans="1:30" ht="15.75" thickBot="1" x14ac:dyDescent="0.3">
      <c r="A1455" s="12"/>
      <c r="B1455" s="12"/>
      <c r="C1455" s="12"/>
      <c r="D1455" s="3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</row>
    <row r="1456" spans="1:30" ht="15.75" thickBot="1" x14ac:dyDescent="0.3">
      <c r="A1456" s="12"/>
      <c r="B1456" s="12"/>
      <c r="C1456" s="12"/>
      <c r="D1456" s="3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</row>
    <row r="1457" spans="1:30" ht="15.75" thickBot="1" x14ac:dyDescent="0.3">
      <c r="A1457" s="12"/>
      <c r="B1457" s="12"/>
      <c r="C1457" s="12"/>
      <c r="D1457" s="3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</row>
    <row r="1458" spans="1:30" ht="15.75" thickBot="1" x14ac:dyDescent="0.3">
      <c r="A1458" s="12"/>
      <c r="B1458" s="12"/>
      <c r="C1458" s="12"/>
      <c r="D1458" s="3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</row>
    <row r="1459" spans="1:30" ht="15.75" thickBot="1" x14ac:dyDescent="0.3">
      <c r="A1459" s="12"/>
      <c r="B1459" s="12"/>
      <c r="C1459" s="12"/>
      <c r="D1459" s="3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</row>
    <row r="1460" spans="1:30" ht="15.75" thickBot="1" x14ac:dyDescent="0.3">
      <c r="A1460" s="12"/>
      <c r="B1460" s="12"/>
      <c r="C1460" s="12"/>
      <c r="D1460" s="3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</row>
    <row r="1461" spans="1:30" ht="15.75" thickBot="1" x14ac:dyDescent="0.3">
      <c r="A1461" s="12"/>
      <c r="B1461" s="12"/>
      <c r="C1461" s="12"/>
      <c r="D1461" s="3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</row>
    <row r="1462" spans="1:30" ht="15.75" thickBot="1" x14ac:dyDescent="0.3">
      <c r="A1462" s="12"/>
      <c r="B1462" s="12"/>
      <c r="C1462" s="12"/>
      <c r="D1462" s="3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</row>
    <row r="1463" spans="1:30" ht="15.75" thickBot="1" x14ac:dyDescent="0.3">
      <c r="A1463" s="12"/>
      <c r="B1463" s="12"/>
      <c r="C1463" s="12"/>
      <c r="D1463" s="3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</row>
    <row r="1464" spans="1:30" ht="15.75" thickBot="1" x14ac:dyDescent="0.3">
      <c r="A1464" s="12"/>
      <c r="B1464" s="12"/>
      <c r="C1464" s="12"/>
      <c r="D1464" s="3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</row>
    <row r="1465" spans="1:30" ht="15.75" thickBot="1" x14ac:dyDescent="0.3">
      <c r="A1465" s="12"/>
      <c r="B1465" s="12"/>
      <c r="C1465" s="12"/>
      <c r="D1465" s="3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</row>
    <row r="1466" spans="1:30" ht="15.75" thickBot="1" x14ac:dyDescent="0.3">
      <c r="A1466" s="12"/>
      <c r="B1466" s="12"/>
      <c r="C1466" s="12"/>
      <c r="D1466" s="3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</row>
    <row r="1467" spans="1:30" ht="15.75" thickBot="1" x14ac:dyDescent="0.3">
      <c r="A1467" s="12"/>
      <c r="B1467" s="12"/>
      <c r="C1467" s="12"/>
      <c r="D1467" s="3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</row>
    <row r="1468" spans="1:30" ht="15.75" thickBot="1" x14ac:dyDescent="0.3">
      <c r="A1468" s="12"/>
      <c r="B1468" s="12"/>
      <c r="C1468" s="12"/>
      <c r="D1468" s="3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</row>
    <row r="1469" spans="1:30" ht="15.75" thickBot="1" x14ac:dyDescent="0.3">
      <c r="A1469" s="12"/>
      <c r="B1469" s="12"/>
      <c r="C1469" s="12"/>
      <c r="D1469" s="3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</row>
    <row r="1470" spans="1:30" ht="15.75" thickBot="1" x14ac:dyDescent="0.3">
      <c r="A1470" s="12"/>
      <c r="B1470" s="12"/>
      <c r="C1470" s="12"/>
      <c r="D1470" s="3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</row>
    <row r="1471" spans="1:30" ht="15.75" thickBot="1" x14ac:dyDescent="0.3">
      <c r="A1471" s="12"/>
      <c r="B1471" s="12"/>
      <c r="C1471" s="12"/>
      <c r="D1471" s="3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</row>
    <row r="1472" spans="1:30" ht="15.75" thickBot="1" x14ac:dyDescent="0.3">
      <c r="A1472" s="12"/>
      <c r="B1472" s="12"/>
      <c r="C1472" s="12"/>
      <c r="D1472" s="3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</row>
    <row r="1473" spans="1:30" ht="15.75" thickBot="1" x14ac:dyDescent="0.3">
      <c r="A1473" s="12"/>
      <c r="B1473" s="12"/>
      <c r="C1473" s="12"/>
      <c r="D1473" s="3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</row>
    <row r="1474" spans="1:30" ht="15.75" thickBot="1" x14ac:dyDescent="0.3">
      <c r="A1474" s="12"/>
      <c r="B1474" s="12"/>
      <c r="C1474" s="12"/>
      <c r="D1474" s="3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</row>
    <row r="1475" spans="1:30" ht="15.75" thickBot="1" x14ac:dyDescent="0.3">
      <c r="A1475" s="12"/>
      <c r="B1475" s="12"/>
      <c r="C1475" s="12"/>
      <c r="D1475" s="3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</row>
    <row r="1476" spans="1:30" ht="15.75" thickBot="1" x14ac:dyDescent="0.3">
      <c r="A1476" s="12"/>
      <c r="B1476" s="12"/>
      <c r="C1476" s="12"/>
      <c r="D1476" s="3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</row>
    <row r="1477" spans="1:30" ht="15.75" thickBot="1" x14ac:dyDescent="0.3">
      <c r="A1477" s="12"/>
      <c r="B1477" s="12"/>
      <c r="C1477" s="12"/>
      <c r="D1477" s="3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</row>
    <row r="1478" spans="1:30" ht="15.75" thickBot="1" x14ac:dyDescent="0.3">
      <c r="A1478" s="12"/>
      <c r="B1478" s="12"/>
      <c r="C1478" s="12"/>
      <c r="D1478" s="3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</row>
    <row r="1479" spans="1:30" ht="15.75" thickBot="1" x14ac:dyDescent="0.3">
      <c r="A1479" s="12"/>
      <c r="B1479" s="12"/>
      <c r="C1479" s="12"/>
      <c r="D1479" s="3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</row>
    <row r="1480" spans="1:30" ht="15.75" thickBot="1" x14ac:dyDescent="0.3">
      <c r="A1480" s="12"/>
      <c r="B1480" s="12"/>
      <c r="C1480" s="12"/>
      <c r="D1480" s="3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</row>
    <row r="1481" spans="1:30" ht="15.75" thickBot="1" x14ac:dyDescent="0.3">
      <c r="A1481" s="12"/>
      <c r="B1481" s="12"/>
      <c r="C1481" s="12"/>
      <c r="D1481" s="3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</row>
    <row r="1482" spans="1:30" ht="15.75" thickBot="1" x14ac:dyDescent="0.3">
      <c r="A1482" s="12"/>
      <c r="B1482" s="12"/>
      <c r="C1482" s="12"/>
      <c r="D1482" s="3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</row>
    <row r="1483" spans="1:30" ht="15.75" thickBot="1" x14ac:dyDescent="0.3">
      <c r="A1483" s="12"/>
      <c r="B1483" s="12"/>
      <c r="C1483" s="12"/>
      <c r="D1483" s="3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</row>
    <row r="1484" spans="1:30" ht="15.75" thickBot="1" x14ac:dyDescent="0.3">
      <c r="A1484" s="12"/>
      <c r="B1484" s="12"/>
      <c r="C1484" s="12"/>
      <c r="D1484" s="3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</row>
    <row r="1485" spans="1:30" ht="15.75" thickBot="1" x14ac:dyDescent="0.3">
      <c r="A1485" s="12"/>
      <c r="B1485" s="12"/>
      <c r="C1485" s="12"/>
      <c r="D1485" s="3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</row>
    <row r="1486" spans="1:30" ht="15.75" thickBot="1" x14ac:dyDescent="0.3">
      <c r="A1486" s="12"/>
      <c r="B1486" s="12"/>
      <c r="C1486" s="12"/>
      <c r="D1486" s="3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</row>
    <row r="1487" spans="1:30" ht="15.75" thickBot="1" x14ac:dyDescent="0.3">
      <c r="A1487" s="12"/>
      <c r="B1487" s="12"/>
      <c r="C1487" s="12"/>
      <c r="D1487" s="3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</row>
    <row r="1488" spans="1:30" ht="15.75" thickBot="1" x14ac:dyDescent="0.3">
      <c r="A1488" s="12"/>
      <c r="B1488" s="12"/>
      <c r="C1488" s="12"/>
      <c r="D1488" s="3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</row>
    <row r="1489" spans="1:30" ht="15.75" thickBot="1" x14ac:dyDescent="0.3">
      <c r="A1489" s="12"/>
      <c r="B1489" s="12"/>
      <c r="C1489" s="12"/>
      <c r="D1489" s="3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</row>
    <row r="1490" spans="1:30" ht="15.75" thickBot="1" x14ac:dyDescent="0.3">
      <c r="A1490" s="12"/>
      <c r="B1490" s="12"/>
      <c r="C1490" s="12"/>
      <c r="D1490" s="3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</row>
    <row r="1491" spans="1:30" ht="15.75" thickBot="1" x14ac:dyDescent="0.3">
      <c r="A1491" s="12"/>
      <c r="B1491" s="12"/>
      <c r="C1491" s="12"/>
      <c r="D1491" s="3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</row>
    <row r="1492" spans="1:30" ht="15.75" thickBot="1" x14ac:dyDescent="0.3">
      <c r="A1492" s="12"/>
      <c r="B1492" s="12"/>
      <c r="C1492" s="12"/>
      <c r="D1492" s="3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</row>
    <row r="1493" spans="1:30" ht="15.75" thickBot="1" x14ac:dyDescent="0.3">
      <c r="A1493" s="12"/>
      <c r="B1493" s="12"/>
      <c r="C1493" s="12"/>
      <c r="D1493" s="3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</row>
    <row r="1494" spans="1:30" ht="15.75" thickBot="1" x14ac:dyDescent="0.3">
      <c r="A1494" s="12"/>
      <c r="B1494" s="12"/>
      <c r="C1494" s="12"/>
      <c r="D1494" s="3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</row>
    <row r="1495" spans="1:30" ht="15.75" thickBot="1" x14ac:dyDescent="0.3">
      <c r="A1495" s="12"/>
      <c r="B1495" s="12"/>
      <c r="C1495" s="12"/>
      <c r="D1495" s="3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</row>
    <row r="1496" spans="1:30" ht="15.75" thickBot="1" x14ac:dyDescent="0.3">
      <c r="A1496" s="12"/>
      <c r="B1496" s="12"/>
      <c r="C1496" s="12"/>
      <c r="D1496" s="3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</row>
    <row r="1497" spans="1:30" ht="15.75" thickBot="1" x14ac:dyDescent="0.3">
      <c r="A1497" s="12"/>
      <c r="B1497" s="12"/>
      <c r="C1497" s="12"/>
      <c r="D1497" s="3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</row>
    <row r="1498" spans="1:30" ht="15.75" thickBot="1" x14ac:dyDescent="0.3">
      <c r="A1498" s="12"/>
      <c r="B1498" s="12"/>
      <c r="C1498" s="12"/>
      <c r="D1498" s="3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</row>
    <row r="1499" spans="1:30" ht="15.75" thickBot="1" x14ac:dyDescent="0.3">
      <c r="A1499" s="12"/>
      <c r="B1499" s="12"/>
      <c r="C1499" s="12"/>
      <c r="D1499" s="3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</row>
    <row r="1500" spans="1:30" ht="15.75" thickBot="1" x14ac:dyDescent="0.3">
      <c r="A1500" s="12"/>
      <c r="B1500" s="12"/>
      <c r="C1500" s="12"/>
      <c r="D1500" s="3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</row>
    <row r="1501" spans="1:30" ht="15.75" thickBot="1" x14ac:dyDescent="0.3">
      <c r="A1501" s="12"/>
      <c r="B1501" s="12"/>
      <c r="C1501" s="12"/>
      <c r="D1501" s="3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</row>
    <row r="1502" spans="1:30" ht="15.75" thickBot="1" x14ac:dyDescent="0.3">
      <c r="A1502" s="12"/>
      <c r="B1502" s="12"/>
      <c r="C1502" s="12"/>
      <c r="D1502" s="3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</row>
    <row r="1503" spans="1:30" ht="15.75" thickBot="1" x14ac:dyDescent="0.3">
      <c r="A1503" s="12"/>
      <c r="B1503" s="12"/>
      <c r="C1503" s="12"/>
      <c r="D1503" s="3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</row>
    <row r="1504" spans="1:30" ht="15.75" thickBot="1" x14ac:dyDescent="0.3">
      <c r="A1504" s="12"/>
      <c r="B1504" s="12"/>
      <c r="C1504" s="12"/>
      <c r="D1504" s="3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</row>
    <row r="1505" spans="1:30" ht="15.75" thickBot="1" x14ac:dyDescent="0.3">
      <c r="A1505" s="12"/>
      <c r="B1505" s="12"/>
      <c r="C1505" s="12"/>
      <c r="D1505" s="3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</row>
    <row r="1506" spans="1:30" ht="15.75" thickBot="1" x14ac:dyDescent="0.3">
      <c r="A1506" s="12"/>
      <c r="B1506" s="12"/>
      <c r="C1506" s="12"/>
      <c r="D1506" s="3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</row>
    <row r="1507" spans="1:30" ht="15.75" thickBot="1" x14ac:dyDescent="0.3">
      <c r="A1507" s="12"/>
      <c r="B1507" s="12"/>
      <c r="C1507" s="12"/>
      <c r="D1507" s="3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</row>
    <row r="1508" spans="1:30" ht="15.75" thickBot="1" x14ac:dyDescent="0.3">
      <c r="A1508" s="12"/>
      <c r="B1508" s="12"/>
      <c r="C1508" s="12"/>
      <c r="D1508" s="3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</row>
    <row r="1509" spans="1:30" ht="15.75" thickBot="1" x14ac:dyDescent="0.3">
      <c r="A1509" s="12"/>
      <c r="B1509" s="12"/>
      <c r="C1509" s="12"/>
      <c r="D1509" s="3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</row>
    <row r="1510" spans="1:30" ht="15.75" thickBot="1" x14ac:dyDescent="0.3">
      <c r="A1510" s="12"/>
      <c r="B1510" s="12"/>
      <c r="C1510" s="12"/>
      <c r="D1510" s="3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</row>
    <row r="1511" spans="1:30" ht="15.75" thickBot="1" x14ac:dyDescent="0.3">
      <c r="A1511" s="12"/>
      <c r="B1511" s="12"/>
      <c r="C1511" s="12"/>
      <c r="D1511" s="3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</row>
    <row r="1512" spans="1:30" ht="15.75" thickBot="1" x14ac:dyDescent="0.3">
      <c r="A1512" s="12"/>
      <c r="B1512" s="12"/>
      <c r="C1512" s="12"/>
      <c r="D1512" s="3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</row>
    <row r="1513" spans="1:30" ht="15.75" thickBot="1" x14ac:dyDescent="0.3">
      <c r="A1513" s="12"/>
      <c r="B1513" s="12"/>
      <c r="C1513" s="12"/>
      <c r="D1513" s="3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</row>
    <row r="1514" spans="1:30" ht="15.75" thickBot="1" x14ac:dyDescent="0.3">
      <c r="A1514" s="12"/>
      <c r="B1514" s="12"/>
      <c r="C1514" s="12"/>
      <c r="D1514" s="3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</row>
    <row r="1515" spans="1:30" ht="15.75" thickBot="1" x14ac:dyDescent="0.3">
      <c r="A1515" s="12"/>
      <c r="B1515" s="12"/>
      <c r="C1515" s="12"/>
      <c r="D1515" s="3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</row>
    <row r="1516" spans="1:30" ht="15.75" thickBot="1" x14ac:dyDescent="0.3">
      <c r="A1516" s="12"/>
      <c r="B1516" s="12"/>
      <c r="C1516" s="12"/>
      <c r="D1516" s="3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</row>
    <row r="1517" spans="1:30" ht="15.75" thickBot="1" x14ac:dyDescent="0.3">
      <c r="A1517" s="12"/>
      <c r="B1517" s="12"/>
      <c r="C1517" s="12"/>
      <c r="D1517" s="3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</row>
    <row r="1518" spans="1:30" ht="15.75" thickBot="1" x14ac:dyDescent="0.3">
      <c r="A1518" s="12"/>
      <c r="B1518" s="12"/>
      <c r="C1518" s="12"/>
      <c r="D1518" s="3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</row>
    <row r="1519" spans="1:30" ht="15.75" thickBot="1" x14ac:dyDescent="0.3">
      <c r="A1519" s="12"/>
      <c r="B1519" s="12"/>
      <c r="C1519" s="12"/>
      <c r="D1519" s="3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</row>
    <row r="1520" spans="1:30" ht="15.75" thickBot="1" x14ac:dyDescent="0.3">
      <c r="A1520" s="12"/>
      <c r="B1520" s="12"/>
      <c r="C1520" s="12"/>
      <c r="D1520" s="3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</row>
    <row r="1521" spans="1:30" ht="15.75" thickBot="1" x14ac:dyDescent="0.3">
      <c r="A1521" s="12"/>
      <c r="B1521" s="12"/>
      <c r="C1521" s="12"/>
      <c r="D1521" s="3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</row>
    <row r="1522" spans="1:30" ht="15.75" thickBot="1" x14ac:dyDescent="0.3">
      <c r="A1522" s="12"/>
      <c r="B1522" s="12"/>
      <c r="C1522" s="12"/>
      <c r="D1522" s="3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</row>
    <row r="1523" spans="1:30" ht="15.75" thickBot="1" x14ac:dyDescent="0.3">
      <c r="A1523" s="12"/>
      <c r="B1523" s="12"/>
      <c r="C1523" s="12"/>
      <c r="D1523" s="3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</row>
    <row r="1524" spans="1:30" ht="15.75" thickBot="1" x14ac:dyDescent="0.3">
      <c r="A1524" s="12"/>
      <c r="B1524" s="12"/>
      <c r="C1524" s="12"/>
      <c r="D1524" s="3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</row>
    <row r="1525" spans="1:30" ht="15.75" thickBot="1" x14ac:dyDescent="0.3">
      <c r="A1525" s="12"/>
      <c r="B1525" s="12"/>
      <c r="C1525" s="12"/>
      <c r="D1525" s="3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</row>
    <row r="1526" spans="1:30" ht="15.75" thickBot="1" x14ac:dyDescent="0.3">
      <c r="A1526" s="12"/>
      <c r="B1526" s="12"/>
      <c r="C1526" s="12"/>
      <c r="D1526" s="3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</row>
    <row r="1527" spans="1:30" ht="15.75" thickBot="1" x14ac:dyDescent="0.3">
      <c r="A1527" s="12"/>
      <c r="B1527" s="12"/>
      <c r="C1527" s="12"/>
      <c r="D1527" s="3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</row>
    <row r="1528" spans="1:30" ht="15.75" thickBot="1" x14ac:dyDescent="0.3">
      <c r="A1528" s="12"/>
      <c r="B1528" s="12"/>
      <c r="C1528" s="12"/>
      <c r="D1528" s="3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</row>
    <row r="1529" spans="1:30" ht="15.75" thickBot="1" x14ac:dyDescent="0.3">
      <c r="A1529" s="12"/>
      <c r="B1529" s="12"/>
      <c r="C1529" s="12"/>
      <c r="D1529" s="3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</row>
    <row r="1530" spans="1:30" ht="15.75" thickBot="1" x14ac:dyDescent="0.3">
      <c r="A1530" s="12"/>
      <c r="B1530" s="12"/>
      <c r="C1530" s="12"/>
      <c r="D1530" s="3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</row>
    <row r="1531" spans="1:30" ht="15.75" thickBot="1" x14ac:dyDescent="0.3">
      <c r="A1531" s="12"/>
      <c r="B1531" s="12"/>
      <c r="C1531" s="12"/>
      <c r="D1531" s="3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</row>
    <row r="1532" spans="1:30" ht="15.75" thickBot="1" x14ac:dyDescent="0.3">
      <c r="A1532" s="12"/>
      <c r="B1532" s="12"/>
      <c r="C1532" s="12"/>
      <c r="D1532" s="3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</row>
    <row r="1533" spans="1:30" ht="15.75" thickBot="1" x14ac:dyDescent="0.3">
      <c r="A1533" s="12"/>
      <c r="B1533" s="12"/>
      <c r="C1533" s="12"/>
      <c r="D1533" s="3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</row>
    <row r="1534" spans="1:30" ht="15.75" thickBot="1" x14ac:dyDescent="0.3">
      <c r="A1534" s="12"/>
      <c r="B1534" s="12"/>
      <c r="C1534" s="12"/>
      <c r="D1534" s="3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</row>
    <row r="1535" spans="1:30" ht="15.75" thickBot="1" x14ac:dyDescent="0.3">
      <c r="A1535" s="12"/>
      <c r="B1535" s="12"/>
      <c r="C1535" s="12"/>
      <c r="D1535" s="3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</row>
    <row r="1536" spans="1:30" ht="15.75" thickBot="1" x14ac:dyDescent="0.3">
      <c r="A1536" s="12"/>
      <c r="B1536" s="12"/>
      <c r="C1536" s="12"/>
      <c r="D1536" s="3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</row>
    <row r="1537" spans="1:30" ht="15.75" thickBot="1" x14ac:dyDescent="0.3">
      <c r="A1537" s="12"/>
      <c r="B1537" s="12"/>
      <c r="C1537" s="12"/>
      <c r="D1537" s="3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</row>
    <row r="1538" spans="1:30" ht="15.75" thickBot="1" x14ac:dyDescent="0.3">
      <c r="A1538" s="12"/>
      <c r="B1538" s="12"/>
      <c r="C1538" s="12"/>
      <c r="D1538" s="3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</row>
    <row r="1539" spans="1:30" ht="15.75" thickBot="1" x14ac:dyDescent="0.3">
      <c r="A1539" s="12"/>
      <c r="B1539" s="12"/>
      <c r="C1539" s="12"/>
      <c r="D1539" s="3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</row>
    <row r="1540" spans="1:30" ht="15.75" thickBot="1" x14ac:dyDescent="0.3">
      <c r="A1540" s="12"/>
      <c r="B1540" s="12"/>
      <c r="C1540" s="12"/>
      <c r="D1540" s="3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</row>
    <row r="1541" spans="1:30" ht="15.75" thickBot="1" x14ac:dyDescent="0.3">
      <c r="A1541" s="12"/>
      <c r="B1541" s="12"/>
      <c r="C1541" s="12"/>
      <c r="D1541" s="3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</row>
    <row r="1542" spans="1:30" ht="15.75" thickBot="1" x14ac:dyDescent="0.3">
      <c r="A1542" s="12"/>
      <c r="B1542" s="12"/>
      <c r="C1542" s="12"/>
      <c r="D1542" s="3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</row>
    <row r="1543" spans="1:30" ht="15.75" thickBot="1" x14ac:dyDescent="0.3">
      <c r="A1543" s="12"/>
      <c r="B1543" s="12"/>
      <c r="C1543" s="12"/>
      <c r="D1543" s="3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</row>
    <row r="1544" spans="1:30" ht="15.75" thickBot="1" x14ac:dyDescent="0.3">
      <c r="A1544" s="12"/>
      <c r="B1544" s="12"/>
      <c r="C1544" s="12"/>
      <c r="D1544" s="3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</row>
    <row r="1545" spans="1:30" ht="15.75" thickBot="1" x14ac:dyDescent="0.3">
      <c r="A1545" s="12"/>
      <c r="B1545" s="12"/>
      <c r="C1545" s="12"/>
      <c r="D1545" s="3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</row>
    <row r="1546" spans="1:30" ht="15.75" thickBot="1" x14ac:dyDescent="0.3">
      <c r="A1546" s="12"/>
      <c r="B1546" s="12"/>
      <c r="C1546" s="12"/>
      <c r="D1546" s="3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</row>
    <row r="1547" spans="1:30" ht="15.75" thickBot="1" x14ac:dyDescent="0.3">
      <c r="A1547" s="12"/>
      <c r="B1547" s="12"/>
      <c r="C1547" s="12"/>
      <c r="D1547" s="3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</row>
    <row r="1548" spans="1:30" ht="15.75" thickBot="1" x14ac:dyDescent="0.3">
      <c r="A1548" s="12"/>
      <c r="B1548" s="12"/>
      <c r="C1548" s="12"/>
      <c r="D1548" s="3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</row>
    <row r="1549" spans="1:30" ht="15.75" thickBot="1" x14ac:dyDescent="0.3">
      <c r="A1549" s="12"/>
      <c r="B1549" s="12"/>
      <c r="C1549" s="12"/>
      <c r="D1549" s="3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</row>
    <row r="1550" spans="1:30" ht="15.75" thickBot="1" x14ac:dyDescent="0.3">
      <c r="A1550" s="12"/>
      <c r="B1550" s="12"/>
      <c r="C1550" s="12"/>
      <c r="D1550" s="3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</row>
    <row r="1551" spans="1:30" ht="15.75" thickBot="1" x14ac:dyDescent="0.3">
      <c r="A1551" s="12"/>
      <c r="B1551" s="12"/>
      <c r="C1551" s="12"/>
      <c r="D1551" s="3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</row>
    <row r="1552" spans="1:30" ht="15.75" thickBot="1" x14ac:dyDescent="0.3">
      <c r="A1552" s="12"/>
      <c r="B1552" s="12"/>
      <c r="C1552" s="12"/>
      <c r="D1552" s="3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</row>
    <row r="1553" spans="1:30" ht="15.75" thickBot="1" x14ac:dyDescent="0.3">
      <c r="A1553" s="12"/>
      <c r="B1553" s="12"/>
      <c r="C1553" s="12"/>
      <c r="D1553" s="3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</row>
    <row r="1554" spans="1:30" ht="15.75" thickBot="1" x14ac:dyDescent="0.3">
      <c r="A1554" s="12"/>
      <c r="B1554" s="12"/>
      <c r="C1554" s="12"/>
      <c r="D1554" s="3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</row>
    <row r="1555" spans="1:30" ht="15.75" thickBot="1" x14ac:dyDescent="0.3">
      <c r="A1555" s="12"/>
      <c r="B1555" s="12"/>
      <c r="C1555" s="12"/>
      <c r="D1555" s="3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</row>
    <row r="1556" spans="1:30" ht="15.75" thickBot="1" x14ac:dyDescent="0.3">
      <c r="A1556" s="12"/>
      <c r="B1556" s="12"/>
      <c r="C1556" s="12"/>
      <c r="D1556" s="3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</row>
    <row r="1557" spans="1:30" ht="15.75" thickBot="1" x14ac:dyDescent="0.3">
      <c r="A1557" s="12"/>
      <c r="B1557" s="12"/>
      <c r="C1557" s="12"/>
      <c r="D1557" s="3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</row>
    <row r="1558" spans="1:30" ht="15.75" thickBot="1" x14ac:dyDescent="0.3">
      <c r="A1558" s="12"/>
      <c r="B1558" s="12"/>
      <c r="C1558" s="12"/>
      <c r="D1558" s="3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</row>
    <row r="1559" spans="1:30" ht="15.75" thickBot="1" x14ac:dyDescent="0.3">
      <c r="A1559" s="12"/>
      <c r="B1559" s="12"/>
      <c r="C1559" s="12"/>
      <c r="D1559" s="3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</row>
    <row r="1560" spans="1:30" ht="15.75" thickBot="1" x14ac:dyDescent="0.3">
      <c r="A1560" s="12"/>
      <c r="B1560" s="12"/>
      <c r="C1560" s="12"/>
      <c r="D1560" s="3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</row>
    <row r="1561" spans="1:30" ht="15.75" thickBot="1" x14ac:dyDescent="0.3">
      <c r="A1561" s="12"/>
      <c r="B1561" s="12"/>
      <c r="C1561" s="12"/>
      <c r="D1561" s="3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</row>
    <row r="1562" spans="1:30" ht="15.75" thickBot="1" x14ac:dyDescent="0.3">
      <c r="A1562" s="12"/>
      <c r="B1562" s="12"/>
      <c r="C1562" s="12"/>
      <c r="D1562" s="3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</row>
    <row r="1563" spans="1:30" ht="15.75" thickBot="1" x14ac:dyDescent="0.3">
      <c r="A1563" s="12"/>
      <c r="B1563" s="12"/>
      <c r="C1563" s="12"/>
      <c r="D1563" s="3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</row>
    <row r="1564" spans="1:30" ht="15.75" thickBot="1" x14ac:dyDescent="0.3">
      <c r="A1564" s="12"/>
      <c r="B1564" s="12"/>
      <c r="C1564" s="12"/>
      <c r="D1564" s="3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</row>
    <row r="1565" spans="1:30" ht="15.75" thickBot="1" x14ac:dyDescent="0.3">
      <c r="A1565" s="12"/>
      <c r="B1565" s="12"/>
      <c r="C1565" s="12"/>
      <c r="D1565" s="3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</row>
    <row r="1566" spans="1:30" ht="15.75" thickBot="1" x14ac:dyDescent="0.3">
      <c r="A1566" s="12"/>
      <c r="B1566" s="12"/>
      <c r="C1566" s="12"/>
      <c r="D1566" s="3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</row>
    <row r="1567" spans="1:30" ht="15.75" thickBot="1" x14ac:dyDescent="0.3">
      <c r="A1567" s="12"/>
      <c r="B1567" s="12"/>
      <c r="C1567" s="12"/>
      <c r="D1567" s="3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</row>
    <row r="1568" spans="1:30" ht="15.75" thickBot="1" x14ac:dyDescent="0.3">
      <c r="A1568" s="12"/>
      <c r="B1568" s="12"/>
      <c r="C1568" s="12"/>
      <c r="D1568" s="3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</row>
    <row r="1569" spans="1:30" ht="15.75" thickBot="1" x14ac:dyDescent="0.3">
      <c r="A1569" s="12"/>
      <c r="B1569" s="12"/>
      <c r="C1569" s="12"/>
      <c r="D1569" s="3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</row>
    <row r="1570" spans="1:30" ht="15.75" thickBot="1" x14ac:dyDescent="0.3">
      <c r="A1570" s="12"/>
      <c r="B1570" s="12"/>
      <c r="C1570" s="12"/>
      <c r="D1570" s="3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</row>
    <row r="1571" spans="1:30" ht="15.75" thickBot="1" x14ac:dyDescent="0.3">
      <c r="A1571" s="12"/>
      <c r="B1571" s="12"/>
      <c r="C1571" s="12"/>
      <c r="D1571" s="3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</row>
    <row r="1572" spans="1:30" ht="15.75" thickBot="1" x14ac:dyDescent="0.3">
      <c r="A1572" s="12"/>
      <c r="B1572" s="12"/>
      <c r="C1572" s="12"/>
      <c r="D1572" s="3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</row>
    <row r="1573" spans="1:30" ht="15.75" thickBot="1" x14ac:dyDescent="0.3">
      <c r="A1573" s="12"/>
      <c r="B1573" s="12"/>
      <c r="C1573" s="12"/>
      <c r="D1573" s="3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</row>
    <row r="1574" spans="1:30" ht="15.75" thickBot="1" x14ac:dyDescent="0.3">
      <c r="A1574" s="12"/>
      <c r="B1574" s="12"/>
      <c r="C1574" s="12"/>
      <c r="D1574" s="3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</row>
    <row r="1575" spans="1:30" ht="15.75" thickBot="1" x14ac:dyDescent="0.3">
      <c r="A1575" s="12"/>
      <c r="B1575" s="12"/>
      <c r="C1575" s="12"/>
      <c r="D1575" s="3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</row>
    <row r="1576" spans="1:30" ht="15.75" thickBot="1" x14ac:dyDescent="0.3">
      <c r="A1576" s="12"/>
      <c r="B1576" s="12"/>
      <c r="C1576" s="12"/>
      <c r="D1576" s="3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</row>
    <row r="1577" spans="1:30" ht="15.75" thickBot="1" x14ac:dyDescent="0.3">
      <c r="A1577" s="12"/>
      <c r="B1577" s="12"/>
      <c r="C1577" s="12"/>
      <c r="D1577" s="3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</row>
    <row r="1578" spans="1:30" ht="15.75" thickBot="1" x14ac:dyDescent="0.3">
      <c r="A1578" s="12"/>
      <c r="B1578" s="12"/>
      <c r="C1578" s="12"/>
      <c r="D1578" s="3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</row>
    <row r="1579" spans="1:30" ht="15.75" thickBot="1" x14ac:dyDescent="0.3">
      <c r="A1579" s="12"/>
      <c r="B1579" s="12"/>
      <c r="C1579" s="12"/>
      <c r="D1579" s="3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</row>
    <row r="1580" spans="1:30" ht="15.75" thickBot="1" x14ac:dyDescent="0.3">
      <c r="A1580" s="12"/>
      <c r="B1580" s="12"/>
      <c r="C1580" s="12"/>
      <c r="D1580" s="3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</row>
    <row r="1581" spans="1:30" ht="15.75" thickBot="1" x14ac:dyDescent="0.3">
      <c r="A1581" s="12"/>
      <c r="B1581" s="12"/>
      <c r="C1581" s="12"/>
      <c r="D1581" s="3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</row>
    <row r="1582" spans="1:30" ht="15.75" thickBot="1" x14ac:dyDescent="0.3">
      <c r="A1582" s="12"/>
      <c r="B1582" s="12"/>
      <c r="C1582" s="12"/>
      <c r="D1582" s="3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</row>
    <row r="1583" spans="1:30" ht="15.75" thickBot="1" x14ac:dyDescent="0.3">
      <c r="A1583" s="12"/>
      <c r="B1583" s="12"/>
      <c r="C1583" s="12"/>
      <c r="D1583" s="3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</row>
    <row r="1584" spans="1:30" ht="15.75" thickBot="1" x14ac:dyDescent="0.3">
      <c r="A1584" s="12"/>
      <c r="B1584" s="12"/>
      <c r="C1584" s="12"/>
      <c r="D1584" s="3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</row>
    <row r="1585" spans="1:30" ht="15.75" thickBot="1" x14ac:dyDescent="0.3">
      <c r="A1585" s="12"/>
      <c r="B1585" s="12"/>
      <c r="C1585" s="12"/>
      <c r="D1585" s="3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</row>
    <row r="1586" spans="1:30" ht="15.75" thickBot="1" x14ac:dyDescent="0.3">
      <c r="A1586" s="12"/>
      <c r="B1586" s="12"/>
      <c r="C1586" s="12"/>
      <c r="D1586" s="3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</row>
    <row r="1587" spans="1:30" ht="15.75" thickBot="1" x14ac:dyDescent="0.3">
      <c r="A1587" s="12"/>
      <c r="B1587" s="12"/>
      <c r="C1587" s="12"/>
      <c r="D1587" s="3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</row>
    <row r="1588" spans="1:30" ht="15.75" thickBot="1" x14ac:dyDescent="0.3">
      <c r="A1588" s="12"/>
      <c r="B1588" s="12"/>
      <c r="C1588" s="12"/>
      <c r="D1588" s="3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</row>
    <row r="1589" spans="1:30" ht="15.75" thickBot="1" x14ac:dyDescent="0.3">
      <c r="A1589" s="12"/>
      <c r="B1589" s="12"/>
      <c r="C1589" s="12"/>
      <c r="D1589" s="3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</row>
    <row r="1590" spans="1:30" ht="15.75" thickBot="1" x14ac:dyDescent="0.3">
      <c r="A1590" s="12"/>
      <c r="B1590" s="12"/>
      <c r="C1590" s="12"/>
      <c r="D1590" s="3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</row>
    <row r="1591" spans="1:30" ht="15.75" thickBot="1" x14ac:dyDescent="0.3">
      <c r="A1591" s="12"/>
      <c r="B1591" s="12"/>
      <c r="C1591" s="12"/>
      <c r="D1591" s="3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</row>
    <row r="1592" spans="1:30" ht="15.75" thickBot="1" x14ac:dyDescent="0.3">
      <c r="A1592" s="12"/>
      <c r="B1592" s="12"/>
      <c r="C1592" s="12"/>
      <c r="D1592" s="3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</row>
    <row r="1593" spans="1:30" ht="15.75" thickBot="1" x14ac:dyDescent="0.3">
      <c r="A1593" s="12"/>
      <c r="B1593" s="12"/>
      <c r="C1593" s="12"/>
      <c r="D1593" s="3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</row>
    <row r="1594" spans="1:30" ht="15.75" thickBot="1" x14ac:dyDescent="0.3">
      <c r="A1594" s="12"/>
      <c r="B1594" s="12"/>
      <c r="C1594" s="12"/>
      <c r="D1594" s="3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</row>
    <row r="1595" spans="1:30" ht="15.75" thickBot="1" x14ac:dyDescent="0.3">
      <c r="A1595" s="12"/>
      <c r="B1595" s="12"/>
      <c r="C1595" s="12"/>
      <c r="D1595" s="3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</row>
    <row r="1596" spans="1:30" ht="15.75" thickBot="1" x14ac:dyDescent="0.3">
      <c r="A1596" s="12"/>
      <c r="B1596" s="12"/>
      <c r="C1596" s="12"/>
      <c r="D1596" s="3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</row>
    <row r="1597" spans="1:30" ht="15.75" thickBot="1" x14ac:dyDescent="0.3">
      <c r="A1597" s="12"/>
      <c r="B1597" s="12"/>
      <c r="C1597" s="12"/>
      <c r="D1597" s="3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</row>
    <row r="1598" spans="1:30" ht="15.75" thickBot="1" x14ac:dyDescent="0.3">
      <c r="A1598" s="12"/>
      <c r="B1598" s="12"/>
      <c r="C1598" s="12"/>
      <c r="D1598" s="3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</row>
    <row r="1599" spans="1:30" ht="15.75" thickBot="1" x14ac:dyDescent="0.3">
      <c r="A1599" s="12"/>
      <c r="B1599" s="12"/>
      <c r="C1599" s="12"/>
      <c r="D1599" s="3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</row>
    <row r="1600" spans="1:30" ht="15.75" thickBot="1" x14ac:dyDescent="0.3">
      <c r="A1600" s="12"/>
      <c r="B1600" s="12"/>
      <c r="C1600" s="12"/>
      <c r="D1600" s="3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</row>
    <row r="1601" spans="1:30" ht="15.75" thickBot="1" x14ac:dyDescent="0.3">
      <c r="A1601" s="12"/>
      <c r="B1601" s="12"/>
      <c r="C1601" s="12"/>
      <c r="D1601" s="3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</row>
    <row r="1602" spans="1:30" ht="15.75" thickBot="1" x14ac:dyDescent="0.3">
      <c r="A1602" s="12"/>
      <c r="B1602" s="12"/>
      <c r="C1602" s="12"/>
      <c r="D1602" s="3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</row>
    <row r="1603" spans="1:30" ht="15.75" thickBot="1" x14ac:dyDescent="0.3">
      <c r="A1603" s="12"/>
      <c r="B1603" s="12"/>
      <c r="C1603" s="12"/>
      <c r="D1603" s="3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</row>
    <row r="1604" spans="1:30" ht="15.75" thickBot="1" x14ac:dyDescent="0.3">
      <c r="A1604" s="12"/>
      <c r="B1604" s="12"/>
      <c r="C1604" s="12"/>
      <c r="D1604" s="3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</row>
    <row r="1605" spans="1:30" ht="15.75" thickBot="1" x14ac:dyDescent="0.3">
      <c r="A1605" s="12"/>
      <c r="B1605" s="12"/>
      <c r="C1605" s="12"/>
      <c r="D1605" s="3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</row>
    <row r="1606" spans="1:30" ht="15.75" thickBot="1" x14ac:dyDescent="0.3">
      <c r="A1606" s="12"/>
      <c r="B1606" s="12"/>
      <c r="C1606" s="12"/>
      <c r="D1606" s="3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</row>
    <row r="1607" spans="1:30" ht="15.75" thickBot="1" x14ac:dyDescent="0.3">
      <c r="A1607" s="12"/>
      <c r="B1607" s="12"/>
      <c r="C1607" s="12"/>
      <c r="D1607" s="3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</row>
    <row r="1608" spans="1:30" ht="15.75" thickBot="1" x14ac:dyDescent="0.3">
      <c r="A1608" s="12"/>
      <c r="B1608" s="12"/>
      <c r="C1608" s="12"/>
      <c r="D1608" s="3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</row>
    <row r="1609" spans="1:30" ht="15.75" thickBot="1" x14ac:dyDescent="0.3">
      <c r="A1609" s="12"/>
      <c r="B1609" s="12"/>
      <c r="C1609" s="12"/>
      <c r="D1609" s="3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</row>
    <row r="1610" spans="1:30" ht="15.75" thickBot="1" x14ac:dyDescent="0.3">
      <c r="A1610" s="12"/>
      <c r="B1610" s="12"/>
      <c r="C1610" s="12"/>
      <c r="D1610" s="3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</row>
    <row r="1611" spans="1:30" ht="15.75" thickBot="1" x14ac:dyDescent="0.3">
      <c r="A1611" s="12"/>
      <c r="B1611" s="12"/>
      <c r="C1611" s="12"/>
      <c r="D1611" s="3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</row>
    <row r="1612" spans="1:30" ht="15.75" thickBot="1" x14ac:dyDescent="0.3">
      <c r="A1612" s="12"/>
      <c r="B1612" s="12"/>
      <c r="C1612" s="12"/>
      <c r="D1612" s="3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</row>
    <row r="1613" spans="1:30" ht="15.75" thickBot="1" x14ac:dyDescent="0.3">
      <c r="A1613" s="12"/>
      <c r="B1613" s="12"/>
      <c r="C1613" s="12"/>
      <c r="D1613" s="3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</row>
    <row r="1614" spans="1:30" ht="15.75" thickBot="1" x14ac:dyDescent="0.3">
      <c r="A1614" s="12"/>
      <c r="B1614" s="12"/>
      <c r="C1614" s="12"/>
      <c r="D1614" s="3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</row>
    <row r="1615" spans="1:30" ht="15.75" thickBot="1" x14ac:dyDescent="0.3">
      <c r="A1615" s="12"/>
      <c r="B1615" s="12"/>
      <c r="C1615" s="12"/>
      <c r="D1615" s="3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</row>
    <row r="1616" spans="1:30" ht="15.75" thickBot="1" x14ac:dyDescent="0.3">
      <c r="A1616" s="12"/>
      <c r="B1616" s="12"/>
      <c r="C1616" s="12"/>
      <c r="D1616" s="3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</row>
    <row r="1617" spans="1:30" ht="15.75" thickBot="1" x14ac:dyDescent="0.3">
      <c r="A1617" s="12"/>
      <c r="B1617" s="12"/>
      <c r="C1617" s="12"/>
      <c r="D1617" s="3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</row>
    <row r="1618" spans="1:30" ht="15.75" thickBot="1" x14ac:dyDescent="0.3">
      <c r="A1618" s="12"/>
      <c r="B1618" s="12"/>
      <c r="C1618" s="12"/>
      <c r="D1618" s="3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</row>
    <row r="1619" spans="1:30" ht="15.75" thickBot="1" x14ac:dyDescent="0.3">
      <c r="A1619" s="12"/>
      <c r="B1619" s="12"/>
      <c r="C1619" s="12"/>
      <c r="D1619" s="3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</row>
    <row r="1620" spans="1:30" ht="15.75" thickBot="1" x14ac:dyDescent="0.3">
      <c r="A1620" s="12"/>
      <c r="B1620" s="12"/>
      <c r="C1620" s="12"/>
      <c r="D1620" s="3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</row>
    <row r="1621" spans="1:30" ht="15.75" thickBot="1" x14ac:dyDescent="0.3">
      <c r="A1621" s="12"/>
      <c r="B1621" s="12"/>
      <c r="C1621" s="12"/>
      <c r="D1621" s="3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</row>
    <row r="1622" spans="1:30" ht="15.75" thickBot="1" x14ac:dyDescent="0.3">
      <c r="A1622" s="12"/>
      <c r="B1622" s="12"/>
      <c r="C1622" s="12"/>
      <c r="D1622" s="3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</row>
    <row r="1623" spans="1:30" ht="15.75" thickBot="1" x14ac:dyDescent="0.3">
      <c r="A1623" s="12"/>
      <c r="B1623" s="12"/>
      <c r="C1623" s="12"/>
      <c r="D1623" s="3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</row>
    <row r="1624" spans="1:30" ht="15.75" thickBot="1" x14ac:dyDescent="0.3">
      <c r="A1624" s="12"/>
      <c r="B1624" s="12"/>
      <c r="C1624" s="12"/>
      <c r="D1624" s="3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</row>
    <row r="1625" spans="1:30" ht="15.75" thickBot="1" x14ac:dyDescent="0.3">
      <c r="A1625" s="12"/>
      <c r="B1625" s="12"/>
      <c r="C1625" s="12"/>
      <c r="D1625" s="3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</row>
    <row r="1626" spans="1:30" ht="15.75" thickBot="1" x14ac:dyDescent="0.3">
      <c r="A1626" s="12"/>
      <c r="B1626" s="12"/>
      <c r="C1626" s="12"/>
      <c r="D1626" s="3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</row>
    <row r="1627" spans="1:30" ht="15.75" thickBot="1" x14ac:dyDescent="0.3">
      <c r="A1627" s="12"/>
      <c r="B1627" s="12"/>
      <c r="C1627" s="12"/>
      <c r="D1627" s="3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</row>
    <row r="1628" spans="1:30" ht="15.75" thickBot="1" x14ac:dyDescent="0.3">
      <c r="A1628" s="12"/>
      <c r="B1628" s="12"/>
      <c r="C1628" s="12"/>
      <c r="D1628" s="3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</row>
    <row r="1629" spans="1:30" ht="15.75" thickBot="1" x14ac:dyDescent="0.3">
      <c r="A1629" s="12"/>
      <c r="B1629" s="12"/>
      <c r="C1629" s="12"/>
      <c r="D1629" s="3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</row>
    <row r="1630" spans="1:30" ht="15.75" thickBot="1" x14ac:dyDescent="0.3">
      <c r="A1630" s="12"/>
      <c r="B1630" s="12"/>
      <c r="C1630" s="12"/>
      <c r="D1630" s="3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</row>
    <row r="1631" spans="1:30" ht="15.75" thickBot="1" x14ac:dyDescent="0.3">
      <c r="A1631" s="12"/>
      <c r="B1631" s="12"/>
      <c r="C1631" s="12"/>
      <c r="D1631" s="3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</row>
    <row r="1632" spans="1:30" ht="15.75" thickBot="1" x14ac:dyDescent="0.3">
      <c r="A1632" s="12"/>
      <c r="B1632" s="12"/>
      <c r="C1632" s="12"/>
      <c r="D1632" s="3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</row>
    <row r="1633" spans="1:30" ht="15.75" thickBot="1" x14ac:dyDescent="0.3">
      <c r="A1633" s="12"/>
      <c r="B1633" s="12"/>
      <c r="C1633" s="12"/>
      <c r="D1633" s="3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</row>
    <row r="1634" spans="1:30" ht="15.75" thickBot="1" x14ac:dyDescent="0.3">
      <c r="A1634" s="12"/>
      <c r="B1634" s="12"/>
      <c r="C1634" s="12"/>
      <c r="D1634" s="3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</row>
    <row r="1635" spans="1:30" ht="15.75" thickBot="1" x14ac:dyDescent="0.3">
      <c r="A1635" s="12"/>
      <c r="B1635" s="12"/>
      <c r="C1635" s="12"/>
      <c r="D1635" s="3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</row>
    <row r="1636" spans="1:30" ht="15.75" thickBot="1" x14ac:dyDescent="0.3">
      <c r="A1636" s="12"/>
      <c r="B1636" s="12"/>
      <c r="C1636" s="12"/>
      <c r="D1636" s="3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</row>
    <row r="1637" spans="1:30" ht="15.75" thickBot="1" x14ac:dyDescent="0.3">
      <c r="A1637" s="12"/>
      <c r="B1637" s="12"/>
      <c r="C1637" s="12"/>
      <c r="D1637" s="3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</row>
    <row r="1638" spans="1:30" ht="15.75" thickBot="1" x14ac:dyDescent="0.3">
      <c r="A1638" s="12"/>
      <c r="B1638" s="12"/>
      <c r="C1638" s="12"/>
      <c r="D1638" s="3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</row>
    <row r="1639" spans="1:30" ht="15.75" thickBot="1" x14ac:dyDescent="0.3">
      <c r="A1639" s="12"/>
      <c r="B1639" s="12"/>
      <c r="C1639" s="12"/>
      <c r="D1639" s="3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</row>
    <row r="1640" spans="1:30" ht="15.75" thickBot="1" x14ac:dyDescent="0.3">
      <c r="A1640" s="12"/>
      <c r="B1640" s="12"/>
      <c r="C1640" s="12"/>
      <c r="D1640" s="3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</row>
    <row r="1641" spans="1:30" ht="15.75" thickBot="1" x14ac:dyDescent="0.3">
      <c r="A1641" s="12"/>
      <c r="B1641" s="12"/>
      <c r="C1641" s="12"/>
      <c r="D1641" s="3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</row>
    <row r="1642" spans="1:30" ht="15.75" thickBot="1" x14ac:dyDescent="0.3">
      <c r="A1642" s="12"/>
      <c r="B1642" s="12"/>
      <c r="C1642" s="12"/>
      <c r="D1642" s="3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</row>
    <row r="1643" spans="1:30" ht="15.75" thickBot="1" x14ac:dyDescent="0.3">
      <c r="A1643" s="12"/>
      <c r="B1643" s="12"/>
      <c r="C1643" s="12"/>
      <c r="D1643" s="3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</row>
    <row r="1644" spans="1:30" ht="15.75" thickBot="1" x14ac:dyDescent="0.3">
      <c r="A1644" s="12"/>
      <c r="B1644" s="12"/>
      <c r="C1644" s="12"/>
      <c r="D1644" s="3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</row>
    <row r="1645" spans="1:30" ht="15.75" thickBot="1" x14ac:dyDescent="0.3">
      <c r="A1645" s="12"/>
      <c r="B1645" s="12"/>
      <c r="C1645" s="12"/>
      <c r="D1645" s="3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</row>
    <row r="1646" spans="1:30" ht="15.75" thickBot="1" x14ac:dyDescent="0.3">
      <c r="A1646" s="12"/>
      <c r="B1646" s="12"/>
      <c r="C1646" s="12"/>
      <c r="D1646" s="3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</row>
    <row r="1647" spans="1:30" ht="15.75" thickBot="1" x14ac:dyDescent="0.3">
      <c r="A1647" s="12"/>
      <c r="B1647" s="12"/>
      <c r="C1647" s="12"/>
      <c r="D1647" s="3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</row>
    <row r="1648" spans="1:30" ht="15.75" thickBot="1" x14ac:dyDescent="0.3">
      <c r="A1648" s="12"/>
      <c r="B1648" s="12"/>
      <c r="C1648" s="12"/>
      <c r="D1648" s="3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</row>
    <row r="1649" spans="1:30" ht="15.75" thickBot="1" x14ac:dyDescent="0.3">
      <c r="A1649" s="12"/>
      <c r="B1649" s="12"/>
      <c r="C1649" s="12"/>
      <c r="D1649" s="3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</row>
    <row r="1650" spans="1:30" ht="15.75" thickBot="1" x14ac:dyDescent="0.3">
      <c r="A1650" s="12"/>
      <c r="B1650" s="12"/>
      <c r="C1650" s="12"/>
      <c r="D1650" s="3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</row>
    <row r="1651" spans="1:30" ht="15.75" thickBot="1" x14ac:dyDescent="0.3">
      <c r="A1651" s="12"/>
      <c r="B1651" s="12"/>
      <c r="C1651" s="12"/>
      <c r="D1651" s="3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</row>
    <row r="1652" spans="1:30" ht="15.75" thickBot="1" x14ac:dyDescent="0.3">
      <c r="A1652" s="12"/>
      <c r="B1652" s="12"/>
      <c r="C1652" s="12"/>
      <c r="D1652" s="3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</row>
    <row r="1653" spans="1:30" ht="15.75" thickBot="1" x14ac:dyDescent="0.3">
      <c r="A1653" s="12"/>
      <c r="B1653" s="12"/>
      <c r="C1653" s="12"/>
      <c r="D1653" s="3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</row>
    <row r="1654" spans="1:30" ht="15.75" thickBot="1" x14ac:dyDescent="0.3">
      <c r="A1654" s="12"/>
      <c r="B1654" s="12"/>
      <c r="C1654" s="12"/>
      <c r="D1654" s="3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</row>
    <row r="1655" spans="1:30" ht="15.75" thickBot="1" x14ac:dyDescent="0.3">
      <c r="A1655" s="12"/>
      <c r="B1655" s="12"/>
      <c r="C1655" s="12"/>
      <c r="D1655" s="3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</row>
    <row r="1656" spans="1:30" ht="15.75" thickBot="1" x14ac:dyDescent="0.3">
      <c r="A1656" s="12"/>
      <c r="B1656" s="12"/>
      <c r="C1656" s="12"/>
      <c r="D1656" s="3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</row>
    <row r="1657" spans="1:30" ht="15.75" thickBot="1" x14ac:dyDescent="0.3">
      <c r="A1657" s="12"/>
      <c r="B1657" s="12"/>
      <c r="C1657" s="12"/>
      <c r="D1657" s="3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</row>
    <row r="1658" spans="1:30" ht="15.75" thickBot="1" x14ac:dyDescent="0.3">
      <c r="A1658" s="12"/>
      <c r="B1658" s="12"/>
      <c r="C1658" s="12"/>
      <c r="D1658" s="3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</row>
    <row r="1659" spans="1:30" ht="15.75" thickBot="1" x14ac:dyDescent="0.3">
      <c r="A1659" s="12"/>
      <c r="B1659" s="12"/>
      <c r="C1659" s="12"/>
      <c r="D1659" s="3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</row>
    <row r="1660" spans="1:30" ht="15.75" thickBot="1" x14ac:dyDescent="0.3">
      <c r="A1660" s="12"/>
      <c r="B1660" s="12"/>
      <c r="C1660" s="12"/>
      <c r="D1660" s="3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</row>
    <row r="1661" spans="1:30" ht="15.75" thickBot="1" x14ac:dyDescent="0.3">
      <c r="A1661" s="12"/>
      <c r="B1661" s="12"/>
      <c r="C1661" s="12"/>
      <c r="D1661" s="3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</row>
    <row r="1662" spans="1:30" ht="15.75" thickBot="1" x14ac:dyDescent="0.3">
      <c r="A1662" s="12"/>
      <c r="B1662" s="12"/>
      <c r="C1662" s="12"/>
      <c r="D1662" s="3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</row>
    <row r="1663" spans="1:30" ht="15.75" thickBot="1" x14ac:dyDescent="0.3">
      <c r="A1663" s="12"/>
      <c r="B1663" s="12"/>
      <c r="C1663" s="12"/>
      <c r="D1663" s="3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</row>
    <row r="1664" spans="1:30" ht="15.75" thickBot="1" x14ac:dyDescent="0.3">
      <c r="A1664" s="12"/>
      <c r="B1664" s="12"/>
      <c r="C1664" s="12"/>
      <c r="D1664" s="3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</row>
    <row r="1665" spans="1:30" ht="15.75" thickBot="1" x14ac:dyDescent="0.3">
      <c r="A1665" s="12"/>
      <c r="B1665" s="12"/>
      <c r="C1665" s="12"/>
      <c r="D1665" s="3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</row>
    <row r="1666" spans="1:30" ht="15.75" thickBot="1" x14ac:dyDescent="0.3">
      <c r="A1666" s="12"/>
      <c r="B1666" s="12"/>
      <c r="C1666" s="12"/>
      <c r="D1666" s="3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</row>
    <row r="1667" spans="1:30" ht="15.75" thickBot="1" x14ac:dyDescent="0.3">
      <c r="A1667" s="12"/>
      <c r="B1667" s="12"/>
      <c r="C1667" s="12"/>
      <c r="D1667" s="3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</row>
    <row r="1668" spans="1:30" ht="15.75" thickBot="1" x14ac:dyDescent="0.3">
      <c r="A1668" s="12"/>
      <c r="B1668" s="12"/>
      <c r="C1668" s="12"/>
      <c r="D1668" s="3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</row>
    <row r="1669" spans="1:30" ht="15.75" thickBot="1" x14ac:dyDescent="0.3">
      <c r="A1669" s="12"/>
      <c r="B1669" s="12"/>
      <c r="C1669" s="12"/>
      <c r="D1669" s="3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</row>
    <row r="1670" spans="1:30" ht="15.75" thickBot="1" x14ac:dyDescent="0.3">
      <c r="A1670" s="12"/>
      <c r="B1670" s="12"/>
      <c r="C1670" s="12"/>
      <c r="D1670" s="3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</row>
    <row r="1671" spans="1:30" ht="15.75" thickBot="1" x14ac:dyDescent="0.3">
      <c r="A1671" s="12"/>
      <c r="B1671" s="12"/>
      <c r="C1671" s="12"/>
      <c r="D1671" s="3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</row>
    <row r="1672" spans="1:30" ht="15.75" thickBot="1" x14ac:dyDescent="0.3">
      <c r="A1672" s="12"/>
      <c r="B1672" s="12"/>
      <c r="C1672" s="12"/>
      <c r="D1672" s="3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</row>
    <row r="1673" spans="1:30" ht="15.75" thickBot="1" x14ac:dyDescent="0.3">
      <c r="A1673" s="12"/>
      <c r="B1673" s="12"/>
      <c r="C1673" s="12"/>
      <c r="D1673" s="3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</row>
    <row r="1674" spans="1:30" ht="15.75" thickBot="1" x14ac:dyDescent="0.3">
      <c r="A1674" s="12"/>
      <c r="B1674" s="12"/>
      <c r="C1674" s="12"/>
      <c r="D1674" s="3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</row>
    <row r="1675" spans="1:30" ht="15.75" thickBot="1" x14ac:dyDescent="0.3">
      <c r="A1675" s="12"/>
      <c r="B1675" s="12"/>
      <c r="C1675" s="12"/>
      <c r="D1675" s="3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</row>
    <row r="1676" spans="1:30" ht="15.75" thickBot="1" x14ac:dyDescent="0.3">
      <c r="A1676" s="12"/>
      <c r="B1676" s="12"/>
      <c r="C1676" s="12"/>
      <c r="D1676" s="3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</row>
    <row r="1677" spans="1:30" ht="15.75" thickBot="1" x14ac:dyDescent="0.3">
      <c r="A1677" s="12"/>
      <c r="B1677" s="12"/>
      <c r="C1677" s="12"/>
      <c r="D1677" s="3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</row>
    <row r="1678" spans="1:30" ht="15.75" thickBot="1" x14ac:dyDescent="0.3">
      <c r="A1678" s="12"/>
      <c r="B1678" s="12"/>
      <c r="C1678" s="12"/>
      <c r="D1678" s="3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</row>
    <row r="1679" spans="1:30" ht="15.75" thickBot="1" x14ac:dyDescent="0.3">
      <c r="A1679" s="12"/>
      <c r="B1679" s="12"/>
      <c r="C1679" s="12"/>
      <c r="D1679" s="3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</row>
    <row r="1680" spans="1:30" ht="15.75" thickBot="1" x14ac:dyDescent="0.3">
      <c r="A1680" s="12"/>
      <c r="B1680" s="12"/>
      <c r="C1680" s="12"/>
      <c r="D1680" s="3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</row>
    <row r="1681" spans="1:30" ht="15.75" thickBot="1" x14ac:dyDescent="0.3">
      <c r="A1681" s="12"/>
      <c r="B1681" s="12"/>
      <c r="C1681" s="12"/>
      <c r="D1681" s="3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</row>
    <row r="1682" spans="1:30" ht="15.75" thickBot="1" x14ac:dyDescent="0.3">
      <c r="A1682" s="12"/>
      <c r="B1682" s="12"/>
      <c r="C1682" s="12"/>
      <c r="D1682" s="3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</row>
    <row r="1683" spans="1:30" ht="15.75" thickBot="1" x14ac:dyDescent="0.3">
      <c r="A1683" s="12"/>
      <c r="B1683" s="12"/>
      <c r="C1683" s="12"/>
      <c r="D1683" s="3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</row>
    <row r="1684" spans="1:30" ht="15.75" thickBot="1" x14ac:dyDescent="0.3">
      <c r="A1684" s="12"/>
      <c r="B1684" s="12"/>
      <c r="C1684" s="12"/>
      <c r="D1684" s="3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</row>
    <row r="1685" spans="1:30" ht="15.75" thickBot="1" x14ac:dyDescent="0.3">
      <c r="A1685" s="12"/>
      <c r="B1685" s="12"/>
      <c r="C1685" s="12"/>
      <c r="D1685" s="3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</row>
    <row r="1686" spans="1:30" ht="15.75" thickBot="1" x14ac:dyDescent="0.3">
      <c r="A1686" s="12"/>
      <c r="B1686" s="12"/>
      <c r="C1686" s="12"/>
      <c r="D1686" s="3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</row>
    <row r="1687" spans="1:30" ht="15.75" thickBot="1" x14ac:dyDescent="0.3">
      <c r="A1687" s="12"/>
      <c r="B1687" s="12"/>
      <c r="C1687" s="12"/>
      <c r="D1687" s="3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</row>
    <row r="1688" spans="1:30" ht="15.75" thickBot="1" x14ac:dyDescent="0.3">
      <c r="A1688" s="12"/>
      <c r="B1688" s="12"/>
      <c r="C1688" s="12"/>
      <c r="D1688" s="3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</row>
    <row r="1689" spans="1:30" ht="15.75" thickBot="1" x14ac:dyDescent="0.3">
      <c r="A1689" s="12"/>
      <c r="B1689" s="12"/>
      <c r="C1689" s="12"/>
      <c r="D1689" s="3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</row>
    <row r="1690" spans="1:30" ht="15.75" thickBot="1" x14ac:dyDescent="0.3">
      <c r="A1690" s="12"/>
      <c r="B1690" s="12"/>
      <c r="C1690" s="12"/>
      <c r="D1690" s="3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</row>
    <row r="1691" spans="1:30" ht="15.75" thickBot="1" x14ac:dyDescent="0.3">
      <c r="A1691" s="12"/>
      <c r="B1691" s="12"/>
      <c r="C1691" s="12"/>
      <c r="D1691" s="3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</row>
    <row r="1692" spans="1:30" ht="15.75" thickBot="1" x14ac:dyDescent="0.3">
      <c r="A1692" s="12"/>
      <c r="B1692" s="12"/>
      <c r="C1692" s="12"/>
      <c r="D1692" s="3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</row>
    <row r="1693" spans="1:30" ht="15.75" thickBot="1" x14ac:dyDescent="0.3">
      <c r="A1693" s="12"/>
      <c r="B1693" s="12"/>
      <c r="C1693" s="12"/>
      <c r="D1693" s="3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</row>
    <row r="1694" spans="1:30" ht="15.75" thickBot="1" x14ac:dyDescent="0.3">
      <c r="A1694" s="12"/>
      <c r="B1694" s="12"/>
      <c r="C1694" s="12"/>
      <c r="D1694" s="3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</row>
    <row r="1695" spans="1:30" ht="15.75" thickBot="1" x14ac:dyDescent="0.3">
      <c r="A1695" s="12"/>
      <c r="B1695" s="12"/>
      <c r="C1695" s="12"/>
      <c r="D1695" s="3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</row>
    <row r="1696" spans="1:30" ht="15.75" thickBot="1" x14ac:dyDescent="0.3">
      <c r="A1696" s="12"/>
      <c r="B1696" s="12"/>
      <c r="C1696" s="12"/>
      <c r="D1696" s="3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</row>
    <row r="1697" spans="1:30" ht="15.75" thickBot="1" x14ac:dyDescent="0.3">
      <c r="A1697" s="12"/>
      <c r="B1697" s="12"/>
      <c r="C1697" s="12"/>
      <c r="D1697" s="3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</row>
    <row r="1698" spans="1:30" ht="15.75" thickBot="1" x14ac:dyDescent="0.3">
      <c r="A1698" s="12"/>
      <c r="B1698" s="12"/>
      <c r="C1698" s="12"/>
      <c r="D1698" s="3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</row>
    <row r="1699" spans="1:30" ht="15.75" thickBot="1" x14ac:dyDescent="0.3">
      <c r="A1699" s="12"/>
      <c r="B1699" s="12"/>
      <c r="C1699" s="12"/>
      <c r="D1699" s="3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</row>
    <row r="1700" spans="1:30" ht="15.75" thickBot="1" x14ac:dyDescent="0.3">
      <c r="A1700" s="12"/>
      <c r="B1700" s="12"/>
      <c r="C1700" s="12"/>
      <c r="D1700" s="3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</row>
    <row r="1701" spans="1:30" ht="15.75" thickBot="1" x14ac:dyDescent="0.3">
      <c r="A1701" s="12"/>
      <c r="B1701" s="12"/>
      <c r="C1701" s="12"/>
      <c r="D1701" s="3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</row>
    <row r="1702" spans="1:30" ht="15.75" thickBot="1" x14ac:dyDescent="0.3">
      <c r="A1702" s="12"/>
      <c r="B1702" s="12"/>
      <c r="C1702" s="12"/>
      <c r="D1702" s="3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</row>
    <row r="1703" spans="1:30" ht="15.75" thickBot="1" x14ac:dyDescent="0.3">
      <c r="A1703" s="12"/>
      <c r="B1703" s="12"/>
      <c r="C1703" s="12"/>
      <c r="D1703" s="3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</row>
    <row r="1704" spans="1:30" ht="15.75" thickBot="1" x14ac:dyDescent="0.3">
      <c r="A1704" s="12"/>
      <c r="B1704" s="12"/>
      <c r="C1704" s="12"/>
      <c r="D1704" s="3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2"/>
      <c r="AD1704" s="12"/>
    </row>
    <row r="1705" spans="1:30" ht="15.75" thickBot="1" x14ac:dyDescent="0.3">
      <c r="A1705" s="12"/>
      <c r="B1705" s="12"/>
      <c r="C1705" s="12"/>
      <c r="D1705" s="3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12"/>
      <c r="AD1705" s="12"/>
    </row>
    <row r="1706" spans="1:30" ht="15.75" thickBot="1" x14ac:dyDescent="0.3">
      <c r="A1706" s="12"/>
      <c r="B1706" s="12"/>
      <c r="C1706" s="12"/>
      <c r="D1706" s="3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12"/>
      <c r="AD1706" s="12"/>
    </row>
    <row r="1707" spans="1:30" ht="15.75" thickBot="1" x14ac:dyDescent="0.3">
      <c r="A1707" s="12"/>
      <c r="B1707" s="12"/>
      <c r="C1707" s="12"/>
      <c r="D1707" s="3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12"/>
      <c r="AD1707" s="12"/>
    </row>
    <row r="1708" spans="1:30" ht="15.75" thickBot="1" x14ac:dyDescent="0.3">
      <c r="A1708" s="12"/>
      <c r="B1708" s="12"/>
      <c r="C1708" s="12"/>
      <c r="D1708" s="3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12"/>
      <c r="AD1708" s="12"/>
    </row>
    <row r="1709" spans="1:30" ht="15.75" thickBot="1" x14ac:dyDescent="0.3">
      <c r="A1709" s="12"/>
      <c r="B1709" s="12"/>
      <c r="C1709" s="12"/>
      <c r="D1709" s="3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12"/>
      <c r="AD1709" s="12"/>
    </row>
    <row r="1710" spans="1:30" ht="15.75" thickBot="1" x14ac:dyDescent="0.3">
      <c r="A1710" s="12"/>
      <c r="B1710" s="12"/>
      <c r="C1710" s="12"/>
      <c r="D1710" s="3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12"/>
      <c r="AD1710" s="12"/>
    </row>
    <row r="1711" spans="1:30" ht="15.75" thickBot="1" x14ac:dyDescent="0.3">
      <c r="A1711" s="12"/>
      <c r="B1711" s="12"/>
      <c r="C1711" s="12"/>
      <c r="D1711" s="3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12"/>
      <c r="AD1711" s="12"/>
    </row>
    <row r="1712" spans="1:30" ht="15.75" thickBot="1" x14ac:dyDescent="0.3">
      <c r="A1712" s="12"/>
      <c r="B1712" s="12"/>
      <c r="C1712" s="12"/>
      <c r="D1712" s="3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12"/>
      <c r="AD1712" s="12"/>
    </row>
    <row r="1713" spans="1:30" ht="15.75" thickBot="1" x14ac:dyDescent="0.3">
      <c r="A1713" s="12"/>
      <c r="B1713" s="12"/>
      <c r="C1713" s="12"/>
      <c r="D1713" s="3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12"/>
      <c r="AD1713" s="12"/>
    </row>
    <row r="1714" spans="1:30" ht="15.75" thickBot="1" x14ac:dyDescent="0.3">
      <c r="A1714" s="12"/>
      <c r="B1714" s="12"/>
      <c r="C1714" s="12"/>
      <c r="D1714" s="3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12"/>
      <c r="AD1714" s="12"/>
    </row>
    <row r="1715" spans="1:30" ht="15.75" thickBot="1" x14ac:dyDescent="0.3">
      <c r="A1715" s="12"/>
      <c r="B1715" s="12"/>
      <c r="C1715" s="12"/>
      <c r="D1715" s="3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12"/>
      <c r="AD1715" s="12"/>
    </row>
    <row r="1716" spans="1:30" ht="15.75" thickBot="1" x14ac:dyDescent="0.3">
      <c r="A1716" s="12"/>
      <c r="B1716" s="12"/>
      <c r="C1716" s="12"/>
      <c r="D1716" s="3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12"/>
      <c r="AD1716" s="12"/>
    </row>
    <row r="1717" spans="1:30" ht="15.75" thickBot="1" x14ac:dyDescent="0.3">
      <c r="A1717" s="12"/>
      <c r="B1717" s="12"/>
      <c r="C1717" s="12"/>
      <c r="D1717" s="3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12"/>
      <c r="AD1717" s="12"/>
    </row>
    <row r="1718" spans="1:30" ht="15.75" thickBot="1" x14ac:dyDescent="0.3">
      <c r="A1718" s="12"/>
      <c r="B1718" s="12"/>
      <c r="C1718" s="12"/>
      <c r="D1718" s="3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12"/>
      <c r="AD1718" s="12"/>
    </row>
    <row r="1719" spans="1:30" ht="15.75" thickBot="1" x14ac:dyDescent="0.3">
      <c r="A1719" s="12"/>
      <c r="B1719" s="12"/>
      <c r="C1719" s="12"/>
      <c r="D1719" s="3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12"/>
      <c r="AD1719" s="12"/>
    </row>
    <row r="1720" spans="1:30" ht="15.75" thickBot="1" x14ac:dyDescent="0.3">
      <c r="A1720" s="12"/>
      <c r="B1720" s="12"/>
      <c r="C1720" s="12"/>
      <c r="D1720" s="3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12"/>
      <c r="AD1720" s="12"/>
    </row>
    <row r="1721" spans="1:30" ht="15.75" thickBot="1" x14ac:dyDescent="0.3">
      <c r="A1721" s="12"/>
      <c r="B1721" s="12"/>
      <c r="C1721" s="12"/>
      <c r="D1721" s="3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12"/>
      <c r="AD1721" s="12"/>
    </row>
    <row r="1722" spans="1:30" ht="15.75" thickBot="1" x14ac:dyDescent="0.3">
      <c r="A1722" s="12"/>
      <c r="B1722" s="12"/>
      <c r="C1722" s="12"/>
      <c r="D1722" s="3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12"/>
      <c r="AD1722" s="12"/>
    </row>
    <row r="1723" spans="1:30" ht="15.75" thickBot="1" x14ac:dyDescent="0.3">
      <c r="A1723" s="12"/>
      <c r="B1723" s="12"/>
      <c r="C1723" s="12"/>
      <c r="D1723" s="3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12"/>
      <c r="AD1723" s="12"/>
    </row>
    <row r="1724" spans="1:30" ht="15.75" thickBot="1" x14ac:dyDescent="0.3">
      <c r="A1724" s="12"/>
      <c r="B1724" s="12"/>
      <c r="C1724" s="12"/>
      <c r="D1724" s="3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12"/>
      <c r="AD1724" s="12"/>
    </row>
    <row r="1725" spans="1:30" ht="15.75" thickBot="1" x14ac:dyDescent="0.3">
      <c r="A1725" s="12"/>
      <c r="B1725" s="12"/>
      <c r="C1725" s="12"/>
      <c r="D1725" s="3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12"/>
      <c r="AD1725" s="12"/>
    </row>
    <row r="1726" spans="1:30" ht="15.75" thickBot="1" x14ac:dyDescent="0.3">
      <c r="A1726" s="12"/>
      <c r="B1726" s="12"/>
      <c r="C1726" s="12"/>
      <c r="D1726" s="3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12"/>
      <c r="AD1726" s="12"/>
    </row>
    <row r="1727" spans="1:30" ht="15.75" thickBot="1" x14ac:dyDescent="0.3">
      <c r="A1727" s="12"/>
      <c r="B1727" s="12"/>
      <c r="C1727" s="12"/>
      <c r="D1727" s="3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12"/>
      <c r="AD1727" s="12"/>
    </row>
    <row r="1728" spans="1:30" ht="15.75" thickBot="1" x14ac:dyDescent="0.3">
      <c r="A1728" s="12"/>
      <c r="B1728" s="12"/>
      <c r="C1728" s="12"/>
      <c r="D1728" s="3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12"/>
      <c r="AD1728" s="12"/>
    </row>
    <row r="1729" spans="1:30" ht="15.75" thickBot="1" x14ac:dyDescent="0.3">
      <c r="A1729" s="12"/>
      <c r="B1729" s="12"/>
      <c r="C1729" s="12"/>
      <c r="D1729" s="3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12"/>
      <c r="AD1729" s="12"/>
    </row>
    <row r="1730" spans="1:30" ht="15.75" thickBot="1" x14ac:dyDescent="0.3">
      <c r="A1730" s="12"/>
      <c r="B1730" s="12"/>
      <c r="C1730" s="12"/>
      <c r="D1730" s="3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12"/>
      <c r="AD1730" s="12"/>
    </row>
    <row r="1731" spans="1:30" ht="15.75" thickBot="1" x14ac:dyDescent="0.3">
      <c r="A1731" s="12"/>
      <c r="B1731" s="12"/>
      <c r="C1731" s="12"/>
      <c r="D1731" s="3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12"/>
      <c r="AD1731" s="12"/>
    </row>
    <row r="1732" spans="1:30" ht="15.75" thickBot="1" x14ac:dyDescent="0.3">
      <c r="A1732" s="12"/>
      <c r="B1732" s="12"/>
      <c r="C1732" s="12"/>
      <c r="D1732" s="3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12"/>
      <c r="AD1732" s="12"/>
    </row>
    <row r="1733" spans="1:30" ht="15.75" thickBot="1" x14ac:dyDescent="0.3">
      <c r="A1733" s="12"/>
      <c r="B1733" s="12"/>
      <c r="C1733" s="12"/>
      <c r="D1733" s="3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12"/>
      <c r="AD1733" s="12"/>
    </row>
    <row r="1734" spans="1:30" ht="15.75" thickBot="1" x14ac:dyDescent="0.3">
      <c r="A1734" s="12"/>
      <c r="B1734" s="12"/>
      <c r="C1734" s="12"/>
      <c r="D1734" s="3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12"/>
      <c r="AD1734" s="12"/>
    </row>
    <row r="1735" spans="1:30" ht="15.75" thickBot="1" x14ac:dyDescent="0.3">
      <c r="A1735" s="12"/>
      <c r="B1735" s="12"/>
      <c r="C1735" s="12"/>
      <c r="D1735" s="3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12"/>
      <c r="AD1735" s="12"/>
    </row>
    <row r="1736" spans="1:30" ht="15.75" thickBot="1" x14ac:dyDescent="0.3">
      <c r="A1736" s="12"/>
      <c r="B1736" s="12"/>
      <c r="C1736" s="12"/>
      <c r="D1736" s="3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12"/>
      <c r="AD1736" s="12"/>
    </row>
    <row r="1737" spans="1:30" ht="15.75" thickBot="1" x14ac:dyDescent="0.3">
      <c r="A1737" s="12"/>
      <c r="B1737" s="12"/>
      <c r="C1737" s="12"/>
      <c r="D1737" s="3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12"/>
      <c r="AD1737" s="12"/>
    </row>
    <row r="1738" spans="1:30" ht="15.75" thickBot="1" x14ac:dyDescent="0.3">
      <c r="A1738" s="12"/>
      <c r="B1738" s="12"/>
      <c r="C1738" s="12"/>
      <c r="D1738" s="3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12"/>
      <c r="AD1738" s="12"/>
    </row>
    <row r="1739" spans="1:30" ht="15.75" thickBot="1" x14ac:dyDescent="0.3">
      <c r="A1739" s="12"/>
      <c r="B1739" s="12"/>
      <c r="C1739" s="12"/>
      <c r="D1739" s="3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12"/>
      <c r="AD1739" s="12"/>
    </row>
    <row r="1740" spans="1:30" ht="15.75" thickBot="1" x14ac:dyDescent="0.3">
      <c r="A1740" s="12"/>
      <c r="B1740" s="12"/>
      <c r="C1740" s="12"/>
      <c r="D1740" s="3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12"/>
      <c r="AD1740" s="12"/>
    </row>
    <row r="1741" spans="1:30" ht="15.75" thickBot="1" x14ac:dyDescent="0.3">
      <c r="A1741" s="12"/>
      <c r="B1741" s="12"/>
      <c r="C1741" s="12"/>
      <c r="D1741" s="3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12"/>
      <c r="AD1741" s="12"/>
    </row>
    <row r="1742" spans="1:30" ht="15.75" thickBot="1" x14ac:dyDescent="0.3">
      <c r="A1742" s="12"/>
      <c r="B1742" s="12"/>
      <c r="C1742" s="12"/>
      <c r="D1742" s="3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12"/>
      <c r="AD1742" s="12"/>
    </row>
    <row r="1743" spans="1:30" ht="15.75" thickBot="1" x14ac:dyDescent="0.3">
      <c r="A1743" s="12"/>
      <c r="B1743" s="12"/>
      <c r="C1743" s="12"/>
      <c r="D1743" s="3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12"/>
      <c r="AD1743" s="12"/>
    </row>
    <row r="1744" spans="1:30" ht="15.75" thickBot="1" x14ac:dyDescent="0.3">
      <c r="A1744" s="12"/>
      <c r="B1744" s="12"/>
      <c r="C1744" s="12"/>
      <c r="D1744" s="3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12"/>
      <c r="AD1744" s="12"/>
    </row>
    <row r="1745" spans="1:30" ht="15.75" thickBot="1" x14ac:dyDescent="0.3">
      <c r="A1745" s="12"/>
      <c r="B1745" s="12"/>
      <c r="C1745" s="12"/>
      <c r="D1745" s="3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12"/>
      <c r="AD1745" s="12"/>
    </row>
    <row r="1746" spans="1:30" ht="15.75" thickBot="1" x14ac:dyDescent="0.3">
      <c r="A1746" s="12"/>
      <c r="B1746" s="12"/>
      <c r="C1746" s="12"/>
      <c r="D1746" s="3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12"/>
      <c r="AD1746" s="12"/>
    </row>
    <row r="1747" spans="1:30" ht="15.75" thickBot="1" x14ac:dyDescent="0.3">
      <c r="A1747" s="12"/>
      <c r="B1747" s="12"/>
      <c r="C1747" s="12"/>
      <c r="D1747" s="3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12"/>
      <c r="AD1747" s="12"/>
    </row>
    <row r="1748" spans="1:30" ht="15.75" thickBot="1" x14ac:dyDescent="0.3">
      <c r="A1748" s="12"/>
      <c r="B1748" s="12"/>
      <c r="C1748" s="12"/>
      <c r="D1748" s="3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12"/>
      <c r="AD1748" s="12"/>
    </row>
    <row r="1749" spans="1:30" ht="15.75" thickBot="1" x14ac:dyDescent="0.3">
      <c r="A1749" s="12"/>
      <c r="B1749" s="12"/>
      <c r="C1749" s="12"/>
      <c r="D1749" s="3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12"/>
      <c r="AD1749" s="12"/>
    </row>
    <row r="1750" spans="1:30" ht="15.75" thickBot="1" x14ac:dyDescent="0.3">
      <c r="A1750" s="12"/>
      <c r="B1750" s="12"/>
      <c r="C1750" s="12"/>
      <c r="D1750" s="3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12"/>
      <c r="AD1750" s="12"/>
    </row>
    <row r="1751" spans="1:30" ht="15.75" thickBot="1" x14ac:dyDescent="0.3">
      <c r="A1751" s="12"/>
      <c r="B1751" s="12"/>
      <c r="C1751" s="12"/>
      <c r="D1751" s="3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12"/>
      <c r="AD1751" s="12"/>
    </row>
    <row r="1752" spans="1:30" ht="15.75" thickBot="1" x14ac:dyDescent="0.3">
      <c r="A1752" s="12"/>
      <c r="B1752" s="12"/>
      <c r="C1752" s="12"/>
      <c r="D1752" s="3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12"/>
      <c r="AD1752" s="12"/>
    </row>
    <row r="1753" spans="1:30" ht="15.75" thickBot="1" x14ac:dyDescent="0.3">
      <c r="A1753" s="12"/>
      <c r="B1753" s="12"/>
      <c r="C1753" s="12"/>
      <c r="D1753" s="3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12"/>
      <c r="AD1753" s="12"/>
    </row>
    <row r="1754" spans="1:30" ht="15.75" thickBot="1" x14ac:dyDescent="0.3">
      <c r="A1754" s="12"/>
      <c r="B1754" s="12"/>
      <c r="C1754" s="12"/>
      <c r="D1754" s="3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12"/>
      <c r="AD1754" s="12"/>
    </row>
    <row r="1755" spans="1:30" ht="15.75" thickBot="1" x14ac:dyDescent="0.3">
      <c r="A1755" s="12"/>
      <c r="B1755" s="12"/>
      <c r="C1755" s="12"/>
      <c r="D1755" s="3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12"/>
      <c r="AD1755" s="12"/>
    </row>
    <row r="1756" spans="1:30" ht="15.75" thickBot="1" x14ac:dyDescent="0.3">
      <c r="A1756" s="12"/>
      <c r="B1756" s="12"/>
      <c r="C1756" s="12"/>
      <c r="D1756" s="3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12"/>
      <c r="AD1756" s="12"/>
    </row>
    <row r="1757" spans="1:30" ht="15.75" thickBot="1" x14ac:dyDescent="0.3">
      <c r="A1757" s="12"/>
      <c r="B1757" s="12"/>
      <c r="C1757" s="12"/>
      <c r="D1757" s="3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12"/>
      <c r="AD1757" s="12"/>
    </row>
    <row r="1758" spans="1:30" ht="15.75" thickBot="1" x14ac:dyDescent="0.3">
      <c r="A1758" s="12"/>
      <c r="B1758" s="12"/>
      <c r="C1758" s="12"/>
      <c r="D1758" s="3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12"/>
      <c r="AD1758" s="12"/>
    </row>
    <row r="1759" spans="1:30" ht="15.75" thickBot="1" x14ac:dyDescent="0.3">
      <c r="A1759" s="12"/>
      <c r="B1759" s="12"/>
      <c r="C1759" s="12"/>
      <c r="D1759" s="3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12"/>
      <c r="AD1759" s="12"/>
    </row>
    <row r="1760" spans="1:30" ht="15.75" thickBot="1" x14ac:dyDescent="0.3">
      <c r="A1760" s="12"/>
      <c r="B1760" s="12"/>
      <c r="C1760" s="12"/>
      <c r="D1760" s="3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12"/>
      <c r="AD1760" s="12"/>
    </row>
    <row r="1761" spans="1:30" ht="15.75" thickBot="1" x14ac:dyDescent="0.3">
      <c r="A1761" s="12"/>
      <c r="B1761" s="12"/>
      <c r="C1761" s="12"/>
      <c r="D1761" s="3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12"/>
      <c r="AD1761" s="12"/>
    </row>
    <row r="1762" spans="1:30" ht="15.75" thickBot="1" x14ac:dyDescent="0.3">
      <c r="A1762" s="12"/>
      <c r="B1762" s="12"/>
      <c r="C1762" s="12"/>
      <c r="D1762" s="3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12"/>
      <c r="AD1762" s="12"/>
    </row>
    <row r="1763" spans="1:30" ht="15.75" thickBot="1" x14ac:dyDescent="0.3">
      <c r="A1763" s="12"/>
      <c r="B1763" s="12"/>
      <c r="C1763" s="12"/>
      <c r="D1763" s="3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12"/>
      <c r="AD1763" s="12"/>
    </row>
    <row r="1764" spans="1:30" ht="15.75" thickBot="1" x14ac:dyDescent="0.3">
      <c r="A1764" s="12"/>
      <c r="B1764" s="12"/>
      <c r="C1764" s="12"/>
      <c r="D1764" s="3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12"/>
      <c r="AD1764" s="12"/>
    </row>
    <row r="1765" spans="1:30" ht="15.75" thickBot="1" x14ac:dyDescent="0.3">
      <c r="A1765" s="12"/>
      <c r="B1765" s="12"/>
      <c r="C1765" s="12"/>
      <c r="D1765" s="3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12"/>
      <c r="AD1765" s="12"/>
    </row>
    <row r="1766" spans="1:30" ht="15.75" thickBot="1" x14ac:dyDescent="0.3">
      <c r="A1766" s="12"/>
      <c r="B1766" s="12"/>
      <c r="C1766" s="12"/>
      <c r="D1766" s="3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12"/>
      <c r="AD1766" s="12"/>
    </row>
    <row r="1767" spans="1:30" ht="15.75" thickBot="1" x14ac:dyDescent="0.3">
      <c r="A1767" s="12"/>
      <c r="B1767" s="12"/>
      <c r="C1767" s="12"/>
      <c r="D1767" s="3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12"/>
      <c r="AD1767" s="12"/>
    </row>
    <row r="1768" spans="1:30" ht="15.75" thickBot="1" x14ac:dyDescent="0.3">
      <c r="A1768" s="12"/>
      <c r="B1768" s="12"/>
      <c r="C1768" s="12"/>
      <c r="D1768" s="3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12"/>
      <c r="AD1768" s="12"/>
    </row>
    <row r="1769" spans="1:30" ht="15.75" thickBot="1" x14ac:dyDescent="0.3">
      <c r="A1769" s="12"/>
      <c r="B1769" s="12"/>
      <c r="C1769" s="12"/>
      <c r="D1769" s="3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12"/>
      <c r="AD1769" s="12"/>
    </row>
    <row r="1770" spans="1:30" ht="15.75" thickBot="1" x14ac:dyDescent="0.3">
      <c r="A1770" s="12"/>
      <c r="B1770" s="12"/>
      <c r="C1770" s="12"/>
      <c r="D1770" s="3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12"/>
      <c r="AD1770" s="12"/>
    </row>
    <row r="1771" spans="1:30" ht="15.75" thickBot="1" x14ac:dyDescent="0.3">
      <c r="A1771" s="12"/>
      <c r="B1771" s="12"/>
      <c r="C1771" s="12"/>
      <c r="D1771" s="3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12"/>
      <c r="AD1771" s="12"/>
    </row>
    <row r="1772" spans="1:30" ht="15.75" thickBot="1" x14ac:dyDescent="0.3">
      <c r="A1772" s="12"/>
      <c r="B1772" s="12"/>
      <c r="C1772" s="12"/>
      <c r="D1772" s="3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12"/>
      <c r="AD1772" s="12"/>
    </row>
    <row r="1773" spans="1:30" ht="15.75" thickBot="1" x14ac:dyDescent="0.3">
      <c r="A1773" s="12"/>
      <c r="B1773" s="12"/>
      <c r="C1773" s="12"/>
      <c r="D1773" s="3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12"/>
      <c r="AD1773" s="12"/>
    </row>
    <row r="1774" spans="1:30" ht="15.75" thickBot="1" x14ac:dyDescent="0.3">
      <c r="A1774" s="12"/>
      <c r="B1774" s="12"/>
      <c r="C1774" s="12"/>
      <c r="D1774" s="3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12"/>
      <c r="AD1774" s="12"/>
    </row>
    <row r="1775" spans="1:30" ht="15.75" thickBot="1" x14ac:dyDescent="0.3">
      <c r="A1775" s="12"/>
      <c r="B1775" s="12"/>
      <c r="C1775" s="12"/>
      <c r="D1775" s="3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12"/>
      <c r="AD1775" s="12"/>
    </row>
    <row r="1776" spans="1:30" ht="15.75" thickBot="1" x14ac:dyDescent="0.3">
      <c r="A1776" s="12"/>
      <c r="B1776" s="12"/>
      <c r="C1776" s="12"/>
      <c r="D1776" s="3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12"/>
      <c r="AD1776" s="12"/>
    </row>
    <row r="1777" spans="1:30" ht="15.75" thickBot="1" x14ac:dyDescent="0.3">
      <c r="A1777" s="12"/>
      <c r="B1777" s="12"/>
      <c r="C1777" s="12"/>
      <c r="D1777" s="3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12"/>
      <c r="AD1777" s="12"/>
    </row>
    <row r="1778" spans="1:30" ht="15.75" thickBot="1" x14ac:dyDescent="0.3">
      <c r="A1778" s="12"/>
      <c r="B1778" s="12"/>
      <c r="C1778" s="12"/>
      <c r="D1778" s="3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12"/>
      <c r="AD1778" s="12"/>
    </row>
    <row r="1779" spans="1:30" ht="15.75" thickBot="1" x14ac:dyDescent="0.3">
      <c r="A1779" s="12"/>
      <c r="B1779" s="12"/>
      <c r="C1779" s="12"/>
      <c r="D1779" s="3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12"/>
      <c r="AD1779" s="12"/>
    </row>
    <row r="1780" spans="1:30" ht="15.75" thickBot="1" x14ac:dyDescent="0.3">
      <c r="A1780" s="12"/>
      <c r="B1780" s="12"/>
      <c r="C1780" s="12"/>
      <c r="D1780" s="3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12"/>
      <c r="AD1780" s="12"/>
    </row>
    <row r="1781" spans="1:30" ht="15.75" thickBot="1" x14ac:dyDescent="0.3">
      <c r="A1781" s="12"/>
      <c r="B1781" s="12"/>
      <c r="C1781" s="12"/>
      <c r="D1781" s="3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12"/>
      <c r="AD1781" s="12"/>
    </row>
    <row r="1782" spans="1:30" ht="15.75" thickBot="1" x14ac:dyDescent="0.3">
      <c r="A1782" s="12"/>
      <c r="B1782" s="12"/>
      <c r="C1782" s="12"/>
      <c r="D1782" s="3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12"/>
      <c r="AD1782" s="12"/>
    </row>
    <row r="1783" spans="1:30" ht="15.75" thickBot="1" x14ac:dyDescent="0.3">
      <c r="A1783" s="12"/>
      <c r="B1783" s="12"/>
      <c r="C1783" s="12"/>
      <c r="D1783" s="3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12"/>
      <c r="AD1783" s="12"/>
    </row>
    <row r="1784" spans="1:30" ht="15.75" thickBot="1" x14ac:dyDescent="0.3">
      <c r="A1784" s="12"/>
      <c r="B1784" s="12"/>
      <c r="C1784" s="12"/>
      <c r="D1784" s="3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12"/>
      <c r="AD1784" s="12"/>
    </row>
    <row r="1785" spans="1:30" ht="15.75" thickBot="1" x14ac:dyDescent="0.3">
      <c r="A1785" s="12"/>
      <c r="B1785" s="12"/>
      <c r="C1785" s="12"/>
      <c r="D1785" s="3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12"/>
      <c r="AD1785" s="12"/>
    </row>
    <row r="1786" spans="1:30" ht="15.75" thickBot="1" x14ac:dyDescent="0.3">
      <c r="A1786" s="12"/>
      <c r="B1786" s="12"/>
      <c r="C1786" s="12"/>
      <c r="D1786" s="3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12"/>
      <c r="AD1786" s="12"/>
    </row>
    <row r="1787" spans="1:30" ht="15.75" thickBot="1" x14ac:dyDescent="0.3">
      <c r="A1787" s="12"/>
      <c r="B1787" s="12"/>
      <c r="C1787" s="12"/>
      <c r="D1787" s="3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12"/>
      <c r="AD1787" s="12"/>
    </row>
    <row r="1788" spans="1:30" ht="15.75" thickBot="1" x14ac:dyDescent="0.3">
      <c r="A1788" s="12"/>
      <c r="B1788" s="12"/>
      <c r="C1788" s="12"/>
      <c r="D1788" s="3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12"/>
      <c r="AD1788" s="12"/>
    </row>
    <row r="1789" spans="1:30" ht="15.75" thickBot="1" x14ac:dyDescent="0.3">
      <c r="A1789" s="12"/>
      <c r="B1789" s="12"/>
      <c r="C1789" s="12"/>
      <c r="D1789" s="3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12"/>
      <c r="AD1789" s="12"/>
    </row>
    <row r="1790" spans="1:30" ht="15.75" thickBot="1" x14ac:dyDescent="0.3">
      <c r="A1790" s="12"/>
      <c r="B1790" s="12"/>
      <c r="C1790" s="12"/>
      <c r="D1790" s="3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12"/>
      <c r="AD1790" s="12"/>
    </row>
    <row r="1791" spans="1:30" ht="15.75" thickBot="1" x14ac:dyDescent="0.3">
      <c r="A1791" s="12"/>
      <c r="B1791" s="12"/>
      <c r="C1791" s="12"/>
      <c r="D1791" s="3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12"/>
      <c r="AD1791" s="12"/>
    </row>
    <row r="1792" spans="1:30" ht="15.75" thickBot="1" x14ac:dyDescent="0.3">
      <c r="A1792" s="12"/>
      <c r="B1792" s="12"/>
      <c r="C1792" s="12"/>
      <c r="D1792" s="3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12"/>
      <c r="AD1792" s="12"/>
    </row>
    <row r="1793" spans="1:30" ht="15.75" thickBot="1" x14ac:dyDescent="0.3">
      <c r="A1793" s="12"/>
      <c r="B1793" s="12"/>
      <c r="C1793" s="12"/>
      <c r="D1793" s="3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12"/>
      <c r="AD1793" s="12"/>
    </row>
    <row r="1794" spans="1:30" ht="15.75" thickBot="1" x14ac:dyDescent="0.3">
      <c r="A1794" s="12"/>
      <c r="B1794" s="12"/>
      <c r="C1794" s="12"/>
      <c r="D1794" s="3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12"/>
      <c r="AD1794" s="12"/>
    </row>
    <row r="1795" spans="1:30" ht="15.75" thickBot="1" x14ac:dyDescent="0.3">
      <c r="A1795" s="12"/>
      <c r="B1795" s="12"/>
      <c r="C1795" s="12"/>
      <c r="D1795" s="3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2"/>
      <c r="Y1795" s="12"/>
      <c r="Z1795" s="12"/>
      <c r="AA1795" s="12"/>
      <c r="AB1795" s="12"/>
      <c r="AC1795" s="12"/>
      <c r="AD1795" s="12"/>
    </row>
    <row r="1796" spans="1:30" ht="15.75" thickBot="1" x14ac:dyDescent="0.3">
      <c r="A1796" s="12"/>
      <c r="B1796" s="12"/>
      <c r="C1796" s="12"/>
      <c r="D1796" s="3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2"/>
      <c r="Y1796" s="12"/>
      <c r="Z1796" s="12"/>
      <c r="AA1796" s="12"/>
      <c r="AB1796" s="12"/>
      <c r="AC1796" s="12"/>
      <c r="AD1796" s="12"/>
    </row>
    <row r="1797" spans="1:30" ht="15.75" thickBot="1" x14ac:dyDescent="0.3">
      <c r="A1797" s="12"/>
      <c r="B1797" s="12"/>
      <c r="C1797" s="12"/>
      <c r="D1797" s="3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2"/>
      <c r="Y1797" s="12"/>
      <c r="Z1797" s="12"/>
      <c r="AA1797" s="12"/>
      <c r="AB1797" s="12"/>
      <c r="AC1797" s="12"/>
      <c r="AD1797" s="12"/>
    </row>
    <row r="1798" spans="1:30" ht="15.75" thickBot="1" x14ac:dyDescent="0.3">
      <c r="A1798" s="12"/>
      <c r="B1798" s="12"/>
      <c r="C1798" s="12"/>
      <c r="D1798" s="3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2"/>
      <c r="Y1798" s="12"/>
      <c r="Z1798" s="12"/>
      <c r="AA1798" s="12"/>
      <c r="AB1798" s="12"/>
      <c r="AC1798" s="12"/>
      <c r="AD1798" s="12"/>
    </row>
    <row r="1799" spans="1:30" ht="15.75" thickBot="1" x14ac:dyDescent="0.3">
      <c r="A1799" s="12"/>
      <c r="B1799" s="12"/>
      <c r="C1799" s="12"/>
      <c r="D1799" s="3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2"/>
      <c r="Y1799" s="12"/>
      <c r="Z1799" s="12"/>
      <c r="AA1799" s="12"/>
      <c r="AB1799" s="12"/>
      <c r="AC1799" s="12"/>
      <c r="AD1799" s="12"/>
    </row>
    <row r="1800" spans="1:30" ht="15.75" thickBot="1" x14ac:dyDescent="0.3">
      <c r="A1800" s="12"/>
      <c r="B1800" s="12"/>
      <c r="C1800" s="12"/>
      <c r="D1800" s="3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2"/>
      <c r="Y1800" s="12"/>
      <c r="Z1800" s="12"/>
      <c r="AA1800" s="12"/>
      <c r="AB1800" s="12"/>
      <c r="AC1800" s="12"/>
      <c r="AD1800" s="12"/>
    </row>
    <row r="1801" spans="1:30" ht="15.75" thickBot="1" x14ac:dyDescent="0.3">
      <c r="A1801" s="12"/>
      <c r="B1801" s="12"/>
      <c r="C1801" s="12"/>
      <c r="D1801" s="3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2"/>
      <c r="Y1801" s="12"/>
      <c r="Z1801" s="12"/>
      <c r="AA1801" s="12"/>
      <c r="AB1801" s="12"/>
      <c r="AC1801" s="12"/>
      <c r="AD1801" s="12"/>
    </row>
    <row r="1802" spans="1:30" ht="15.75" thickBot="1" x14ac:dyDescent="0.3">
      <c r="A1802" s="12"/>
      <c r="B1802" s="12"/>
      <c r="C1802" s="12"/>
      <c r="D1802" s="3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2"/>
      <c r="Y1802" s="12"/>
      <c r="Z1802" s="12"/>
      <c r="AA1802" s="12"/>
      <c r="AB1802" s="12"/>
      <c r="AC1802" s="12"/>
      <c r="AD1802" s="12"/>
    </row>
    <row r="1803" spans="1:30" ht="15.75" thickBot="1" x14ac:dyDescent="0.3">
      <c r="A1803" s="12"/>
      <c r="B1803" s="12"/>
      <c r="C1803" s="12"/>
      <c r="D1803" s="3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2"/>
      <c r="Y1803" s="12"/>
      <c r="Z1803" s="12"/>
      <c r="AA1803" s="12"/>
      <c r="AB1803" s="12"/>
      <c r="AC1803" s="12"/>
      <c r="AD1803" s="12"/>
    </row>
    <row r="1804" spans="1:30" ht="15.75" thickBot="1" x14ac:dyDescent="0.3">
      <c r="A1804" s="12"/>
      <c r="B1804" s="12"/>
      <c r="C1804" s="12"/>
      <c r="D1804" s="3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2"/>
      <c r="Y1804" s="12"/>
      <c r="Z1804" s="12"/>
      <c r="AA1804" s="12"/>
      <c r="AB1804" s="12"/>
      <c r="AC1804" s="12"/>
      <c r="AD1804" s="12"/>
    </row>
    <row r="1805" spans="1:30" ht="15.75" thickBot="1" x14ac:dyDescent="0.3">
      <c r="A1805" s="12"/>
      <c r="B1805" s="12"/>
      <c r="C1805" s="12"/>
      <c r="D1805" s="3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2"/>
      <c r="Y1805" s="12"/>
      <c r="Z1805" s="12"/>
      <c r="AA1805" s="12"/>
      <c r="AB1805" s="12"/>
      <c r="AC1805" s="12"/>
      <c r="AD1805" s="12"/>
    </row>
    <row r="1806" spans="1:30" ht="15.75" thickBot="1" x14ac:dyDescent="0.3">
      <c r="A1806" s="12"/>
      <c r="B1806" s="12"/>
      <c r="C1806" s="12"/>
      <c r="D1806" s="3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2"/>
      <c r="Y1806" s="12"/>
      <c r="Z1806" s="12"/>
      <c r="AA1806" s="12"/>
      <c r="AB1806" s="12"/>
      <c r="AC1806" s="12"/>
      <c r="AD1806" s="12"/>
    </row>
    <row r="1807" spans="1:30" ht="15.75" thickBot="1" x14ac:dyDescent="0.3">
      <c r="A1807" s="12"/>
      <c r="B1807" s="12"/>
      <c r="C1807" s="12"/>
      <c r="D1807" s="3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2"/>
      <c r="Y1807" s="12"/>
      <c r="Z1807" s="12"/>
      <c r="AA1807" s="12"/>
      <c r="AB1807" s="12"/>
      <c r="AC1807" s="12"/>
      <c r="AD1807" s="12"/>
    </row>
    <row r="1808" spans="1:30" ht="15.75" thickBot="1" x14ac:dyDescent="0.3">
      <c r="A1808" s="12"/>
      <c r="B1808" s="12"/>
      <c r="C1808" s="12"/>
      <c r="D1808" s="3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2"/>
      <c r="Y1808" s="12"/>
      <c r="Z1808" s="12"/>
      <c r="AA1808" s="12"/>
      <c r="AB1808" s="12"/>
      <c r="AC1808" s="12"/>
      <c r="AD1808" s="12"/>
    </row>
    <row r="1809" spans="1:30" ht="15.75" thickBot="1" x14ac:dyDescent="0.3">
      <c r="A1809" s="12"/>
      <c r="B1809" s="12"/>
      <c r="C1809" s="12"/>
      <c r="D1809" s="3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2"/>
      <c r="Y1809" s="12"/>
      <c r="Z1809" s="12"/>
      <c r="AA1809" s="12"/>
      <c r="AB1809" s="12"/>
      <c r="AC1809" s="12"/>
      <c r="AD1809" s="12"/>
    </row>
    <row r="1810" spans="1:30" ht="15.75" thickBot="1" x14ac:dyDescent="0.3">
      <c r="A1810" s="12"/>
      <c r="B1810" s="12"/>
      <c r="C1810" s="12"/>
      <c r="D1810" s="3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2"/>
      <c r="Y1810" s="12"/>
      <c r="Z1810" s="12"/>
      <c r="AA1810" s="12"/>
      <c r="AB1810" s="12"/>
      <c r="AC1810" s="12"/>
      <c r="AD1810" s="12"/>
    </row>
    <row r="1811" spans="1:30" ht="15.75" thickBot="1" x14ac:dyDescent="0.3">
      <c r="A1811" s="12"/>
      <c r="B1811" s="12"/>
      <c r="C1811" s="12"/>
      <c r="D1811" s="3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2"/>
      <c r="Y1811" s="12"/>
      <c r="Z1811" s="12"/>
      <c r="AA1811" s="12"/>
      <c r="AB1811" s="12"/>
      <c r="AC1811" s="12"/>
      <c r="AD1811" s="12"/>
    </row>
    <row r="1812" spans="1:30" ht="15.75" thickBot="1" x14ac:dyDescent="0.3">
      <c r="A1812" s="12"/>
      <c r="B1812" s="12"/>
      <c r="C1812" s="12"/>
      <c r="D1812" s="3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2"/>
      <c r="Y1812" s="12"/>
      <c r="Z1812" s="12"/>
      <c r="AA1812" s="12"/>
      <c r="AB1812" s="12"/>
      <c r="AC1812" s="12"/>
      <c r="AD1812" s="12"/>
    </row>
    <row r="1813" spans="1:30" ht="15.75" thickBot="1" x14ac:dyDescent="0.3">
      <c r="A1813" s="12"/>
      <c r="B1813" s="12"/>
      <c r="C1813" s="12"/>
      <c r="D1813" s="3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2"/>
      <c r="Y1813" s="12"/>
      <c r="Z1813" s="12"/>
      <c r="AA1813" s="12"/>
      <c r="AB1813" s="12"/>
      <c r="AC1813" s="12"/>
      <c r="AD1813" s="12"/>
    </row>
    <row r="1814" spans="1:30" ht="15.75" thickBot="1" x14ac:dyDescent="0.3">
      <c r="A1814" s="12"/>
      <c r="B1814" s="12"/>
      <c r="C1814" s="12"/>
      <c r="D1814" s="3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2"/>
      <c r="Y1814" s="12"/>
      <c r="Z1814" s="12"/>
      <c r="AA1814" s="12"/>
      <c r="AB1814" s="12"/>
      <c r="AC1814" s="12"/>
      <c r="AD1814" s="12"/>
    </row>
    <row r="1815" spans="1:30" ht="15.75" thickBot="1" x14ac:dyDescent="0.3">
      <c r="A1815" s="12"/>
      <c r="B1815" s="12"/>
      <c r="C1815" s="12"/>
      <c r="D1815" s="3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2"/>
      <c r="Y1815" s="12"/>
      <c r="Z1815" s="12"/>
      <c r="AA1815" s="12"/>
      <c r="AB1815" s="12"/>
      <c r="AC1815" s="12"/>
      <c r="AD1815" s="12"/>
    </row>
    <row r="1816" spans="1:30" ht="15.75" thickBot="1" x14ac:dyDescent="0.3">
      <c r="A1816" s="12"/>
      <c r="B1816" s="12"/>
      <c r="C1816" s="12"/>
      <c r="D1816" s="3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2"/>
      <c r="Y1816" s="12"/>
      <c r="Z1816" s="12"/>
      <c r="AA1816" s="12"/>
      <c r="AB1816" s="12"/>
      <c r="AC1816" s="12"/>
      <c r="AD1816" s="12"/>
    </row>
    <row r="1817" spans="1:30" ht="15.75" thickBot="1" x14ac:dyDescent="0.3">
      <c r="A1817" s="12"/>
      <c r="B1817" s="12"/>
      <c r="C1817" s="12"/>
      <c r="D1817" s="3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2"/>
      <c r="Y1817" s="12"/>
      <c r="Z1817" s="12"/>
      <c r="AA1817" s="12"/>
      <c r="AB1817" s="12"/>
      <c r="AC1817" s="12"/>
      <c r="AD1817" s="12"/>
    </row>
    <row r="1818" spans="1:30" ht="15.75" thickBot="1" x14ac:dyDescent="0.3">
      <c r="A1818" s="12"/>
      <c r="B1818" s="12"/>
      <c r="C1818" s="12"/>
      <c r="D1818" s="3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2"/>
      <c r="Y1818" s="12"/>
      <c r="Z1818" s="12"/>
      <c r="AA1818" s="12"/>
      <c r="AB1818" s="12"/>
      <c r="AC1818" s="12"/>
      <c r="AD1818" s="12"/>
    </row>
    <row r="1819" spans="1:30" ht="15.75" thickBot="1" x14ac:dyDescent="0.3">
      <c r="A1819" s="12"/>
      <c r="B1819" s="12"/>
      <c r="C1819" s="12"/>
      <c r="D1819" s="3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2"/>
      <c r="Y1819" s="12"/>
      <c r="Z1819" s="12"/>
      <c r="AA1819" s="12"/>
      <c r="AB1819" s="12"/>
      <c r="AC1819" s="12"/>
      <c r="AD1819" s="12"/>
    </row>
    <row r="1820" spans="1:30" ht="15.75" thickBot="1" x14ac:dyDescent="0.3">
      <c r="A1820" s="12"/>
      <c r="B1820" s="12"/>
      <c r="C1820" s="12"/>
      <c r="D1820" s="3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2"/>
      <c r="Y1820" s="12"/>
      <c r="Z1820" s="12"/>
      <c r="AA1820" s="12"/>
      <c r="AB1820" s="12"/>
      <c r="AC1820" s="12"/>
      <c r="AD1820" s="12"/>
    </row>
    <row r="1821" spans="1:30" ht="15.75" thickBot="1" x14ac:dyDescent="0.3">
      <c r="A1821" s="12"/>
      <c r="B1821" s="12"/>
      <c r="C1821" s="12"/>
      <c r="D1821" s="3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2"/>
      <c r="Y1821" s="12"/>
      <c r="Z1821" s="12"/>
      <c r="AA1821" s="12"/>
      <c r="AB1821" s="12"/>
      <c r="AC1821" s="12"/>
      <c r="AD1821" s="12"/>
    </row>
    <row r="1822" spans="1:30" ht="15.75" thickBot="1" x14ac:dyDescent="0.3">
      <c r="A1822" s="12"/>
      <c r="B1822" s="12"/>
      <c r="C1822" s="12"/>
      <c r="D1822" s="3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2"/>
      <c r="Y1822" s="12"/>
      <c r="Z1822" s="12"/>
      <c r="AA1822" s="12"/>
      <c r="AB1822" s="12"/>
      <c r="AC1822" s="12"/>
      <c r="AD1822" s="12"/>
    </row>
    <row r="1823" spans="1:30" ht="15.75" thickBot="1" x14ac:dyDescent="0.3">
      <c r="A1823" s="12"/>
      <c r="B1823" s="12"/>
      <c r="C1823" s="12"/>
      <c r="D1823" s="3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2"/>
      <c r="Y1823" s="12"/>
      <c r="Z1823" s="12"/>
      <c r="AA1823" s="12"/>
      <c r="AB1823" s="12"/>
      <c r="AC1823" s="12"/>
      <c r="AD1823" s="12"/>
    </row>
    <row r="1824" spans="1:30" ht="15.75" thickBot="1" x14ac:dyDescent="0.3">
      <c r="A1824" s="12"/>
      <c r="B1824" s="12"/>
      <c r="C1824" s="12"/>
      <c r="D1824" s="3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2"/>
      <c r="Y1824" s="12"/>
      <c r="Z1824" s="12"/>
      <c r="AA1824" s="12"/>
      <c r="AB1824" s="12"/>
      <c r="AC1824" s="12"/>
      <c r="AD1824" s="12"/>
    </row>
    <row r="1825" spans="1:30" ht="15.75" thickBot="1" x14ac:dyDescent="0.3">
      <c r="A1825" s="12"/>
      <c r="B1825" s="12"/>
      <c r="C1825" s="12"/>
      <c r="D1825" s="3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2"/>
      <c r="Y1825" s="12"/>
      <c r="Z1825" s="12"/>
      <c r="AA1825" s="12"/>
      <c r="AB1825" s="12"/>
      <c r="AC1825" s="12"/>
      <c r="AD1825" s="12"/>
    </row>
    <row r="1826" spans="1:30" ht="15.75" thickBot="1" x14ac:dyDescent="0.3">
      <c r="A1826" s="12"/>
      <c r="B1826" s="12"/>
      <c r="C1826" s="12"/>
      <c r="D1826" s="3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2"/>
      <c r="Y1826" s="12"/>
      <c r="Z1826" s="12"/>
      <c r="AA1826" s="12"/>
      <c r="AB1826" s="12"/>
      <c r="AC1826" s="12"/>
      <c r="AD1826" s="12"/>
    </row>
    <row r="1827" spans="1:30" ht="15.75" thickBot="1" x14ac:dyDescent="0.3">
      <c r="A1827" s="12"/>
      <c r="B1827" s="12"/>
      <c r="C1827" s="12"/>
      <c r="D1827" s="3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2"/>
      <c r="Y1827" s="12"/>
      <c r="Z1827" s="12"/>
      <c r="AA1827" s="12"/>
      <c r="AB1827" s="12"/>
      <c r="AC1827" s="12"/>
      <c r="AD1827" s="12"/>
    </row>
    <row r="1828" spans="1:30" ht="15.75" thickBot="1" x14ac:dyDescent="0.3">
      <c r="A1828" s="12"/>
      <c r="B1828" s="12"/>
      <c r="C1828" s="12"/>
      <c r="D1828" s="3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2"/>
      <c r="Y1828" s="12"/>
      <c r="Z1828" s="12"/>
      <c r="AA1828" s="12"/>
      <c r="AB1828" s="12"/>
      <c r="AC1828" s="12"/>
      <c r="AD1828" s="12"/>
    </row>
    <row r="1829" spans="1:30" ht="15.75" thickBot="1" x14ac:dyDescent="0.3">
      <c r="A1829" s="12"/>
      <c r="B1829" s="12"/>
      <c r="C1829" s="12"/>
      <c r="D1829" s="3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2"/>
      <c r="Y1829" s="12"/>
      <c r="Z1829" s="12"/>
      <c r="AA1829" s="12"/>
      <c r="AB1829" s="12"/>
      <c r="AC1829" s="12"/>
      <c r="AD1829" s="12"/>
    </row>
    <row r="1830" spans="1:30" ht="15.75" thickBot="1" x14ac:dyDescent="0.3">
      <c r="A1830" s="12"/>
      <c r="B1830" s="12"/>
      <c r="C1830" s="12"/>
      <c r="D1830" s="3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2"/>
      <c r="Y1830" s="12"/>
      <c r="Z1830" s="12"/>
      <c r="AA1830" s="12"/>
      <c r="AB1830" s="12"/>
      <c r="AC1830" s="12"/>
      <c r="AD1830" s="12"/>
    </row>
    <row r="1831" spans="1:30" ht="15.75" thickBot="1" x14ac:dyDescent="0.3">
      <c r="A1831" s="12"/>
      <c r="B1831" s="12"/>
      <c r="C1831" s="12"/>
      <c r="D1831" s="3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2"/>
      <c r="Y1831" s="12"/>
      <c r="Z1831" s="12"/>
      <c r="AA1831" s="12"/>
      <c r="AB1831" s="12"/>
      <c r="AC1831" s="12"/>
      <c r="AD1831" s="12"/>
    </row>
    <row r="1832" spans="1:30" ht="15.75" thickBot="1" x14ac:dyDescent="0.3">
      <c r="A1832" s="12"/>
      <c r="B1832" s="12"/>
      <c r="C1832" s="12"/>
      <c r="D1832" s="3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2"/>
      <c r="Y1832" s="12"/>
      <c r="Z1832" s="12"/>
      <c r="AA1832" s="12"/>
      <c r="AB1832" s="12"/>
      <c r="AC1832" s="12"/>
      <c r="AD1832" s="12"/>
    </row>
    <row r="1833" spans="1:30" ht="15.75" thickBot="1" x14ac:dyDescent="0.3">
      <c r="A1833" s="12"/>
      <c r="B1833" s="12"/>
      <c r="C1833" s="12"/>
      <c r="D1833" s="3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2"/>
      <c r="Y1833" s="12"/>
      <c r="Z1833" s="12"/>
      <c r="AA1833" s="12"/>
      <c r="AB1833" s="12"/>
      <c r="AC1833" s="12"/>
      <c r="AD1833" s="12"/>
    </row>
    <row r="1834" spans="1:30" ht="15.75" thickBot="1" x14ac:dyDescent="0.3">
      <c r="A1834" s="12"/>
      <c r="B1834" s="12"/>
      <c r="C1834" s="12"/>
      <c r="D1834" s="3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2"/>
      <c r="Y1834" s="12"/>
      <c r="Z1834" s="12"/>
      <c r="AA1834" s="12"/>
      <c r="AB1834" s="12"/>
      <c r="AC1834" s="12"/>
      <c r="AD1834" s="12"/>
    </row>
    <row r="1835" spans="1:30" ht="15.75" thickBot="1" x14ac:dyDescent="0.3">
      <c r="A1835" s="12"/>
      <c r="B1835" s="12"/>
      <c r="C1835" s="12"/>
      <c r="D1835" s="3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2"/>
      <c r="Y1835" s="12"/>
      <c r="Z1835" s="12"/>
      <c r="AA1835" s="12"/>
      <c r="AB1835" s="12"/>
      <c r="AC1835" s="12"/>
      <c r="AD1835" s="12"/>
    </row>
    <row r="1836" spans="1:30" ht="15.75" thickBot="1" x14ac:dyDescent="0.3">
      <c r="A1836" s="12"/>
      <c r="B1836" s="12"/>
      <c r="C1836" s="12"/>
      <c r="D1836" s="3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2"/>
      <c r="Y1836" s="12"/>
      <c r="Z1836" s="12"/>
      <c r="AA1836" s="12"/>
      <c r="AB1836" s="12"/>
      <c r="AC1836" s="12"/>
      <c r="AD1836" s="12"/>
    </row>
    <row r="1837" spans="1:30" ht="15.75" thickBot="1" x14ac:dyDescent="0.3">
      <c r="A1837" s="12"/>
      <c r="B1837" s="12"/>
      <c r="C1837" s="12"/>
      <c r="D1837" s="3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2"/>
      <c r="Y1837" s="12"/>
      <c r="Z1837" s="12"/>
      <c r="AA1837" s="12"/>
      <c r="AB1837" s="12"/>
      <c r="AC1837" s="12"/>
      <c r="AD1837" s="12"/>
    </row>
    <row r="1838" spans="1:30" ht="15.75" thickBot="1" x14ac:dyDescent="0.3">
      <c r="A1838" s="12"/>
      <c r="B1838" s="12"/>
      <c r="C1838" s="12"/>
      <c r="D1838" s="3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2"/>
      <c r="Y1838" s="12"/>
      <c r="Z1838" s="12"/>
      <c r="AA1838" s="12"/>
      <c r="AB1838" s="12"/>
      <c r="AC1838" s="12"/>
      <c r="AD1838" s="12"/>
    </row>
    <row r="1839" spans="1:30" ht="15.75" thickBot="1" x14ac:dyDescent="0.3">
      <c r="A1839" s="12"/>
      <c r="B1839" s="12"/>
      <c r="C1839" s="12"/>
      <c r="D1839" s="3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2"/>
      <c r="Y1839" s="12"/>
      <c r="Z1839" s="12"/>
      <c r="AA1839" s="12"/>
      <c r="AB1839" s="12"/>
      <c r="AC1839" s="12"/>
      <c r="AD1839" s="12"/>
    </row>
    <row r="1840" spans="1:30" ht="15.75" thickBot="1" x14ac:dyDescent="0.3">
      <c r="A1840" s="12"/>
      <c r="B1840" s="12"/>
      <c r="C1840" s="12"/>
      <c r="D1840" s="3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2"/>
      <c r="Y1840" s="12"/>
      <c r="Z1840" s="12"/>
      <c r="AA1840" s="12"/>
      <c r="AB1840" s="12"/>
      <c r="AC1840" s="12"/>
      <c r="AD1840" s="12"/>
    </row>
    <row r="1841" spans="1:30" ht="15.75" thickBot="1" x14ac:dyDescent="0.3">
      <c r="A1841" s="12"/>
      <c r="B1841" s="12"/>
      <c r="C1841" s="12"/>
      <c r="D1841" s="3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2"/>
      <c r="Y1841" s="12"/>
      <c r="Z1841" s="12"/>
      <c r="AA1841" s="12"/>
      <c r="AB1841" s="12"/>
      <c r="AC1841" s="12"/>
      <c r="AD1841" s="12"/>
    </row>
    <row r="1842" spans="1:30" ht="15.75" thickBot="1" x14ac:dyDescent="0.3">
      <c r="A1842" s="12"/>
      <c r="B1842" s="12"/>
      <c r="C1842" s="12"/>
      <c r="D1842" s="3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2"/>
      <c r="Y1842" s="12"/>
      <c r="Z1842" s="12"/>
      <c r="AA1842" s="12"/>
      <c r="AB1842" s="12"/>
      <c r="AC1842" s="12"/>
      <c r="AD1842" s="12"/>
    </row>
    <row r="1843" spans="1:30" ht="15.75" thickBot="1" x14ac:dyDescent="0.3">
      <c r="A1843" s="12"/>
      <c r="B1843" s="12"/>
      <c r="C1843" s="12"/>
      <c r="D1843" s="3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2"/>
      <c r="Y1843" s="12"/>
      <c r="Z1843" s="12"/>
      <c r="AA1843" s="12"/>
      <c r="AB1843" s="12"/>
      <c r="AC1843" s="12"/>
      <c r="AD1843" s="12"/>
    </row>
    <row r="1844" spans="1:30" ht="15.75" thickBot="1" x14ac:dyDescent="0.3">
      <c r="A1844" s="12"/>
      <c r="B1844" s="12"/>
      <c r="C1844" s="12"/>
      <c r="D1844" s="3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2"/>
      <c r="Y1844" s="12"/>
      <c r="Z1844" s="12"/>
      <c r="AA1844" s="12"/>
      <c r="AB1844" s="12"/>
      <c r="AC1844" s="12"/>
      <c r="AD1844" s="12"/>
    </row>
    <row r="1845" spans="1:30" ht="15.75" thickBot="1" x14ac:dyDescent="0.3">
      <c r="A1845" s="12"/>
      <c r="B1845" s="12"/>
      <c r="C1845" s="12"/>
      <c r="D1845" s="3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2"/>
      <c r="Y1845" s="12"/>
      <c r="Z1845" s="12"/>
      <c r="AA1845" s="12"/>
      <c r="AB1845" s="12"/>
      <c r="AC1845" s="12"/>
      <c r="AD1845" s="12"/>
    </row>
    <row r="1846" spans="1:30" ht="15.75" thickBot="1" x14ac:dyDescent="0.3">
      <c r="A1846" s="12"/>
      <c r="B1846" s="12"/>
      <c r="C1846" s="12"/>
      <c r="D1846" s="3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2"/>
      <c r="Y1846" s="12"/>
      <c r="Z1846" s="12"/>
      <c r="AA1846" s="12"/>
      <c r="AB1846" s="12"/>
      <c r="AC1846" s="12"/>
      <c r="AD1846" s="12"/>
    </row>
    <row r="1847" spans="1:30" ht="15.75" thickBot="1" x14ac:dyDescent="0.3">
      <c r="A1847" s="12"/>
      <c r="B1847" s="12"/>
      <c r="C1847" s="12"/>
      <c r="D1847" s="3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2"/>
      <c r="Y1847" s="12"/>
      <c r="Z1847" s="12"/>
      <c r="AA1847" s="12"/>
      <c r="AB1847" s="12"/>
      <c r="AC1847" s="12"/>
      <c r="AD1847" s="12"/>
    </row>
    <row r="1848" spans="1:30" ht="15.75" thickBot="1" x14ac:dyDescent="0.3">
      <c r="A1848" s="12"/>
      <c r="B1848" s="12"/>
      <c r="C1848" s="12"/>
      <c r="D1848" s="3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2"/>
      <c r="Y1848" s="12"/>
      <c r="Z1848" s="12"/>
      <c r="AA1848" s="12"/>
      <c r="AB1848" s="12"/>
      <c r="AC1848" s="12"/>
      <c r="AD1848" s="12"/>
    </row>
    <row r="1849" spans="1:30" ht="15.75" thickBot="1" x14ac:dyDescent="0.3">
      <c r="A1849" s="12"/>
      <c r="B1849" s="12"/>
      <c r="C1849" s="12"/>
      <c r="D1849" s="3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2"/>
      <c r="Y1849" s="12"/>
      <c r="Z1849" s="12"/>
      <c r="AA1849" s="12"/>
      <c r="AB1849" s="12"/>
      <c r="AC1849" s="12"/>
      <c r="AD1849" s="12"/>
    </row>
    <row r="1850" spans="1:30" ht="15.75" thickBot="1" x14ac:dyDescent="0.3">
      <c r="A1850" s="12"/>
      <c r="B1850" s="12"/>
      <c r="C1850" s="12"/>
      <c r="D1850" s="3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2"/>
      <c r="Y1850" s="12"/>
      <c r="Z1850" s="12"/>
      <c r="AA1850" s="12"/>
      <c r="AB1850" s="12"/>
      <c r="AC1850" s="12"/>
      <c r="AD1850" s="12"/>
    </row>
    <row r="1851" spans="1:30" ht="15.75" thickBot="1" x14ac:dyDescent="0.3">
      <c r="A1851" s="12"/>
      <c r="B1851" s="12"/>
      <c r="C1851" s="12"/>
      <c r="D1851" s="3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2"/>
      <c r="Y1851" s="12"/>
      <c r="Z1851" s="12"/>
      <c r="AA1851" s="12"/>
      <c r="AB1851" s="12"/>
      <c r="AC1851" s="12"/>
      <c r="AD1851" s="12"/>
    </row>
    <row r="1852" spans="1:30" ht="15.75" thickBot="1" x14ac:dyDescent="0.3">
      <c r="A1852" s="12"/>
      <c r="B1852" s="12"/>
      <c r="C1852" s="12"/>
      <c r="D1852" s="3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2"/>
      <c r="Y1852" s="12"/>
      <c r="Z1852" s="12"/>
      <c r="AA1852" s="12"/>
      <c r="AB1852" s="12"/>
      <c r="AC1852" s="12"/>
      <c r="AD1852" s="12"/>
    </row>
    <row r="1853" spans="1:30" ht="15.75" thickBot="1" x14ac:dyDescent="0.3">
      <c r="A1853" s="12"/>
      <c r="B1853" s="12"/>
      <c r="C1853" s="12"/>
      <c r="D1853" s="3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2"/>
      <c r="Y1853" s="12"/>
      <c r="Z1853" s="12"/>
      <c r="AA1853" s="12"/>
      <c r="AB1853" s="12"/>
      <c r="AC1853" s="12"/>
      <c r="AD1853" s="12"/>
    </row>
    <row r="1854" spans="1:30" ht="15.75" thickBot="1" x14ac:dyDescent="0.3">
      <c r="A1854" s="12"/>
      <c r="B1854" s="12"/>
      <c r="C1854" s="12"/>
      <c r="D1854" s="3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2"/>
      <c r="Y1854" s="12"/>
      <c r="Z1854" s="12"/>
      <c r="AA1854" s="12"/>
      <c r="AB1854" s="12"/>
      <c r="AC1854" s="12"/>
      <c r="AD1854" s="12"/>
    </row>
    <row r="1855" spans="1:30" ht="15.75" thickBot="1" x14ac:dyDescent="0.3">
      <c r="A1855" s="12"/>
      <c r="B1855" s="12"/>
      <c r="C1855" s="12"/>
      <c r="D1855" s="3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2"/>
      <c r="Y1855" s="12"/>
      <c r="Z1855" s="12"/>
      <c r="AA1855" s="12"/>
      <c r="AB1855" s="12"/>
      <c r="AC1855" s="12"/>
      <c r="AD1855" s="12"/>
    </row>
    <row r="1856" spans="1:30" ht="15.75" thickBot="1" x14ac:dyDescent="0.3">
      <c r="A1856" s="12"/>
      <c r="B1856" s="12"/>
      <c r="C1856" s="12"/>
      <c r="D1856" s="3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2"/>
      <c r="Y1856" s="12"/>
      <c r="Z1856" s="12"/>
      <c r="AA1856" s="12"/>
      <c r="AB1856" s="12"/>
      <c r="AC1856" s="12"/>
      <c r="AD1856" s="12"/>
    </row>
    <row r="1857" spans="1:30" ht="15.75" thickBot="1" x14ac:dyDescent="0.3">
      <c r="A1857" s="12"/>
      <c r="B1857" s="12"/>
      <c r="C1857" s="12"/>
      <c r="D1857" s="3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2"/>
      <c r="Y1857" s="12"/>
      <c r="Z1857" s="12"/>
      <c r="AA1857" s="12"/>
      <c r="AB1857" s="12"/>
      <c r="AC1857" s="12"/>
      <c r="AD1857" s="12"/>
    </row>
    <row r="1858" spans="1:30" ht="15.75" thickBot="1" x14ac:dyDescent="0.3">
      <c r="A1858" s="12"/>
      <c r="B1858" s="12"/>
      <c r="C1858" s="12"/>
      <c r="D1858" s="3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2"/>
      <c r="Y1858" s="12"/>
      <c r="Z1858" s="12"/>
      <c r="AA1858" s="12"/>
      <c r="AB1858" s="12"/>
      <c r="AC1858" s="12"/>
      <c r="AD1858" s="12"/>
    </row>
    <row r="1859" spans="1:30" ht="15.75" thickBot="1" x14ac:dyDescent="0.3">
      <c r="A1859" s="12"/>
      <c r="B1859" s="12"/>
      <c r="C1859" s="12"/>
      <c r="D1859" s="3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2"/>
      <c r="Y1859" s="12"/>
      <c r="Z1859" s="12"/>
      <c r="AA1859" s="12"/>
      <c r="AB1859" s="12"/>
      <c r="AC1859" s="12"/>
      <c r="AD1859" s="12"/>
    </row>
    <row r="1860" spans="1:30" ht="15.75" thickBot="1" x14ac:dyDescent="0.3">
      <c r="A1860" s="12"/>
      <c r="B1860" s="12"/>
      <c r="C1860" s="12"/>
      <c r="D1860" s="3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2"/>
      <c r="Y1860" s="12"/>
      <c r="Z1860" s="12"/>
      <c r="AA1860" s="12"/>
      <c r="AB1860" s="12"/>
      <c r="AC1860" s="12"/>
      <c r="AD1860" s="12"/>
    </row>
    <row r="1861" spans="1:30" ht="15.75" thickBot="1" x14ac:dyDescent="0.3">
      <c r="A1861" s="12"/>
      <c r="B1861" s="12"/>
      <c r="C1861" s="12"/>
      <c r="D1861" s="3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2"/>
      <c r="Y1861" s="12"/>
      <c r="Z1861" s="12"/>
      <c r="AA1861" s="12"/>
      <c r="AB1861" s="12"/>
      <c r="AC1861" s="12"/>
      <c r="AD1861" s="12"/>
    </row>
    <row r="1862" spans="1:30" ht="15.75" thickBot="1" x14ac:dyDescent="0.3">
      <c r="A1862" s="12"/>
      <c r="B1862" s="12"/>
      <c r="C1862" s="12"/>
      <c r="D1862" s="3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2"/>
      <c r="Y1862" s="12"/>
      <c r="Z1862" s="12"/>
      <c r="AA1862" s="12"/>
      <c r="AB1862" s="12"/>
      <c r="AC1862" s="12"/>
      <c r="AD1862" s="12"/>
    </row>
    <row r="1863" spans="1:30" ht="15.75" thickBot="1" x14ac:dyDescent="0.3">
      <c r="A1863" s="12"/>
      <c r="B1863" s="12"/>
      <c r="C1863" s="12"/>
      <c r="D1863" s="3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2"/>
      <c r="Y1863" s="12"/>
      <c r="Z1863" s="12"/>
      <c r="AA1863" s="12"/>
      <c r="AB1863" s="12"/>
      <c r="AC1863" s="12"/>
      <c r="AD1863" s="12"/>
    </row>
    <row r="1864" spans="1:30" ht="15.75" thickBot="1" x14ac:dyDescent="0.3">
      <c r="A1864" s="12"/>
      <c r="B1864" s="12"/>
      <c r="C1864" s="12"/>
      <c r="D1864" s="3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2"/>
      <c r="Y1864" s="12"/>
      <c r="Z1864" s="12"/>
      <c r="AA1864" s="12"/>
      <c r="AB1864" s="12"/>
      <c r="AC1864" s="12"/>
      <c r="AD1864" s="12"/>
    </row>
    <row r="1865" spans="1:30" ht="15.75" thickBot="1" x14ac:dyDescent="0.3">
      <c r="A1865" s="12"/>
      <c r="B1865" s="12"/>
      <c r="C1865" s="12"/>
      <c r="D1865" s="3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2"/>
      <c r="Y1865" s="12"/>
      <c r="Z1865" s="12"/>
      <c r="AA1865" s="12"/>
      <c r="AB1865" s="12"/>
      <c r="AC1865" s="12"/>
      <c r="AD1865" s="12"/>
    </row>
    <row r="1866" spans="1:30" ht="15.75" thickBot="1" x14ac:dyDescent="0.3">
      <c r="A1866" s="12"/>
      <c r="B1866" s="12"/>
      <c r="C1866" s="12"/>
      <c r="D1866" s="3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2"/>
      <c r="Y1866" s="12"/>
      <c r="Z1866" s="12"/>
      <c r="AA1866" s="12"/>
      <c r="AB1866" s="12"/>
      <c r="AC1866" s="12"/>
      <c r="AD1866" s="12"/>
    </row>
    <row r="1867" spans="1:30" ht="15.75" thickBot="1" x14ac:dyDescent="0.3">
      <c r="A1867" s="12"/>
      <c r="B1867" s="12"/>
      <c r="C1867" s="12"/>
      <c r="D1867" s="3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2"/>
      <c r="Y1867" s="12"/>
      <c r="Z1867" s="12"/>
      <c r="AA1867" s="12"/>
      <c r="AB1867" s="12"/>
      <c r="AC1867" s="12"/>
      <c r="AD1867" s="12"/>
    </row>
    <row r="1868" spans="1:30" ht="15.75" thickBot="1" x14ac:dyDescent="0.3">
      <c r="A1868" s="12"/>
      <c r="B1868" s="12"/>
      <c r="C1868" s="12"/>
      <c r="D1868" s="3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2"/>
      <c r="Y1868" s="12"/>
      <c r="Z1868" s="12"/>
      <c r="AA1868" s="12"/>
      <c r="AB1868" s="12"/>
      <c r="AC1868" s="12"/>
      <c r="AD1868" s="12"/>
    </row>
    <row r="1869" spans="1:30" ht="15.75" thickBot="1" x14ac:dyDescent="0.3">
      <c r="A1869" s="12"/>
      <c r="B1869" s="12"/>
      <c r="C1869" s="12"/>
      <c r="D1869" s="3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2"/>
      <c r="Y1869" s="12"/>
      <c r="Z1869" s="12"/>
      <c r="AA1869" s="12"/>
      <c r="AB1869" s="12"/>
      <c r="AC1869" s="12"/>
      <c r="AD1869" s="12"/>
    </row>
    <row r="1870" spans="1:30" ht="15.75" thickBot="1" x14ac:dyDescent="0.3">
      <c r="A1870" s="12"/>
      <c r="B1870" s="12"/>
      <c r="C1870" s="12"/>
      <c r="D1870" s="3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2"/>
      <c r="Y1870" s="12"/>
      <c r="Z1870" s="12"/>
      <c r="AA1870" s="12"/>
      <c r="AB1870" s="12"/>
      <c r="AC1870" s="12"/>
      <c r="AD1870" s="12"/>
    </row>
    <row r="1871" spans="1:30" ht="15.75" thickBot="1" x14ac:dyDescent="0.3">
      <c r="A1871" s="12"/>
      <c r="B1871" s="12"/>
      <c r="C1871" s="12"/>
      <c r="D1871" s="3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2"/>
      <c r="Y1871" s="12"/>
      <c r="Z1871" s="12"/>
      <c r="AA1871" s="12"/>
      <c r="AB1871" s="12"/>
      <c r="AC1871" s="12"/>
      <c r="AD1871" s="12"/>
    </row>
    <row r="1872" spans="1:30" ht="15.75" thickBot="1" x14ac:dyDescent="0.3">
      <c r="A1872" s="12"/>
      <c r="B1872" s="12"/>
      <c r="C1872" s="12"/>
      <c r="D1872" s="3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2"/>
      <c r="Y1872" s="12"/>
      <c r="Z1872" s="12"/>
      <c r="AA1872" s="12"/>
      <c r="AB1872" s="12"/>
      <c r="AC1872" s="12"/>
      <c r="AD1872" s="12"/>
    </row>
    <row r="1873" spans="1:30" ht="15.75" thickBot="1" x14ac:dyDescent="0.3">
      <c r="A1873" s="12"/>
      <c r="B1873" s="12"/>
      <c r="C1873" s="12"/>
      <c r="D1873" s="3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2"/>
      <c r="Y1873" s="12"/>
      <c r="Z1873" s="12"/>
      <c r="AA1873" s="12"/>
      <c r="AB1873" s="12"/>
      <c r="AC1873" s="12"/>
      <c r="AD1873" s="12"/>
    </row>
    <row r="1874" spans="1:30" ht="15.75" thickBot="1" x14ac:dyDescent="0.3">
      <c r="A1874" s="12"/>
      <c r="B1874" s="12"/>
      <c r="C1874" s="12"/>
      <c r="D1874" s="3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2"/>
      <c r="Y1874" s="12"/>
      <c r="Z1874" s="12"/>
      <c r="AA1874" s="12"/>
      <c r="AB1874" s="12"/>
      <c r="AC1874" s="12"/>
      <c r="AD1874" s="12"/>
    </row>
    <row r="1875" spans="1:30" ht="15.75" thickBot="1" x14ac:dyDescent="0.3">
      <c r="A1875" s="12"/>
      <c r="B1875" s="12"/>
      <c r="C1875" s="12"/>
      <c r="D1875" s="3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2"/>
      <c r="Y1875" s="12"/>
      <c r="Z1875" s="12"/>
      <c r="AA1875" s="12"/>
      <c r="AB1875" s="12"/>
      <c r="AC1875" s="12"/>
      <c r="AD1875" s="12"/>
    </row>
    <row r="1876" spans="1:30" ht="15.75" thickBot="1" x14ac:dyDescent="0.3">
      <c r="A1876" s="12"/>
      <c r="B1876" s="12"/>
      <c r="C1876" s="12"/>
      <c r="D1876" s="3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2"/>
      <c r="Y1876" s="12"/>
      <c r="Z1876" s="12"/>
      <c r="AA1876" s="12"/>
      <c r="AB1876" s="12"/>
      <c r="AC1876" s="12"/>
      <c r="AD1876" s="12"/>
    </row>
    <row r="1877" spans="1:30" ht="15.75" thickBot="1" x14ac:dyDescent="0.3">
      <c r="A1877" s="12"/>
      <c r="B1877" s="12"/>
      <c r="C1877" s="12"/>
      <c r="D1877" s="3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2"/>
      <c r="Y1877" s="12"/>
      <c r="Z1877" s="12"/>
      <c r="AA1877" s="12"/>
      <c r="AB1877" s="12"/>
      <c r="AC1877" s="12"/>
      <c r="AD1877" s="12"/>
    </row>
    <row r="1878" spans="1:30" ht="15.75" thickBot="1" x14ac:dyDescent="0.3">
      <c r="A1878" s="12"/>
      <c r="B1878" s="12"/>
      <c r="C1878" s="12"/>
      <c r="D1878" s="3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2"/>
      <c r="Y1878" s="12"/>
      <c r="Z1878" s="12"/>
      <c r="AA1878" s="12"/>
      <c r="AB1878" s="12"/>
      <c r="AC1878" s="12"/>
      <c r="AD1878" s="12"/>
    </row>
    <row r="1879" spans="1:30" ht="15.75" thickBot="1" x14ac:dyDescent="0.3">
      <c r="A1879" s="12"/>
      <c r="B1879" s="12"/>
      <c r="C1879" s="12"/>
      <c r="D1879" s="3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2"/>
      <c r="Y1879" s="12"/>
      <c r="Z1879" s="12"/>
      <c r="AA1879" s="12"/>
      <c r="AB1879" s="12"/>
      <c r="AC1879" s="12"/>
      <c r="AD1879" s="12"/>
    </row>
    <row r="1880" spans="1:30" ht="15.75" thickBot="1" x14ac:dyDescent="0.3">
      <c r="A1880" s="12"/>
      <c r="B1880" s="12"/>
      <c r="C1880" s="12"/>
      <c r="D1880" s="3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2"/>
      <c r="Y1880" s="12"/>
      <c r="Z1880" s="12"/>
      <c r="AA1880" s="12"/>
      <c r="AB1880" s="12"/>
      <c r="AC1880" s="12"/>
      <c r="AD1880" s="12"/>
    </row>
    <row r="1881" spans="1:30" ht="15.75" thickBot="1" x14ac:dyDescent="0.3">
      <c r="A1881" s="12"/>
      <c r="B1881" s="12"/>
      <c r="C1881" s="12"/>
      <c r="D1881" s="3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2"/>
      <c r="Y1881" s="12"/>
      <c r="Z1881" s="12"/>
      <c r="AA1881" s="12"/>
      <c r="AB1881" s="12"/>
      <c r="AC1881" s="12"/>
      <c r="AD1881" s="12"/>
    </row>
    <row r="1882" spans="1:30" ht="15.75" thickBot="1" x14ac:dyDescent="0.3">
      <c r="A1882" s="12"/>
      <c r="B1882" s="12"/>
      <c r="C1882" s="12"/>
      <c r="D1882" s="3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2"/>
      <c r="Y1882" s="12"/>
      <c r="Z1882" s="12"/>
      <c r="AA1882" s="12"/>
      <c r="AB1882" s="12"/>
      <c r="AC1882" s="12"/>
      <c r="AD1882" s="12"/>
    </row>
    <row r="1883" spans="1:30" ht="15.75" thickBot="1" x14ac:dyDescent="0.3">
      <c r="A1883" s="12"/>
      <c r="B1883" s="12"/>
      <c r="C1883" s="12"/>
      <c r="D1883" s="3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2"/>
      <c r="Y1883" s="12"/>
      <c r="Z1883" s="12"/>
      <c r="AA1883" s="12"/>
      <c r="AB1883" s="12"/>
      <c r="AC1883" s="12"/>
      <c r="AD1883" s="12"/>
    </row>
    <row r="1884" spans="1:30" ht="15.75" thickBot="1" x14ac:dyDescent="0.3">
      <c r="A1884" s="12"/>
      <c r="B1884" s="12"/>
      <c r="C1884" s="12"/>
      <c r="D1884" s="3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2"/>
      <c r="Y1884" s="12"/>
      <c r="Z1884" s="12"/>
      <c r="AA1884" s="12"/>
      <c r="AB1884" s="12"/>
      <c r="AC1884" s="12"/>
      <c r="AD1884" s="12"/>
    </row>
    <row r="1885" spans="1:30" ht="15.75" thickBot="1" x14ac:dyDescent="0.3">
      <c r="A1885" s="12"/>
      <c r="B1885" s="12"/>
      <c r="C1885" s="12"/>
      <c r="D1885" s="3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2"/>
      <c r="Y1885" s="12"/>
      <c r="Z1885" s="12"/>
      <c r="AA1885" s="12"/>
      <c r="AB1885" s="12"/>
      <c r="AC1885" s="12"/>
      <c r="AD1885" s="12"/>
    </row>
    <row r="1886" spans="1:30" ht="15.75" thickBot="1" x14ac:dyDescent="0.3">
      <c r="A1886" s="12"/>
      <c r="B1886" s="12"/>
      <c r="C1886" s="12"/>
      <c r="D1886" s="3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2"/>
      <c r="Y1886" s="12"/>
      <c r="Z1886" s="12"/>
      <c r="AA1886" s="12"/>
      <c r="AB1886" s="12"/>
      <c r="AC1886" s="12"/>
      <c r="AD1886" s="12"/>
    </row>
    <row r="1887" spans="1:30" ht="15.75" thickBot="1" x14ac:dyDescent="0.3">
      <c r="A1887" s="12"/>
      <c r="B1887" s="12"/>
      <c r="C1887" s="12"/>
      <c r="D1887" s="3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2"/>
      <c r="Y1887" s="12"/>
      <c r="Z1887" s="12"/>
      <c r="AA1887" s="12"/>
      <c r="AB1887" s="12"/>
      <c r="AC1887" s="12"/>
      <c r="AD1887" s="12"/>
    </row>
    <row r="1888" spans="1:30" ht="15.75" thickBot="1" x14ac:dyDescent="0.3">
      <c r="A1888" s="12"/>
      <c r="B1888" s="12"/>
      <c r="C1888" s="12"/>
      <c r="D1888" s="3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2"/>
      <c r="Y1888" s="12"/>
      <c r="Z1888" s="12"/>
      <c r="AA1888" s="12"/>
      <c r="AB1888" s="12"/>
      <c r="AC1888" s="12"/>
      <c r="AD1888" s="12"/>
    </row>
    <row r="1889" spans="1:30" ht="15.75" thickBot="1" x14ac:dyDescent="0.3">
      <c r="A1889" s="12"/>
      <c r="B1889" s="12"/>
      <c r="C1889" s="12"/>
      <c r="D1889" s="3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2"/>
      <c r="Y1889" s="12"/>
      <c r="Z1889" s="12"/>
      <c r="AA1889" s="12"/>
      <c r="AB1889" s="12"/>
      <c r="AC1889" s="12"/>
      <c r="AD1889" s="12"/>
    </row>
    <row r="1890" spans="1:30" ht="15.75" thickBot="1" x14ac:dyDescent="0.3">
      <c r="A1890" s="12"/>
      <c r="B1890" s="12"/>
      <c r="C1890" s="12"/>
      <c r="D1890" s="3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2"/>
      <c r="Y1890" s="12"/>
      <c r="Z1890" s="12"/>
      <c r="AA1890" s="12"/>
      <c r="AB1890" s="12"/>
      <c r="AC1890" s="12"/>
      <c r="AD1890" s="12"/>
    </row>
    <row r="1891" spans="1:30" ht="15.75" thickBot="1" x14ac:dyDescent="0.3">
      <c r="A1891" s="12"/>
      <c r="B1891" s="12"/>
      <c r="C1891" s="12"/>
      <c r="D1891" s="3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2"/>
      <c r="Y1891" s="12"/>
      <c r="Z1891" s="12"/>
      <c r="AA1891" s="12"/>
      <c r="AB1891" s="12"/>
      <c r="AC1891" s="12"/>
      <c r="AD1891" s="12"/>
    </row>
    <row r="1892" spans="1:30" ht="15.75" thickBot="1" x14ac:dyDescent="0.3">
      <c r="A1892" s="12"/>
      <c r="B1892" s="12"/>
      <c r="C1892" s="12"/>
      <c r="D1892" s="3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2"/>
      <c r="Y1892" s="12"/>
      <c r="Z1892" s="12"/>
      <c r="AA1892" s="12"/>
      <c r="AB1892" s="12"/>
      <c r="AC1892" s="12"/>
      <c r="AD1892" s="12"/>
    </row>
    <row r="1893" spans="1:30" ht="15.75" thickBot="1" x14ac:dyDescent="0.3">
      <c r="A1893" s="12"/>
      <c r="B1893" s="12"/>
      <c r="C1893" s="12"/>
      <c r="D1893" s="3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2"/>
      <c r="Y1893" s="12"/>
      <c r="Z1893" s="12"/>
      <c r="AA1893" s="12"/>
      <c r="AB1893" s="12"/>
      <c r="AC1893" s="12"/>
      <c r="AD1893" s="12"/>
    </row>
    <row r="1894" spans="1:30" ht="15.75" thickBot="1" x14ac:dyDescent="0.3">
      <c r="A1894" s="12"/>
      <c r="B1894" s="12"/>
      <c r="C1894" s="12"/>
      <c r="D1894" s="3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2"/>
      <c r="Y1894" s="12"/>
      <c r="Z1894" s="12"/>
      <c r="AA1894" s="12"/>
      <c r="AB1894" s="12"/>
      <c r="AC1894" s="12"/>
      <c r="AD1894" s="12"/>
    </row>
    <row r="1895" spans="1:30" ht="15.75" thickBot="1" x14ac:dyDescent="0.3">
      <c r="A1895" s="12"/>
      <c r="B1895" s="12"/>
      <c r="C1895" s="12"/>
      <c r="D1895" s="3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2"/>
      <c r="Y1895" s="12"/>
      <c r="Z1895" s="12"/>
      <c r="AA1895" s="12"/>
      <c r="AB1895" s="12"/>
      <c r="AC1895" s="12"/>
      <c r="AD1895" s="12"/>
    </row>
    <row r="1896" spans="1:30" ht="15.75" thickBot="1" x14ac:dyDescent="0.3">
      <c r="A1896" s="12"/>
      <c r="B1896" s="12"/>
      <c r="C1896" s="12"/>
      <c r="D1896" s="3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2"/>
      <c r="Y1896" s="12"/>
      <c r="Z1896" s="12"/>
      <c r="AA1896" s="12"/>
      <c r="AB1896" s="12"/>
      <c r="AC1896" s="12"/>
      <c r="AD1896" s="12"/>
    </row>
    <row r="1897" spans="1:30" ht="15.75" thickBot="1" x14ac:dyDescent="0.3">
      <c r="A1897" s="12"/>
      <c r="B1897" s="12"/>
      <c r="C1897" s="12"/>
      <c r="D1897" s="3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2"/>
      <c r="Y1897" s="12"/>
      <c r="Z1897" s="12"/>
      <c r="AA1897" s="12"/>
      <c r="AB1897" s="12"/>
      <c r="AC1897" s="12"/>
      <c r="AD1897" s="12"/>
    </row>
    <row r="1898" spans="1:30" ht="15.75" thickBot="1" x14ac:dyDescent="0.3">
      <c r="A1898" s="12"/>
      <c r="B1898" s="12"/>
      <c r="C1898" s="12"/>
      <c r="D1898" s="3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2"/>
      <c r="Y1898" s="12"/>
      <c r="Z1898" s="12"/>
      <c r="AA1898" s="12"/>
      <c r="AB1898" s="12"/>
      <c r="AC1898" s="12"/>
      <c r="AD1898" s="12"/>
    </row>
    <row r="1899" spans="1:30" ht="15.75" thickBot="1" x14ac:dyDescent="0.3">
      <c r="A1899" s="12"/>
      <c r="B1899" s="12"/>
      <c r="C1899" s="12"/>
      <c r="D1899" s="3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2"/>
      <c r="Y1899" s="12"/>
      <c r="Z1899" s="12"/>
      <c r="AA1899" s="12"/>
      <c r="AB1899" s="12"/>
      <c r="AC1899" s="12"/>
      <c r="AD1899" s="12"/>
    </row>
    <row r="1900" spans="1:30" ht="15.75" thickBot="1" x14ac:dyDescent="0.3">
      <c r="A1900" s="12"/>
      <c r="B1900" s="12"/>
      <c r="C1900" s="12"/>
      <c r="D1900" s="3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2"/>
      <c r="Y1900" s="12"/>
      <c r="Z1900" s="12"/>
      <c r="AA1900" s="12"/>
      <c r="AB1900" s="12"/>
      <c r="AC1900" s="12"/>
      <c r="AD1900" s="12"/>
    </row>
    <row r="1901" spans="1:30" ht="15.75" thickBot="1" x14ac:dyDescent="0.3">
      <c r="A1901" s="12"/>
      <c r="B1901" s="12"/>
      <c r="C1901" s="12"/>
      <c r="D1901" s="3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2"/>
      <c r="Y1901" s="12"/>
      <c r="Z1901" s="12"/>
      <c r="AA1901" s="12"/>
      <c r="AB1901" s="12"/>
      <c r="AC1901" s="12"/>
      <c r="AD1901" s="12"/>
    </row>
    <row r="1902" spans="1:30" ht="15.75" thickBot="1" x14ac:dyDescent="0.3">
      <c r="A1902" s="12"/>
      <c r="B1902" s="12"/>
      <c r="C1902" s="12"/>
      <c r="D1902" s="3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2"/>
      <c r="Y1902" s="12"/>
      <c r="Z1902" s="12"/>
      <c r="AA1902" s="12"/>
      <c r="AB1902" s="12"/>
      <c r="AC1902" s="12"/>
      <c r="AD1902" s="12"/>
    </row>
    <row r="1903" spans="1:30" ht="15.75" thickBot="1" x14ac:dyDescent="0.3">
      <c r="A1903" s="12"/>
      <c r="B1903" s="12"/>
      <c r="C1903" s="12"/>
      <c r="D1903" s="3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2"/>
      <c r="Y1903" s="12"/>
      <c r="Z1903" s="12"/>
      <c r="AA1903" s="12"/>
      <c r="AB1903" s="12"/>
      <c r="AC1903" s="12"/>
      <c r="AD1903" s="12"/>
    </row>
    <row r="1904" spans="1:30" ht="15.75" thickBot="1" x14ac:dyDescent="0.3">
      <c r="A1904" s="12"/>
      <c r="B1904" s="12"/>
      <c r="C1904" s="12"/>
      <c r="D1904" s="3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2"/>
      <c r="Y1904" s="12"/>
      <c r="Z1904" s="12"/>
      <c r="AA1904" s="12"/>
      <c r="AB1904" s="12"/>
      <c r="AC1904" s="12"/>
      <c r="AD1904" s="12"/>
    </row>
    <row r="1905" spans="1:30" ht="15.75" thickBot="1" x14ac:dyDescent="0.3">
      <c r="A1905" s="12"/>
      <c r="B1905" s="12"/>
      <c r="C1905" s="12"/>
      <c r="D1905" s="3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2"/>
      <c r="Y1905" s="12"/>
      <c r="Z1905" s="12"/>
      <c r="AA1905" s="12"/>
      <c r="AB1905" s="12"/>
      <c r="AC1905" s="12"/>
      <c r="AD1905" s="12"/>
    </row>
    <row r="1906" spans="1:30" ht="15.75" thickBot="1" x14ac:dyDescent="0.3">
      <c r="A1906" s="12"/>
      <c r="B1906" s="12"/>
      <c r="C1906" s="12"/>
      <c r="D1906" s="3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2"/>
      <c r="Y1906" s="12"/>
      <c r="Z1906" s="12"/>
      <c r="AA1906" s="12"/>
      <c r="AB1906" s="12"/>
      <c r="AC1906" s="12"/>
      <c r="AD1906" s="12"/>
    </row>
    <row r="1907" spans="1:30" ht="15.75" thickBot="1" x14ac:dyDescent="0.3">
      <c r="A1907" s="12"/>
      <c r="B1907" s="12"/>
      <c r="C1907" s="12"/>
      <c r="D1907" s="3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2"/>
      <c r="Y1907" s="12"/>
      <c r="Z1907" s="12"/>
      <c r="AA1907" s="12"/>
      <c r="AB1907" s="12"/>
      <c r="AC1907" s="12"/>
      <c r="AD1907" s="12"/>
    </row>
    <row r="1908" spans="1:30" ht="15.75" thickBot="1" x14ac:dyDescent="0.3">
      <c r="A1908" s="12"/>
      <c r="B1908" s="12"/>
      <c r="C1908" s="12"/>
      <c r="D1908" s="3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2"/>
      <c r="Y1908" s="12"/>
      <c r="Z1908" s="12"/>
      <c r="AA1908" s="12"/>
      <c r="AB1908" s="12"/>
      <c r="AC1908" s="12"/>
      <c r="AD1908" s="12"/>
    </row>
    <row r="1909" spans="1:30" ht="15.75" thickBot="1" x14ac:dyDescent="0.3">
      <c r="A1909" s="12"/>
      <c r="B1909" s="12"/>
      <c r="C1909" s="12"/>
      <c r="D1909" s="3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2"/>
      <c r="Y1909" s="12"/>
      <c r="Z1909" s="12"/>
      <c r="AA1909" s="12"/>
      <c r="AB1909" s="12"/>
      <c r="AC1909" s="12"/>
      <c r="AD1909" s="12"/>
    </row>
    <row r="1910" spans="1:30" ht="15.75" thickBot="1" x14ac:dyDescent="0.3">
      <c r="A1910" s="12"/>
      <c r="B1910" s="12"/>
      <c r="C1910" s="12"/>
      <c r="D1910" s="3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2"/>
      <c r="Y1910" s="12"/>
      <c r="Z1910" s="12"/>
      <c r="AA1910" s="12"/>
      <c r="AB1910" s="12"/>
      <c r="AC1910" s="12"/>
      <c r="AD1910" s="12"/>
    </row>
    <row r="1911" spans="1:30" ht="15.75" thickBot="1" x14ac:dyDescent="0.3">
      <c r="A1911" s="12"/>
      <c r="B1911" s="12"/>
      <c r="C1911" s="12"/>
      <c r="D1911" s="3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2"/>
      <c r="Y1911" s="12"/>
      <c r="Z1911" s="12"/>
      <c r="AA1911" s="12"/>
      <c r="AB1911" s="12"/>
      <c r="AC1911" s="12"/>
      <c r="AD1911" s="12"/>
    </row>
    <row r="1912" spans="1:30" ht="15.75" thickBot="1" x14ac:dyDescent="0.3">
      <c r="A1912" s="12"/>
      <c r="B1912" s="12"/>
      <c r="C1912" s="12"/>
      <c r="D1912" s="3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2"/>
      <c r="Y1912" s="12"/>
      <c r="Z1912" s="12"/>
      <c r="AA1912" s="12"/>
      <c r="AB1912" s="12"/>
      <c r="AC1912" s="12"/>
      <c r="AD1912" s="12"/>
    </row>
    <row r="1913" spans="1:30" ht="15.75" thickBot="1" x14ac:dyDescent="0.3">
      <c r="A1913" s="12"/>
      <c r="B1913" s="12"/>
      <c r="C1913" s="12"/>
      <c r="D1913" s="3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2"/>
      <c r="Y1913" s="12"/>
      <c r="Z1913" s="12"/>
      <c r="AA1913" s="12"/>
      <c r="AB1913" s="12"/>
      <c r="AC1913" s="12"/>
      <c r="AD1913" s="12"/>
    </row>
    <row r="1914" spans="1:30" ht="15.75" thickBot="1" x14ac:dyDescent="0.3">
      <c r="A1914" s="12"/>
      <c r="B1914" s="12"/>
      <c r="C1914" s="12"/>
      <c r="D1914" s="3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2"/>
      <c r="Y1914" s="12"/>
      <c r="Z1914" s="12"/>
      <c r="AA1914" s="12"/>
      <c r="AB1914" s="12"/>
      <c r="AC1914" s="12"/>
      <c r="AD1914" s="12"/>
    </row>
    <row r="1915" spans="1:30" ht="15.75" thickBot="1" x14ac:dyDescent="0.3">
      <c r="A1915" s="12"/>
      <c r="B1915" s="12"/>
      <c r="C1915" s="12"/>
      <c r="D1915" s="3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2"/>
      <c r="Y1915" s="12"/>
      <c r="Z1915" s="12"/>
      <c r="AA1915" s="12"/>
      <c r="AB1915" s="12"/>
      <c r="AC1915" s="12"/>
      <c r="AD1915" s="12"/>
    </row>
    <row r="1916" spans="1:30" ht="15.75" thickBot="1" x14ac:dyDescent="0.3">
      <c r="A1916" s="12"/>
      <c r="B1916" s="12"/>
      <c r="C1916" s="12"/>
      <c r="D1916" s="3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2"/>
      <c r="Y1916" s="12"/>
      <c r="Z1916" s="12"/>
      <c r="AA1916" s="12"/>
      <c r="AB1916" s="12"/>
      <c r="AC1916" s="12"/>
      <c r="AD1916" s="12"/>
    </row>
    <row r="1917" spans="1:30" ht="15.75" thickBot="1" x14ac:dyDescent="0.3">
      <c r="A1917" s="12"/>
      <c r="B1917" s="12"/>
      <c r="C1917" s="12"/>
      <c r="D1917" s="3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2"/>
      <c r="Y1917" s="12"/>
      <c r="Z1917" s="12"/>
      <c r="AA1917" s="12"/>
      <c r="AB1917" s="12"/>
      <c r="AC1917" s="12"/>
      <c r="AD1917" s="12"/>
    </row>
    <row r="1918" spans="1:30" ht="15.75" thickBot="1" x14ac:dyDescent="0.3">
      <c r="A1918" s="12"/>
      <c r="B1918" s="12"/>
      <c r="C1918" s="12"/>
      <c r="D1918" s="3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2"/>
      <c r="Y1918" s="12"/>
      <c r="Z1918" s="12"/>
      <c r="AA1918" s="12"/>
      <c r="AB1918" s="12"/>
      <c r="AC1918" s="12"/>
      <c r="AD1918" s="12"/>
    </row>
    <row r="1919" spans="1:30" ht="15.75" thickBot="1" x14ac:dyDescent="0.3">
      <c r="A1919" s="12"/>
      <c r="B1919" s="12"/>
      <c r="C1919" s="12"/>
      <c r="D1919" s="3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2"/>
      <c r="Y1919" s="12"/>
      <c r="Z1919" s="12"/>
      <c r="AA1919" s="12"/>
      <c r="AB1919" s="12"/>
      <c r="AC1919" s="12"/>
      <c r="AD1919" s="12"/>
    </row>
    <row r="1920" spans="1:30" ht="15.75" thickBot="1" x14ac:dyDescent="0.3">
      <c r="A1920" s="12"/>
      <c r="B1920" s="12"/>
      <c r="C1920" s="12"/>
      <c r="D1920" s="3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2"/>
      <c r="Y1920" s="12"/>
      <c r="Z1920" s="12"/>
      <c r="AA1920" s="12"/>
      <c r="AB1920" s="12"/>
      <c r="AC1920" s="12"/>
      <c r="AD1920" s="12"/>
    </row>
    <row r="1921" spans="1:30" ht="15.75" thickBot="1" x14ac:dyDescent="0.3">
      <c r="A1921" s="12"/>
      <c r="B1921" s="12"/>
      <c r="C1921" s="12"/>
      <c r="D1921" s="3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2"/>
      <c r="Y1921" s="12"/>
      <c r="Z1921" s="12"/>
      <c r="AA1921" s="12"/>
      <c r="AB1921" s="12"/>
      <c r="AC1921" s="12"/>
      <c r="AD1921" s="12"/>
    </row>
    <row r="1922" spans="1:30" ht="15.75" thickBot="1" x14ac:dyDescent="0.3">
      <c r="A1922" s="12"/>
      <c r="B1922" s="12"/>
      <c r="C1922" s="12"/>
      <c r="D1922" s="3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2"/>
      <c r="Y1922" s="12"/>
      <c r="Z1922" s="12"/>
      <c r="AA1922" s="12"/>
      <c r="AB1922" s="12"/>
      <c r="AC1922" s="12"/>
      <c r="AD1922" s="12"/>
    </row>
    <row r="1923" spans="1:30" ht="15.75" thickBot="1" x14ac:dyDescent="0.3">
      <c r="A1923" s="12"/>
      <c r="B1923" s="12"/>
      <c r="C1923" s="12"/>
      <c r="D1923" s="3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2"/>
      <c r="Y1923" s="12"/>
      <c r="Z1923" s="12"/>
      <c r="AA1923" s="12"/>
      <c r="AB1923" s="12"/>
      <c r="AC1923" s="12"/>
      <c r="AD1923" s="12"/>
    </row>
    <row r="1924" spans="1:30" ht="15.75" thickBot="1" x14ac:dyDescent="0.3">
      <c r="A1924" s="12"/>
      <c r="B1924" s="12"/>
      <c r="C1924" s="12"/>
      <c r="D1924" s="3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2"/>
      <c r="Y1924" s="12"/>
      <c r="Z1924" s="12"/>
      <c r="AA1924" s="12"/>
      <c r="AB1924" s="12"/>
      <c r="AC1924" s="12"/>
      <c r="AD1924" s="12"/>
    </row>
    <row r="1925" spans="1:30" ht="15.75" thickBot="1" x14ac:dyDescent="0.3">
      <c r="A1925" s="12"/>
      <c r="B1925" s="12"/>
      <c r="C1925" s="12"/>
      <c r="D1925" s="3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2"/>
      <c r="Y1925" s="12"/>
      <c r="Z1925" s="12"/>
      <c r="AA1925" s="12"/>
      <c r="AB1925" s="12"/>
      <c r="AC1925" s="12"/>
      <c r="AD1925" s="12"/>
    </row>
    <row r="1926" spans="1:30" ht="15.75" thickBot="1" x14ac:dyDescent="0.3">
      <c r="A1926" s="12"/>
      <c r="B1926" s="12"/>
      <c r="C1926" s="12"/>
      <c r="D1926" s="3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2"/>
      <c r="Y1926" s="12"/>
      <c r="Z1926" s="12"/>
      <c r="AA1926" s="12"/>
      <c r="AB1926" s="12"/>
      <c r="AC1926" s="12"/>
      <c r="AD1926" s="12"/>
    </row>
    <row r="1927" spans="1:30" ht="15.75" thickBot="1" x14ac:dyDescent="0.3">
      <c r="A1927" s="12"/>
      <c r="B1927" s="12"/>
      <c r="C1927" s="12"/>
      <c r="D1927" s="3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2"/>
      <c r="Y1927" s="12"/>
      <c r="Z1927" s="12"/>
      <c r="AA1927" s="12"/>
      <c r="AB1927" s="12"/>
      <c r="AC1927" s="12"/>
      <c r="AD1927" s="12"/>
    </row>
    <row r="1928" spans="1:30" ht="15.75" thickBot="1" x14ac:dyDescent="0.3">
      <c r="A1928" s="12"/>
      <c r="B1928" s="12"/>
      <c r="C1928" s="12"/>
      <c r="D1928" s="3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2"/>
      <c r="Y1928" s="12"/>
      <c r="Z1928" s="12"/>
      <c r="AA1928" s="12"/>
      <c r="AB1928" s="12"/>
      <c r="AC1928" s="12"/>
      <c r="AD1928" s="12"/>
    </row>
    <row r="1929" spans="1:30" ht="15.75" thickBot="1" x14ac:dyDescent="0.3">
      <c r="A1929" s="12"/>
      <c r="B1929" s="12"/>
      <c r="C1929" s="12"/>
      <c r="D1929" s="3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2"/>
      <c r="Y1929" s="12"/>
      <c r="Z1929" s="12"/>
      <c r="AA1929" s="12"/>
      <c r="AB1929" s="12"/>
      <c r="AC1929" s="12"/>
      <c r="AD1929" s="12"/>
    </row>
    <row r="1930" spans="1:30" ht="15.75" thickBot="1" x14ac:dyDescent="0.3">
      <c r="A1930" s="12"/>
      <c r="B1930" s="12"/>
      <c r="C1930" s="12"/>
      <c r="D1930" s="3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2"/>
      <c r="Y1930" s="12"/>
      <c r="Z1930" s="12"/>
      <c r="AA1930" s="12"/>
      <c r="AB1930" s="12"/>
      <c r="AC1930" s="12"/>
      <c r="AD1930" s="12"/>
    </row>
    <row r="1931" spans="1:30" ht="15.75" thickBot="1" x14ac:dyDescent="0.3">
      <c r="A1931" s="12"/>
      <c r="B1931" s="12"/>
      <c r="C1931" s="12"/>
      <c r="D1931" s="3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2"/>
      <c r="Y1931" s="12"/>
      <c r="Z1931" s="12"/>
      <c r="AA1931" s="12"/>
      <c r="AB1931" s="12"/>
      <c r="AC1931" s="12"/>
      <c r="AD1931" s="12"/>
    </row>
    <row r="1932" spans="1:30" ht="15.75" thickBot="1" x14ac:dyDescent="0.3">
      <c r="A1932" s="12"/>
      <c r="B1932" s="12"/>
      <c r="C1932" s="12"/>
      <c r="D1932" s="3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2"/>
      <c r="Y1932" s="12"/>
      <c r="Z1932" s="12"/>
      <c r="AA1932" s="12"/>
      <c r="AB1932" s="12"/>
      <c r="AC1932" s="12"/>
      <c r="AD1932" s="12"/>
    </row>
    <row r="1933" spans="1:30" ht="15.75" thickBot="1" x14ac:dyDescent="0.3">
      <c r="A1933" s="12"/>
      <c r="B1933" s="12"/>
      <c r="C1933" s="12"/>
      <c r="D1933" s="3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2"/>
      <c r="Y1933" s="12"/>
      <c r="Z1933" s="12"/>
      <c r="AA1933" s="12"/>
      <c r="AB1933" s="12"/>
      <c r="AC1933" s="12"/>
      <c r="AD1933" s="12"/>
    </row>
    <row r="1934" spans="1:30" ht="15.75" thickBot="1" x14ac:dyDescent="0.3">
      <c r="A1934" s="12"/>
      <c r="B1934" s="12"/>
      <c r="C1934" s="12"/>
      <c r="D1934" s="3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2"/>
      <c r="Y1934" s="12"/>
      <c r="Z1934" s="12"/>
      <c r="AA1934" s="12"/>
      <c r="AB1934" s="12"/>
      <c r="AC1934" s="12"/>
      <c r="AD1934" s="12"/>
    </row>
    <row r="1935" spans="1:30" ht="15.75" thickBot="1" x14ac:dyDescent="0.3">
      <c r="A1935" s="12"/>
      <c r="B1935" s="12"/>
      <c r="C1935" s="12"/>
      <c r="D1935" s="3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2"/>
      <c r="Y1935" s="12"/>
      <c r="Z1935" s="12"/>
      <c r="AA1935" s="12"/>
      <c r="AB1935" s="12"/>
      <c r="AC1935" s="12"/>
      <c r="AD1935" s="12"/>
    </row>
    <row r="1936" spans="1:30" ht="15.75" thickBot="1" x14ac:dyDescent="0.3">
      <c r="A1936" s="12"/>
      <c r="B1936" s="12"/>
      <c r="C1936" s="12"/>
      <c r="D1936" s="3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2"/>
      <c r="Y1936" s="12"/>
      <c r="Z1936" s="12"/>
      <c r="AA1936" s="12"/>
      <c r="AB1936" s="12"/>
      <c r="AC1936" s="12"/>
      <c r="AD1936" s="12"/>
    </row>
    <row r="1937" spans="1:30" ht="15.75" thickBot="1" x14ac:dyDescent="0.3">
      <c r="A1937" s="12"/>
      <c r="B1937" s="12"/>
      <c r="C1937" s="12"/>
      <c r="D1937" s="3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2"/>
      <c r="Y1937" s="12"/>
      <c r="Z1937" s="12"/>
      <c r="AA1937" s="12"/>
      <c r="AB1937" s="12"/>
      <c r="AC1937" s="12"/>
      <c r="AD1937" s="12"/>
    </row>
    <row r="1938" spans="1:30" ht="15.75" thickBot="1" x14ac:dyDescent="0.3">
      <c r="A1938" s="12"/>
      <c r="B1938" s="12"/>
      <c r="C1938" s="12"/>
      <c r="D1938" s="3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2"/>
      <c r="Y1938" s="12"/>
      <c r="Z1938" s="12"/>
      <c r="AA1938" s="12"/>
      <c r="AB1938" s="12"/>
      <c r="AC1938" s="12"/>
      <c r="AD1938" s="12"/>
    </row>
    <row r="1939" spans="1:30" ht="15.75" thickBot="1" x14ac:dyDescent="0.3">
      <c r="A1939" s="12"/>
      <c r="B1939" s="12"/>
      <c r="C1939" s="12"/>
      <c r="D1939" s="3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2"/>
      <c r="Y1939" s="12"/>
      <c r="Z1939" s="12"/>
      <c r="AA1939" s="12"/>
      <c r="AB1939" s="12"/>
      <c r="AC1939" s="12"/>
      <c r="AD1939" s="12"/>
    </row>
    <row r="1940" spans="1:30" ht="15.75" thickBot="1" x14ac:dyDescent="0.3">
      <c r="A1940" s="12"/>
      <c r="B1940" s="12"/>
      <c r="C1940" s="12"/>
      <c r="D1940" s="3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2"/>
      <c r="Y1940" s="12"/>
      <c r="Z1940" s="12"/>
      <c r="AA1940" s="12"/>
      <c r="AB1940" s="12"/>
      <c r="AC1940" s="12"/>
      <c r="AD1940" s="12"/>
    </row>
    <row r="1941" spans="1:30" ht="15.75" thickBot="1" x14ac:dyDescent="0.3">
      <c r="A1941" s="12"/>
      <c r="B1941" s="12"/>
      <c r="C1941" s="12"/>
      <c r="D1941" s="3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2"/>
      <c r="Y1941" s="12"/>
      <c r="Z1941" s="12"/>
      <c r="AA1941" s="12"/>
      <c r="AB1941" s="12"/>
      <c r="AC1941" s="12"/>
      <c r="AD1941" s="12"/>
    </row>
    <row r="1942" spans="1:30" ht="15.75" thickBot="1" x14ac:dyDescent="0.3">
      <c r="A1942" s="12"/>
      <c r="B1942" s="12"/>
      <c r="C1942" s="12"/>
      <c r="D1942" s="3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2"/>
      <c r="Y1942" s="12"/>
      <c r="Z1942" s="12"/>
      <c r="AA1942" s="12"/>
      <c r="AB1942" s="12"/>
      <c r="AC1942" s="12"/>
      <c r="AD1942" s="12"/>
    </row>
    <row r="1943" spans="1:30" ht="15.75" thickBot="1" x14ac:dyDescent="0.3">
      <c r="A1943" s="12"/>
      <c r="B1943" s="12"/>
      <c r="C1943" s="12"/>
      <c r="D1943" s="3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2"/>
      <c r="Y1943" s="12"/>
      <c r="Z1943" s="12"/>
      <c r="AA1943" s="12"/>
      <c r="AB1943" s="12"/>
      <c r="AC1943" s="12"/>
      <c r="AD1943" s="12"/>
    </row>
    <row r="1944" spans="1:30" ht="15.75" thickBot="1" x14ac:dyDescent="0.3">
      <c r="A1944" s="12"/>
      <c r="B1944" s="12"/>
      <c r="C1944" s="12"/>
      <c r="D1944" s="3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2"/>
      <c r="Y1944" s="12"/>
      <c r="Z1944" s="12"/>
      <c r="AA1944" s="12"/>
      <c r="AB1944" s="12"/>
      <c r="AC1944" s="12"/>
      <c r="AD1944" s="12"/>
    </row>
    <row r="1945" spans="1:30" ht="15.75" thickBot="1" x14ac:dyDescent="0.3">
      <c r="A1945" s="12"/>
      <c r="B1945" s="12"/>
      <c r="C1945" s="12"/>
      <c r="D1945" s="3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2"/>
      <c r="Y1945" s="12"/>
      <c r="Z1945" s="12"/>
      <c r="AA1945" s="12"/>
      <c r="AB1945" s="12"/>
      <c r="AC1945" s="12"/>
      <c r="AD1945" s="12"/>
    </row>
    <row r="1946" spans="1:30" ht="15.75" thickBot="1" x14ac:dyDescent="0.3">
      <c r="A1946" s="12"/>
      <c r="B1946" s="12"/>
      <c r="C1946" s="12"/>
      <c r="D1946" s="3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2"/>
      <c r="Y1946" s="12"/>
      <c r="Z1946" s="12"/>
      <c r="AA1946" s="12"/>
      <c r="AB1946" s="12"/>
      <c r="AC1946" s="12"/>
      <c r="AD1946" s="12"/>
    </row>
    <row r="1947" spans="1:30" ht="15.75" thickBot="1" x14ac:dyDescent="0.3">
      <c r="A1947" s="12"/>
      <c r="B1947" s="12"/>
      <c r="C1947" s="12"/>
      <c r="D1947" s="3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2"/>
      <c r="Y1947" s="12"/>
      <c r="Z1947" s="12"/>
      <c r="AA1947" s="12"/>
      <c r="AB1947" s="12"/>
      <c r="AC1947" s="12"/>
      <c r="AD1947" s="12"/>
    </row>
    <row r="1948" spans="1:30" ht="15.75" thickBot="1" x14ac:dyDescent="0.3">
      <c r="A1948" s="12"/>
      <c r="B1948" s="12"/>
      <c r="C1948" s="12"/>
      <c r="D1948" s="3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2"/>
      <c r="Y1948" s="12"/>
      <c r="Z1948" s="12"/>
      <c r="AA1948" s="12"/>
      <c r="AB1948" s="12"/>
      <c r="AC1948" s="12"/>
      <c r="AD1948" s="12"/>
    </row>
    <row r="1949" spans="1:30" ht="15.75" thickBot="1" x14ac:dyDescent="0.3">
      <c r="A1949" s="12"/>
      <c r="B1949" s="12"/>
      <c r="C1949" s="12"/>
      <c r="D1949" s="3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2"/>
      <c r="Y1949" s="12"/>
      <c r="Z1949" s="12"/>
      <c r="AA1949" s="12"/>
      <c r="AB1949" s="12"/>
      <c r="AC1949" s="12"/>
      <c r="AD1949" s="12"/>
    </row>
    <row r="1950" spans="1:30" ht="15.75" thickBot="1" x14ac:dyDescent="0.3">
      <c r="A1950" s="12"/>
      <c r="B1950" s="12"/>
      <c r="C1950" s="12"/>
      <c r="D1950" s="3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2"/>
      <c r="Y1950" s="12"/>
      <c r="Z1950" s="12"/>
      <c r="AA1950" s="12"/>
      <c r="AB1950" s="12"/>
      <c r="AC1950" s="12"/>
      <c r="AD1950" s="12"/>
    </row>
    <row r="1951" spans="1:30" ht="15.75" thickBot="1" x14ac:dyDescent="0.3">
      <c r="A1951" s="12"/>
      <c r="B1951" s="12"/>
      <c r="C1951" s="12"/>
      <c r="D1951" s="3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2"/>
      <c r="Y1951" s="12"/>
      <c r="Z1951" s="12"/>
      <c r="AA1951" s="12"/>
      <c r="AB1951" s="12"/>
      <c r="AC1951" s="12"/>
      <c r="AD1951" s="12"/>
    </row>
    <row r="1952" spans="1:30" ht="15.75" thickBot="1" x14ac:dyDescent="0.3">
      <c r="A1952" s="12"/>
      <c r="B1952" s="12"/>
      <c r="C1952" s="12"/>
      <c r="D1952" s="3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2"/>
      <c r="Y1952" s="12"/>
      <c r="Z1952" s="12"/>
      <c r="AA1952" s="12"/>
      <c r="AB1952" s="12"/>
      <c r="AC1952" s="12"/>
      <c r="AD1952" s="12"/>
    </row>
    <row r="1953" spans="1:30" ht="15.75" thickBot="1" x14ac:dyDescent="0.3">
      <c r="A1953" s="12"/>
      <c r="B1953" s="12"/>
      <c r="C1953" s="12"/>
      <c r="D1953" s="3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2"/>
      <c r="Y1953" s="12"/>
      <c r="Z1953" s="12"/>
      <c r="AA1953" s="12"/>
      <c r="AB1953" s="12"/>
      <c r="AC1953" s="12"/>
      <c r="AD1953" s="12"/>
    </row>
    <row r="1954" spans="1:30" ht="15.75" thickBot="1" x14ac:dyDescent="0.3">
      <c r="A1954" s="12"/>
      <c r="B1954" s="12"/>
      <c r="C1954" s="12"/>
      <c r="D1954" s="3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2"/>
      <c r="Y1954" s="12"/>
      <c r="Z1954" s="12"/>
      <c r="AA1954" s="12"/>
      <c r="AB1954" s="12"/>
      <c r="AC1954" s="12"/>
      <c r="AD1954" s="12"/>
    </row>
    <row r="1955" spans="1:30" ht="15.75" thickBot="1" x14ac:dyDescent="0.3">
      <c r="A1955" s="12"/>
      <c r="B1955" s="12"/>
      <c r="C1955" s="12"/>
      <c r="D1955" s="3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2"/>
      <c r="Y1955" s="12"/>
      <c r="Z1955" s="12"/>
      <c r="AA1955" s="12"/>
      <c r="AB1955" s="12"/>
      <c r="AC1955" s="12"/>
      <c r="AD1955" s="12"/>
    </row>
    <row r="1956" spans="1:30" ht="15.75" thickBot="1" x14ac:dyDescent="0.3">
      <c r="A1956" s="12"/>
      <c r="B1956" s="12"/>
      <c r="C1956" s="12"/>
      <c r="D1956" s="3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2"/>
      <c r="Y1956" s="12"/>
      <c r="Z1956" s="12"/>
      <c r="AA1956" s="12"/>
      <c r="AB1956" s="12"/>
      <c r="AC1956" s="12"/>
      <c r="AD1956" s="12"/>
    </row>
    <row r="1957" spans="1:30" ht="15.75" thickBot="1" x14ac:dyDescent="0.3">
      <c r="A1957" s="12"/>
      <c r="B1957" s="12"/>
      <c r="C1957" s="12"/>
      <c r="D1957" s="3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2"/>
      <c r="Y1957" s="12"/>
      <c r="Z1957" s="12"/>
      <c r="AA1957" s="12"/>
      <c r="AB1957" s="12"/>
      <c r="AC1957" s="12"/>
      <c r="AD1957" s="12"/>
    </row>
    <row r="1958" spans="1:30" ht="15.75" thickBot="1" x14ac:dyDescent="0.3">
      <c r="A1958" s="12"/>
      <c r="B1958" s="12"/>
      <c r="C1958" s="12"/>
      <c r="D1958" s="3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2"/>
      <c r="Y1958" s="12"/>
      <c r="Z1958" s="12"/>
      <c r="AA1958" s="12"/>
      <c r="AB1958" s="12"/>
      <c r="AC1958" s="12"/>
      <c r="AD1958" s="12"/>
    </row>
    <row r="1959" spans="1:30" ht="15.75" thickBot="1" x14ac:dyDescent="0.3">
      <c r="A1959" s="12"/>
      <c r="B1959" s="12"/>
      <c r="C1959" s="12"/>
      <c r="D1959" s="3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2"/>
      <c r="Y1959" s="12"/>
      <c r="Z1959" s="12"/>
      <c r="AA1959" s="12"/>
      <c r="AB1959" s="12"/>
      <c r="AC1959" s="12"/>
      <c r="AD1959" s="12"/>
    </row>
    <row r="1960" spans="1:30" ht="15.75" thickBot="1" x14ac:dyDescent="0.3">
      <c r="A1960" s="12"/>
      <c r="B1960" s="12"/>
      <c r="C1960" s="12"/>
      <c r="D1960" s="3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2"/>
      <c r="Y1960" s="12"/>
      <c r="Z1960" s="12"/>
      <c r="AA1960" s="12"/>
      <c r="AB1960" s="12"/>
      <c r="AC1960" s="12"/>
      <c r="AD1960" s="12"/>
    </row>
    <row r="1961" spans="1:30" ht="15.75" thickBot="1" x14ac:dyDescent="0.3">
      <c r="A1961" s="12"/>
      <c r="B1961" s="12"/>
      <c r="C1961" s="12"/>
      <c r="D1961" s="3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2"/>
      <c r="Y1961" s="12"/>
      <c r="Z1961" s="12"/>
      <c r="AA1961" s="12"/>
      <c r="AB1961" s="12"/>
      <c r="AC1961" s="12"/>
      <c r="AD1961" s="12"/>
    </row>
    <row r="1962" spans="1:30" ht="15.75" thickBot="1" x14ac:dyDescent="0.3">
      <c r="A1962" s="12"/>
      <c r="B1962" s="12"/>
      <c r="C1962" s="12"/>
      <c r="D1962" s="3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2"/>
      <c r="Y1962" s="12"/>
      <c r="Z1962" s="12"/>
      <c r="AA1962" s="12"/>
      <c r="AB1962" s="12"/>
      <c r="AC1962" s="12"/>
      <c r="AD1962" s="12"/>
    </row>
    <row r="1963" spans="1:30" ht="15.75" thickBot="1" x14ac:dyDescent="0.3">
      <c r="A1963" s="12"/>
      <c r="B1963" s="12"/>
      <c r="C1963" s="12"/>
      <c r="D1963" s="3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2"/>
      <c r="Y1963" s="12"/>
      <c r="Z1963" s="12"/>
      <c r="AA1963" s="12"/>
      <c r="AB1963" s="12"/>
      <c r="AC1963" s="12"/>
      <c r="AD1963" s="12"/>
    </row>
    <row r="1964" spans="1:30" ht="15.75" thickBot="1" x14ac:dyDescent="0.3">
      <c r="A1964" s="12"/>
      <c r="B1964" s="12"/>
      <c r="C1964" s="12"/>
      <c r="D1964" s="3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2"/>
      <c r="Y1964" s="12"/>
      <c r="Z1964" s="12"/>
      <c r="AA1964" s="12"/>
      <c r="AB1964" s="12"/>
      <c r="AC1964" s="12"/>
      <c r="AD1964" s="12"/>
    </row>
    <row r="1965" spans="1:30" ht="15.75" thickBot="1" x14ac:dyDescent="0.3">
      <c r="A1965" s="12"/>
      <c r="B1965" s="12"/>
      <c r="C1965" s="12"/>
      <c r="D1965" s="3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2"/>
      <c r="Y1965" s="12"/>
      <c r="Z1965" s="12"/>
      <c r="AA1965" s="12"/>
      <c r="AB1965" s="12"/>
      <c r="AC1965" s="12"/>
      <c r="AD1965" s="12"/>
    </row>
    <row r="1966" spans="1:30" ht="15.75" thickBot="1" x14ac:dyDescent="0.3">
      <c r="A1966" s="12"/>
      <c r="B1966" s="12"/>
      <c r="C1966" s="12"/>
      <c r="D1966" s="3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2"/>
      <c r="Y1966" s="12"/>
      <c r="Z1966" s="12"/>
      <c r="AA1966" s="12"/>
      <c r="AB1966" s="12"/>
      <c r="AC1966" s="12"/>
      <c r="AD1966" s="12"/>
    </row>
    <row r="1967" spans="1:30" ht="15.75" thickBot="1" x14ac:dyDescent="0.3">
      <c r="A1967" s="12"/>
      <c r="B1967" s="12"/>
      <c r="C1967" s="12"/>
      <c r="D1967" s="3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2"/>
      <c r="Y1967" s="12"/>
      <c r="Z1967" s="12"/>
      <c r="AA1967" s="12"/>
      <c r="AB1967" s="12"/>
      <c r="AC1967" s="12"/>
      <c r="AD1967" s="12"/>
    </row>
    <row r="1968" spans="1:30" ht="15.75" thickBot="1" x14ac:dyDescent="0.3">
      <c r="A1968" s="12"/>
      <c r="B1968" s="12"/>
      <c r="C1968" s="12"/>
      <c r="D1968" s="3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2"/>
      <c r="Y1968" s="12"/>
      <c r="Z1968" s="12"/>
      <c r="AA1968" s="12"/>
      <c r="AB1968" s="12"/>
      <c r="AC1968" s="12"/>
      <c r="AD1968" s="12"/>
    </row>
    <row r="1969" spans="1:30" ht="15.75" thickBot="1" x14ac:dyDescent="0.3">
      <c r="A1969" s="12"/>
      <c r="B1969" s="12"/>
      <c r="C1969" s="12"/>
      <c r="D1969" s="3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2"/>
      <c r="Y1969" s="12"/>
      <c r="Z1969" s="12"/>
      <c r="AA1969" s="12"/>
      <c r="AB1969" s="12"/>
      <c r="AC1969" s="12"/>
      <c r="AD1969" s="12"/>
    </row>
    <row r="1970" spans="1:30" ht="15.75" thickBot="1" x14ac:dyDescent="0.3">
      <c r="A1970" s="12"/>
      <c r="B1970" s="12"/>
      <c r="C1970" s="12"/>
      <c r="D1970" s="3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2"/>
      <c r="Y1970" s="12"/>
      <c r="Z1970" s="12"/>
      <c r="AA1970" s="12"/>
      <c r="AB1970" s="12"/>
      <c r="AC1970" s="12"/>
      <c r="AD1970" s="12"/>
    </row>
    <row r="1971" spans="1:30" ht="15.75" thickBot="1" x14ac:dyDescent="0.3">
      <c r="A1971" s="12"/>
      <c r="B1971" s="12"/>
      <c r="C1971" s="12"/>
      <c r="D1971" s="3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2"/>
      <c r="Y1971" s="12"/>
      <c r="Z1971" s="12"/>
      <c r="AA1971" s="12"/>
      <c r="AB1971" s="12"/>
      <c r="AC1971" s="12"/>
      <c r="AD1971" s="12"/>
    </row>
    <row r="1972" spans="1:30" ht="15.75" thickBot="1" x14ac:dyDescent="0.3">
      <c r="A1972" s="12"/>
      <c r="B1972" s="12"/>
      <c r="C1972" s="12"/>
      <c r="D1972" s="3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2"/>
      <c r="Y1972" s="12"/>
      <c r="Z1972" s="12"/>
      <c r="AA1972" s="12"/>
      <c r="AB1972" s="12"/>
      <c r="AC1972" s="12"/>
      <c r="AD1972" s="12"/>
    </row>
    <row r="1973" spans="1:30" ht="15.75" thickBot="1" x14ac:dyDescent="0.3">
      <c r="A1973" s="12"/>
      <c r="B1973" s="12"/>
      <c r="C1973" s="12"/>
      <c r="D1973" s="3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2"/>
      <c r="Y1973" s="12"/>
      <c r="Z1973" s="12"/>
      <c r="AA1973" s="12"/>
      <c r="AB1973" s="12"/>
      <c r="AC1973" s="12"/>
      <c r="AD1973" s="12"/>
    </row>
    <row r="1974" spans="1:30" ht="15.75" thickBot="1" x14ac:dyDescent="0.3">
      <c r="A1974" s="12"/>
      <c r="B1974" s="12"/>
      <c r="C1974" s="12"/>
      <c r="D1974" s="3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2"/>
      <c r="Y1974" s="12"/>
      <c r="Z1974" s="12"/>
      <c r="AA1974" s="12"/>
      <c r="AB1974" s="12"/>
      <c r="AC1974" s="12"/>
      <c r="AD1974" s="12"/>
    </row>
    <row r="1975" spans="1:30" ht="15.75" thickBot="1" x14ac:dyDescent="0.3">
      <c r="A1975" s="12"/>
      <c r="B1975" s="12"/>
      <c r="C1975" s="12"/>
      <c r="D1975" s="3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2"/>
      <c r="Y1975" s="12"/>
      <c r="Z1975" s="12"/>
      <c r="AA1975" s="12"/>
      <c r="AB1975" s="12"/>
      <c r="AC1975" s="12"/>
      <c r="AD1975" s="12"/>
    </row>
    <row r="1976" spans="1:30" ht="15.75" thickBot="1" x14ac:dyDescent="0.3">
      <c r="A1976" s="12"/>
      <c r="B1976" s="12"/>
      <c r="C1976" s="12"/>
      <c r="D1976" s="3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2"/>
      <c r="Y1976" s="12"/>
      <c r="Z1976" s="12"/>
      <c r="AA1976" s="12"/>
      <c r="AB1976" s="12"/>
      <c r="AC1976" s="12"/>
      <c r="AD1976" s="12"/>
    </row>
    <row r="1977" spans="1:30" ht="15.75" thickBot="1" x14ac:dyDescent="0.3">
      <c r="A1977" s="12"/>
      <c r="B1977" s="12"/>
      <c r="C1977" s="12"/>
      <c r="D1977" s="3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2"/>
      <c r="Y1977" s="12"/>
      <c r="Z1977" s="12"/>
      <c r="AA1977" s="12"/>
      <c r="AB1977" s="12"/>
      <c r="AC1977" s="12"/>
      <c r="AD1977" s="12"/>
    </row>
    <row r="1978" spans="1:30" ht="15.75" thickBot="1" x14ac:dyDescent="0.3">
      <c r="A1978" s="12"/>
      <c r="B1978" s="12"/>
      <c r="C1978" s="12"/>
      <c r="D1978" s="3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2"/>
      <c r="Y1978" s="12"/>
      <c r="Z1978" s="12"/>
      <c r="AA1978" s="12"/>
      <c r="AB1978" s="12"/>
      <c r="AC1978" s="12"/>
      <c r="AD1978" s="12"/>
    </row>
    <row r="1979" spans="1:30" ht="15.75" thickBot="1" x14ac:dyDescent="0.3">
      <c r="A1979" s="12"/>
      <c r="B1979" s="12"/>
      <c r="C1979" s="12"/>
      <c r="D1979" s="3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2"/>
      <c r="Y1979" s="12"/>
      <c r="Z1979" s="12"/>
      <c r="AA1979" s="12"/>
      <c r="AB1979" s="12"/>
      <c r="AC1979" s="12"/>
      <c r="AD1979" s="12"/>
    </row>
    <row r="1980" spans="1:30" ht="15.75" thickBot="1" x14ac:dyDescent="0.3">
      <c r="A1980" s="12"/>
      <c r="B1980" s="12"/>
      <c r="C1980" s="12"/>
      <c r="D1980" s="3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2"/>
      <c r="Y1980" s="12"/>
      <c r="Z1980" s="12"/>
      <c r="AA1980" s="12"/>
      <c r="AB1980" s="12"/>
      <c r="AC1980" s="12"/>
      <c r="AD1980" s="12"/>
    </row>
    <row r="1981" spans="1:30" ht="15.75" thickBot="1" x14ac:dyDescent="0.3">
      <c r="A1981" s="12"/>
      <c r="B1981" s="12"/>
      <c r="C1981" s="12"/>
      <c r="D1981" s="3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2"/>
      <c r="Y1981" s="12"/>
      <c r="Z1981" s="12"/>
      <c r="AA1981" s="12"/>
      <c r="AB1981" s="12"/>
      <c r="AC1981" s="12"/>
      <c r="AD1981" s="12"/>
    </row>
    <row r="1982" spans="1:30" ht="15.75" thickBot="1" x14ac:dyDescent="0.3">
      <c r="A1982" s="12"/>
      <c r="B1982" s="12"/>
      <c r="C1982" s="12"/>
      <c r="D1982" s="3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2"/>
      <c r="Y1982" s="12"/>
      <c r="Z1982" s="12"/>
      <c r="AA1982" s="12"/>
      <c r="AB1982" s="12"/>
      <c r="AC1982" s="12"/>
      <c r="AD1982" s="12"/>
    </row>
    <row r="1983" spans="1:30" ht="15.75" thickBot="1" x14ac:dyDescent="0.3">
      <c r="A1983" s="12"/>
      <c r="B1983" s="12"/>
      <c r="C1983" s="12"/>
      <c r="D1983" s="3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2"/>
      <c r="Y1983" s="12"/>
      <c r="Z1983" s="12"/>
      <c r="AA1983" s="12"/>
      <c r="AB1983" s="12"/>
      <c r="AC1983" s="12"/>
      <c r="AD1983" s="12"/>
    </row>
    <row r="1984" spans="1:30" ht="15.75" thickBot="1" x14ac:dyDescent="0.3">
      <c r="A1984" s="12"/>
      <c r="B1984" s="12"/>
      <c r="C1984" s="12"/>
      <c r="D1984" s="3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2"/>
      <c r="Y1984" s="12"/>
      <c r="Z1984" s="12"/>
      <c r="AA1984" s="12"/>
      <c r="AB1984" s="12"/>
      <c r="AC1984" s="12"/>
      <c r="AD1984" s="12"/>
    </row>
    <row r="1985" spans="1:30" ht="15.75" thickBot="1" x14ac:dyDescent="0.3">
      <c r="A1985" s="12"/>
      <c r="B1985" s="12"/>
      <c r="C1985" s="12"/>
      <c r="D1985" s="3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2"/>
      <c r="Y1985" s="12"/>
      <c r="Z1985" s="12"/>
      <c r="AA1985" s="12"/>
      <c r="AB1985" s="12"/>
      <c r="AC1985" s="12"/>
      <c r="AD1985" s="12"/>
    </row>
    <row r="1986" spans="1:30" ht="15.75" thickBot="1" x14ac:dyDescent="0.3">
      <c r="A1986" s="12"/>
      <c r="B1986" s="12"/>
      <c r="C1986" s="12"/>
      <c r="D1986" s="3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2"/>
      <c r="Y1986" s="12"/>
      <c r="Z1986" s="12"/>
      <c r="AA1986" s="12"/>
      <c r="AB1986" s="12"/>
      <c r="AC1986" s="12"/>
      <c r="AD1986" s="12"/>
    </row>
    <row r="1987" spans="1:30" ht="15.75" thickBot="1" x14ac:dyDescent="0.3">
      <c r="A1987" s="12"/>
      <c r="B1987" s="12"/>
      <c r="C1987" s="12"/>
      <c r="D1987" s="3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2"/>
      <c r="Y1987" s="12"/>
      <c r="Z1987" s="12"/>
      <c r="AA1987" s="12"/>
      <c r="AB1987" s="12"/>
      <c r="AC1987" s="12"/>
      <c r="AD1987" s="12"/>
    </row>
    <row r="1988" spans="1:30" ht="15.75" thickBot="1" x14ac:dyDescent="0.3">
      <c r="A1988" s="12"/>
      <c r="B1988" s="12"/>
      <c r="C1988" s="12"/>
      <c r="D1988" s="3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2"/>
      <c r="Y1988" s="12"/>
      <c r="Z1988" s="12"/>
      <c r="AA1988" s="12"/>
      <c r="AB1988" s="12"/>
      <c r="AC1988" s="12"/>
      <c r="AD1988" s="12"/>
    </row>
    <row r="1989" spans="1:30" ht="15.75" thickBot="1" x14ac:dyDescent="0.3">
      <c r="A1989" s="12"/>
      <c r="B1989" s="12"/>
      <c r="C1989" s="12"/>
      <c r="D1989" s="3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2"/>
      <c r="Y1989" s="12"/>
      <c r="Z1989" s="12"/>
      <c r="AA1989" s="12"/>
      <c r="AB1989" s="12"/>
      <c r="AC1989" s="12"/>
      <c r="AD1989" s="12"/>
    </row>
    <row r="1990" spans="1:30" ht="15.75" thickBot="1" x14ac:dyDescent="0.3">
      <c r="A1990" s="12"/>
      <c r="B1990" s="12"/>
      <c r="C1990" s="12"/>
      <c r="D1990" s="3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2"/>
      <c r="Y1990" s="12"/>
      <c r="Z1990" s="12"/>
      <c r="AA1990" s="12"/>
      <c r="AB1990" s="12"/>
      <c r="AC1990" s="12"/>
      <c r="AD1990" s="12"/>
    </row>
    <row r="1991" spans="1:30" ht="15.75" thickBot="1" x14ac:dyDescent="0.3">
      <c r="A1991" s="12"/>
      <c r="B1991" s="12"/>
      <c r="C1991" s="12"/>
      <c r="D1991" s="3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2"/>
      <c r="Y1991" s="12"/>
      <c r="Z1991" s="12"/>
      <c r="AA1991" s="12"/>
      <c r="AB1991" s="12"/>
      <c r="AC1991" s="12"/>
      <c r="AD1991" s="12"/>
    </row>
    <row r="1992" spans="1:30" ht="15.75" thickBot="1" x14ac:dyDescent="0.3">
      <c r="A1992" s="12"/>
      <c r="B1992" s="12"/>
      <c r="C1992" s="12"/>
      <c r="D1992" s="3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2"/>
      <c r="Y1992" s="12"/>
      <c r="Z1992" s="12"/>
      <c r="AA1992" s="12"/>
      <c r="AB1992" s="12"/>
      <c r="AC1992" s="12"/>
      <c r="AD1992" s="12"/>
    </row>
    <row r="1993" spans="1:30" ht="15.75" thickBot="1" x14ac:dyDescent="0.3">
      <c r="A1993" s="12"/>
      <c r="B1993" s="12"/>
      <c r="C1993" s="12"/>
      <c r="D1993" s="3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2"/>
      <c r="Y1993" s="12"/>
      <c r="Z1993" s="12"/>
      <c r="AA1993" s="12"/>
      <c r="AB1993" s="12"/>
      <c r="AC1993" s="12"/>
      <c r="AD1993" s="12"/>
    </row>
    <row r="1994" spans="1:30" ht="15.75" thickBot="1" x14ac:dyDescent="0.3">
      <c r="A1994" s="12"/>
      <c r="B1994" s="12"/>
      <c r="C1994" s="12"/>
      <c r="D1994" s="3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2"/>
      <c r="Y1994" s="12"/>
      <c r="Z1994" s="12"/>
      <c r="AA1994" s="12"/>
      <c r="AB1994" s="12"/>
      <c r="AC1994" s="12"/>
      <c r="AD1994" s="12"/>
    </row>
    <row r="1995" spans="1:30" ht="15.75" thickBot="1" x14ac:dyDescent="0.3">
      <c r="A1995" s="12"/>
      <c r="B1995" s="12"/>
      <c r="C1995" s="12"/>
      <c r="D1995" s="3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2"/>
      <c r="Y1995" s="12"/>
      <c r="Z1995" s="12"/>
      <c r="AA1995" s="12"/>
      <c r="AB1995" s="12"/>
      <c r="AC1995" s="12"/>
      <c r="AD1995" s="12"/>
    </row>
    <row r="1996" spans="1:30" ht="15.75" thickBot="1" x14ac:dyDescent="0.3">
      <c r="A1996" s="12"/>
      <c r="B1996" s="12"/>
      <c r="C1996" s="12"/>
      <c r="D1996" s="3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2"/>
      <c r="Y1996" s="12"/>
      <c r="Z1996" s="12"/>
      <c r="AA1996" s="12"/>
      <c r="AB1996" s="12"/>
      <c r="AC1996" s="12"/>
      <c r="AD1996" s="12"/>
    </row>
    <row r="1997" spans="1:30" ht="15.75" thickBot="1" x14ac:dyDescent="0.3">
      <c r="A1997" s="12"/>
      <c r="B1997" s="12"/>
      <c r="C1997" s="12"/>
      <c r="D1997" s="3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2"/>
      <c r="Y1997" s="12"/>
      <c r="Z1997" s="12"/>
      <c r="AA1997" s="12"/>
      <c r="AB1997" s="12"/>
      <c r="AC1997" s="12"/>
      <c r="AD1997" s="12"/>
    </row>
    <row r="1998" spans="1:30" ht="15.75" thickBot="1" x14ac:dyDescent="0.3">
      <c r="A1998" s="12"/>
      <c r="B1998" s="12"/>
      <c r="C1998" s="12"/>
      <c r="D1998" s="3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2"/>
      <c r="Y1998" s="12"/>
      <c r="Z1998" s="12"/>
      <c r="AA1998" s="12"/>
      <c r="AB1998" s="12"/>
      <c r="AC1998" s="12"/>
      <c r="AD1998" s="12"/>
    </row>
    <row r="1999" spans="1:30" ht="15.75" thickBot="1" x14ac:dyDescent="0.3">
      <c r="A1999" s="12"/>
      <c r="B1999" s="12"/>
      <c r="C1999" s="12"/>
      <c r="D1999" s="3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2"/>
      <c r="Y1999" s="12"/>
      <c r="Z1999" s="12"/>
      <c r="AA1999" s="12"/>
      <c r="AB1999" s="12"/>
      <c r="AC1999" s="12"/>
      <c r="AD1999" s="12"/>
    </row>
    <row r="2000" spans="1:30" ht="15.75" thickBot="1" x14ac:dyDescent="0.3">
      <c r="A2000" s="12"/>
      <c r="B2000" s="12"/>
      <c r="C2000" s="12"/>
      <c r="D2000" s="3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2"/>
      <c r="Y2000" s="12"/>
      <c r="Z2000" s="12"/>
      <c r="AA2000" s="12"/>
      <c r="AB2000" s="12"/>
      <c r="AC2000" s="12"/>
      <c r="AD2000" s="12"/>
    </row>
    <row r="2001" spans="1:30" ht="15.75" thickBot="1" x14ac:dyDescent="0.3">
      <c r="A2001" s="12"/>
      <c r="B2001" s="12"/>
      <c r="C2001" s="12"/>
      <c r="D2001" s="3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2"/>
      <c r="Y2001" s="12"/>
      <c r="Z2001" s="12"/>
      <c r="AA2001" s="12"/>
      <c r="AB2001" s="12"/>
      <c r="AC2001" s="12"/>
      <c r="AD2001" s="12"/>
    </row>
    <row r="2002" spans="1:30" ht="15.75" thickBot="1" x14ac:dyDescent="0.3">
      <c r="A2002" s="12"/>
      <c r="B2002" s="12"/>
      <c r="C2002" s="12"/>
      <c r="D2002" s="3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2"/>
      <c r="W2002" s="12"/>
      <c r="X2002" s="12"/>
      <c r="Y2002" s="12"/>
      <c r="Z2002" s="12"/>
      <c r="AA2002" s="12"/>
      <c r="AB2002" s="12"/>
      <c r="AC2002" s="12"/>
      <c r="AD2002" s="12"/>
    </row>
    <row r="2003" spans="1:30" ht="15.75" thickBot="1" x14ac:dyDescent="0.3">
      <c r="A2003" s="12"/>
      <c r="B2003" s="12"/>
      <c r="C2003" s="12"/>
      <c r="D2003" s="3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2"/>
      <c r="W2003" s="12"/>
      <c r="X2003" s="12"/>
      <c r="Y2003" s="12"/>
      <c r="Z2003" s="12"/>
      <c r="AA2003" s="12"/>
      <c r="AB2003" s="12"/>
      <c r="AC2003" s="12"/>
      <c r="AD2003" s="12"/>
    </row>
    <row r="2004" spans="1:30" ht="15.75" thickBot="1" x14ac:dyDescent="0.3">
      <c r="A2004" s="12"/>
      <c r="B2004" s="12"/>
      <c r="C2004" s="12"/>
      <c r="D2004" s="3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2"/>
      <c r="W2004" s="12"/>
      <c r="X2004" s="12"/>
      <c r="Y2004" s="12"/>
      <c r="Z2004" s="12"/>
      <c r="AA2004" s="12"/>
      <c r="AB2004" s="12"/>
      <c r="AC2004" s="12"/>
      <c r="AD2004" s="12"/>
    </row>
    <row r="2005" spans="1:30" ht="15.75" thickBot="1" x14ac:dyDescent="0.3">
      <c r="A2005" s="12"/>
      <c r="B2005" s="12"/>
      <c r="C2005" s="12"/>
      <c r="D2005" s="3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2"/>
      <c r="W2005" s="12"/>
      <c r="X2005" s="12"/>
      <c r="Y2005" s="12"/>
      <c r="Z2005" s="12"/>
      <c r="AA2005" s="12"/>
      <c r="AB2005" s="12"/>
      <c r="AC2005" s="12"/>
      <c r="AD2005" s="12"/>
    </row>
    <row r="2006" spans="1:30" ht="15.75" thickBot="1" x14ac:dyDescent="0.3">
      <c r="A2006" s="12"/>
      <c r="B2006" s="12"/>
      <c r="C2006" s="12"/>
      <c r="D2006" s="3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2"/>
      <c r="W2006" s="12"/>
      <c r="X2006" s="12"/>
      <c r="Y2006" s="12"/>
      <c r="Z2006" s="12"/>
      <c r="AA2006" s="12"/>
      <c r="AB2006" s="12"/>
      <c r="AC2006" s="12"/>
      <c r="AD2006" s="12"/>
    </row>
    <row r="2007" spans="1:30" ht="15.75" thickBot="1" x14ac:dyDescent="0.3">
      <c r="A2007" s="12"/>
      <c r="B2007" s="12"/>
      <c r="C2007" s="12"/>
      <c r="D2007" s="3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2"/>
      <c r="W2007" s="12"/>
      <c r="X2007" s="12"/>
      <c r="Y2007" s="12"/>
      <c r="Z2007" s="12"/>
      <c r="AA2007" s="12"/>
      <c r="AB2007" s="12"/>
      <c r="AC2007" s="12"/>
      <c r="AD2007" s="12"/>
    </row>
    <row r="2008" spans="1:30" ht="15.75" thickBot="1" x14ac:dyDescent="0.3">
      <c r="A2008" s="12"/>
      <c r="B2008" s="12"/>
      <c r="C2008" s="12"/>
      <c r="D2008" s="3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2"/>
      <c r="W2008" s="12"/>
      <c r="X2008" s="12"/>
      <c r="Y2008" s="12"/>
      <c r="Z2008" s="12"/>
      <c r="AA2008" s="12"/>
      <c r="AB2008" s="12"/>
      <c r="AC2008" s="12"/>
      <c r="AD2008" s="12"/>
    </row>
    <row r="2009" spans="1:30" ht="15.75" thickBot="1" x14ac:dyDescent="0.3">
      <c r="A2009" s="12"/>
      <c r="B2009" s="12"/>
      <c r="C2009" s="12"/>
      <c r="D2009" s="3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2"/>
      <c r="W2009" s="12"/>
      <c r="X2009" s="12"/>
      <c r="Y2009" s="12"/>
      <c r="Z2009" s="12"/>
      <c r="AA2009" s="12"/>
      <c r="AB2009" s="12"/>
      <c r="AC2009" s="12"/>
      <c r="AD2009" s="12"/>
    </row>
    <row r="2010" spans="1:30" ht="15.75" thickBot="1" x14ac:dyDescent="0.3">
      <c r="A2010" s="12"/>
      <c r="B2010" s="12"/>
      <c r="C2010" s="12"/>
      <c r="D2010" s="3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2"/>
      <c r="W2010" s="12"/>
      <c r="X2010" s="12"/>
      <c r="Y2010" s="12"/>
      <c r="Z2010" s="12"/>
      <c r="AA2010" s="12"/>
      <c r="AB2010" s="12"/>
      <c r="AC2010" s="12"/>
      <c r="AD2010" s="12"/>
    </row>
    <row r="2011" spans="1:30" ht="15.75" thickBot="1" x14ac:dyDescent="0.3">
      <c r="A2011" s="12"/>
      <c r="B2011" s="12"/>
      <c r="C2011" s="12"/>
      <c r="D2011" s="3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2"/>
      <c r="W2011" s="12"/>
      <c r="X2011" s="12"/>
      <c r="Y2011" s="12"/>
      <c r="Z2011" s="12"/>
      <c r="AA2011" s="12"/>
      <c r="AB2011" s="12"/>
      <c r="AC2011" s="12"/>
      <c r="AD2011" s="12"/>
    </row>
    <row r="2012" spans="1:30" ht="15.75" thickBot="1" x14ac:dyDescent="0.3">
      <c r="A2012" s="12"/>
      <c r="B2012" s="12"/>
      <c r="C2012" s="12"/>
      <c r="D2012" s="3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2"/>
      <c r="W2012" s="12"/>
      <c r="X2012" s="12"/>
      <c r="Y2012" s="12"/>
      <c r="Z2012" s="12"/>
      <c r="AA2012" s="12"/>
      <c r="AB2012" s="12"/>
      <c r="AC2012" s="12"/>
      <c r="AD2012" s="12"/>
    </row>
    <row r="2013" spans="1:30" ht="15.75" thickBot="1" x14ac:dyDescent="0.3">
      <c r="A2013" s="12"/>
      <c r="B2013" s="12"/>
      <c r="C2013" s="12"/>
      <c r="D2013" s="3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2"/>
      <c r="Y2013" s="12"/>
      <c r="Z2013" s="12"/>
      <c r="AA2013" s="12"/>
      <c r="AB2013" s="12"/>
      <c r="AC2013" s="12"/>
      <c r="AD2013" s="12"/>
    </row>
    <row r="2014" spans="1:30" ht="15.75" thickBot="1" x14ac:dyDescent="0.3">
      <c r="A2014" s="12"/>
      <c r="B2014" s="12"/>
      <c r="C2014" s="12"/>
      <c r="D2014" s="3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2"/>
      <c r="Y2014" s="12"/>
      <c r="Z2014" s="12"/>
      <c r="AA2014" s="12"/>
      <c r="AB2014" s="12"/>
      <c r="AC2014" s="12"/>
      <c r="AD2014" s="12"/>
    </row>
    <row r="2015" spans="1:30" ht="15.75" thickBot="1" x14ac:dyDescent="0.3">
      <c r="A2015" s="12"/>
      <c r="B2015" s="12"/>
      <c r="C2015" s="12"/>
      <c r="D2015" s="3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2"/>
      <c r="Y2015" s="12"/>
      <c r="Z2015" s="12"/>
      <c r="AA2015" s="12"/>
      <c r="AB2015" s="12"/>
      <c r="AC2015" s="12"/>
      <c r="AD2015" s="12"/>
    </row>
    <row r="2016" spans="1:30" ht="15.75" thickBot="1" x14ac:dyDescent="0.3">
      <c r="A2016" s="12"/>
      <c r="B2016" s="12"/>
      <c r="C2016" s="12"/>
      <c r="D2016" s="3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2"/>
      <c r="Y2016" s="12"/>
      <c r="Z2016" s="12"/>
      <c r="AA2016" s="12"/>
      <c r="AB2016" s="12"/>
      <c r="AC2016" s="12"/>
      <c r="AD2016" s="12"/>
    </row>
    <row r="2017" spans="1:30" ht="15.75" thickBot="1" x14ac:dyDescent="0.3">
      <c r="A2017" s="12"/>
      <c r="B2017" s="12"/>
      <c r="C2017" s="12"/>
      <c r="D2017" s="3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2"/>
      <c r="Y2017" s="12"/>
      <c r="Z2017" s="12"/>
      <c r="AA2017" s="12"/>
      <c r="AB2017" s="12"/>
      <c r="AC2017" s="12"/>
      <c r="AD2017" s="12"/>
    </row>
    <row r="2018" spans="1:30" ht="15.75" thickBot="1" x14ac:dyDescent="0.3">
      <c r="A2018" s="12"/>
      <c r="B2018" s="12"/>
      <c r="C2018" s="12"/>
      <c r="D2018" s="3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2"/>
      <c r="Y2018" s="12"/>
      <c r="Z2018" s="12"/>
      <c r="AA2018" s="12"/>
      <c r="AB2018" s="12"/>
      <c r="AC2018" s="12"/>
      <c r="AD2018" s="12"/>
    </row>
    <row r="2019" spans="1:30" ht="15.75" thickBot="1" x14ac:dyDescent="0.3">
      <c r="A2019" s="12"/>
      <c r="B2019" s="12"/>
      <c r="C2019" s="12"/>
      <c r="D2019" s="3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2"/>
      <c r="Y2019" s="12"/>
      <c r="Z2019" s="12"/>
      <c r="AA2019" s="12"/>
      <c r="AB2019" s="12"/>
      <c r="AC2019" s="12"/>
      <c r="AD2019" s="12"/>
    </row>
    <row r="2020" spans="1:30" ht="15.75" thickBot="1" x14ac:dyDescent="0.3">
      <c r="A2020" s="12"/>
      <c r="B2020" s="12"/>
      <c r="C2020" s="12"/>
      <c r="D2020" s="3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2"/>
      <c r="Y2020" s="12"/>
      <c r="Z2020" s="12"/>
      <c r="AA2020" s="12"/>
      <c r="AB2020" s="12"/>
      <c r="AC2020" s="12"/>
      <c r="AD2020" s="12"/>
    </row>
    <row r="2021" spans="1:30" ht="15.75" thickBot="1" x14ac:dyDescent="0.3">
      <c r="A2021" s="12"/>
      <c r="B2021" s="12"/>
      <c r="C2021" s="12"/>
      <c r="D2021" s="3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2"/>
      <c r="Y2021" s="12"/>
      <c r="Z2021" s="12"/>
      <c r="AA2021" s="12"/>
      <c r="AB2021" s="12"/>
      <c r="AC2021" s="12"/>
      <c r="AD2021" s="12"/>
    </row>
    <row r="2022" spans="1:30" ht="15.75" thickBot="1" x14ac:dyDescent="0.3">
      <c r="A2022" s="12"/>
      <c r="B2022" s="12"/>
      <c r="C2022" s="12"/>
      <c r="D2022" s="3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2"/>
      <c r="Y2022" s="12"/>
      <c r="Z2022" s="12"/>
      <c r="AA2022" s="12"/>
      <c r="AB2022" s="12"/>
      <c r="AC2022" s="12"/>
      <c r="AD2022" s="12"/>
    </row>
    <row r="2023" spans="1:30" ht="15.75" thickBot="1" x14ac:dyDescent="0.3">
      <c r="A2023" s="12"/>
      <c r="B2023" s="12"/>
      <c r="C2023" s="12"/>
      <c r="D2023" s="3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2"/>
      <c r="Y2023" s="12"/>
      <c r="Z2023" s="12"/>
      <c r="AA2023" s="12"/>
      <c r="AB2023" s="12"/>
      <c r="AC2023" s="12"/>
      <c r="AD2023" s="12"/>
    </row>
    <row r="2024" spans="1:30" ht="15.75" thickBot="1" x14ac:dyDescent="0.3">
      <c r="A2024" s="12"/>
      <c r="B2024" s="12"/>
      <c r="C2024" s="12"/>
      <c r="D2024" s="3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2"/>
      <c r="Y2024" s="12"/>
      <c r="Z2024" s="12"/>
      <c r="AA2024" s="12"/>
      <c r="AB2024" s="12"/>
      <c r="AC2024" s="12"/>
      <c r="AD2024" s="12"/>
    </row>
    <row r="2025" spans="1:30" ht="15.75" thickBot="1" x14ac:dyDescent="0.3">
      <c r="A2025" s="12"/>
      <c r="B2025" s="12"/>
      <c r="C2025" s="12"/>
      <c r="D2025" s="3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2"/>
      <c r="Y2025" s="12"/>
      <c r="Z2025" s="12"/>
      <c r="AA2025" s="12"/>
      <c r="AB2025" s="12"/>
      <c r="AC2025" s="12"/>
      <c r="AD2025" s="12"/>
    </row>
    <row r="2026" spans="1:30" ht="15.75" thickBot="1" x14ac:dyDescent="0.3">
      <c r="A2026" s="12"/>
      <c r="B2026" s="12"/>
      <c r="C2026" s="12"/>
      <c r="D2026" s="3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2"/>
      <c r="Y2026" s="12"/>
      <c r="Z2026" s="12"/>
      <c r="AA2026" s="12"/>
      <c r="AB2026" s="12"/>
      <c r="AC2026" s="12"/>
      <c r="AD2026" s="12"/>
    </row>
    <row r="2027" spans="1:30" ht="15.75" thickBot="1" x14ac:dyDescent="0.3">
      <c r="A2027" s="12"/>
      <c r="B2027" s="12"/>
      <c r="C2027" s="12"/>
      <c r="D2027" s="3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2"/>
      <c r="Y2027" s="12"/>
      <c r="Z2027" s="12"/>
      <c r="AA2027" s="12"/>
      <c r="AB2027" s="12"/>
      <c r="AC2027" s="12"/>
      <c r="AD2027" s="12"/>
    </row>
    <row r="2028" spans="1:30" ht="15.75" thickBot="1" x14ac:dyDescent="0.3">
      <c r="A2028" s="12"/>
      <c r="B2028" s="12"/>
      <c r="C2028" s="12"/>
      <c r="D2028" s="3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2"/>
      <c r="Y2028" s="12"/>
      <c r="Z2028" s="12"/>
      <c r="AA2028" s="12"/>
      <c r="AB2028" s="12"/>
      <c r="AC2028" s="12"/>
      <c r="AD2028" s="12"/>
    </row>
    <row r="2029" spans="1:30" ht="15.75" thickBot="1" x14ac:dyDescent="0.3">
      <c r="A2029" s="12"/>
      <c r="B2029" s="12"/>
      <c r="C2029" s="12"/>
      <c r="D2029" s="3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2"/>
      <c r="Y2029" s="12"/>
      <c r="Z2029" s="12"/>
      <c r="AA2029" s="12"/>
      <c r="AB2029" s="12"/>
      <c r="AC2029" s="12"/>
      <c r="AD2029" s="12"/>
    </row>
    <row r="2030" spans="1:30" ht="15.75" thickBot="1" x14ac:dyDescent="0.3">
      <c r="A2030" s="12"/>
      <c r="B2030" s="12"/>
      <c r="C2030" s="12"/>
      <c r="D2030" s="3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2"/>
      <c r="Y2030" s="12"/>
      <c r="Z2030" s="12"/>
      <c r="AA2030" s="12"/>
      <c r="AB2030" s="12"/>
      <c r="AC2030" s="12"/>
      <c r="AD2030" s="12"/>
    </row>
    <row r="2031" spans="1:30" ht="15.75" thickBot="1" x14ac:dyDescent="0.3">
      <c r="A2031" s="12"/>
      <c r="B2031" s="12"/>
      <c r="C2031" s="12"/>
      <c r="D2031" s="3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2"/>
      <c r="Y2031" s="12"/>
      <c r="Z2031" s="12"/>
      <c r="AA2031" s="12"/>
      <c r="AB2031" s="12"/>
      <c r="AC2031" s="12"/>
      <c r="AD2031" s="12"/>
    </row>
    <row r="2032" spans="1:30" ht="15.75" thickBot="1" x14ac:dyDescent="0.3">
      <c r="A2032" s="12"/>
      <c r="B2032" s="12"/>
      <c r="C2032" s="12"/>
      <c r="D2032" s="3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2"/>
      <c r="Y2032" s="12"/>
      <c r="Z2032" s="12"/>
      <c r="AA2032" s="12"/>
      <c r="AB2032" s="12"/>
      <c r="AC2032" s="12"/>
      <c r="AD2032" s="12"/>
    </row>
    <row r="2033" spans="1:30" ht="15.75" thickBot="1" x14ac:dyDescent="0.3">
      <c r="A2033" s="12"/>
      <c r="B2033" s="12"/>
      <c r="C2033" s="12"/>
      <c r="D2033" s="3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2"/>
      <c r="Y2033" s="12"/>
      <c r="Z2033" s="12"/>
      <c r="AA2033" s="12"/>
      <c r="AB2033" s="12"/>
      <c r="AC2033" s="12"/>
      <c r="AD2033" s="12"/>
    </row>
    <row r="2034" spans="1:30" ht="15.75" thickBot="1" x14ac:dyDescent="0.3">
      <c r="A2034" s="12"/>
      <c r="B2034" s="12"/>
      <c r="C2034" s="12"/>
      <c r="D2034" s="3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2"/>
      <c r="Y2034" s="12"/>
      <c r="Z2034" s="12"/>
      <c r="AA2034" s="12"/>
      <c r="AB2034" s="12"/>
      <c r="AC2034" s="12"/>
      <c r="AD2034" s="12"/>
    </row>
    <row r="2035" spans="1:30" ht="15.75" thickBot="1" x14ac:dyDescent="0.3">
      <c r="A2035" s="12"/>
      <c r="B2035" s="12"/>
      <c r="C2035" s="12"/>
      <c r="D2035" s="3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2"/>
      <c r="Y2035" s="12"/>
      <c r="Z2035" s="12"/>
      <c r="AA2035" s="12"/>
      <c r="AB2035" s="12"/>
      <c r="AC2035" s="12"/>
      <c r="AD2035" s="12"/>
    </row>
    <row r="2036" spans="1:30" ht="15.75" thickBot="1" x14ac:dyDescent="0.3">
      <c r="A2036" s="12"/>
      <c r="B2036" s="12"/>
      <c r="C2036" s="12"/>
      <c r="D2036" s="3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2"/>
      <c r="Y2036" s="12"/>
      <c r="Z2036" s="12"/>
      <c r="AA2036" s="12"/>
      <c r="AB2036" s="12"/>
      <c r="AC2036" s="12"/>
      <c r="AD2036" s="12"/>
    </row>
    <row r="2037" spans="1:30" ht="15.75" thickBot="1" x14ac:dyDescent="0.3">
      <c r="A2037" s="12"/>
      <c r="B2037" s="12"/>
      <c r="C2037" s="12"/>
      <c r="D2037" s="3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2"/>
      <c r="Y2037" s="12"/>
      <c r="Z2037" s="12"/>
      <c r="AA2037" s="12"/>
      <c r="AB2037" s="12"/>
      <c r="AC2037" s="12"/>
      <c r="AD2037" s="12"/>
    </row>
    <row r="2038" spans="1:30" ht="15.75" thickBot="1" x14ac:dyDescent="0.3">
      <c r="A2038" s="12"/>
      <c r="B2038" s="12"/>
      <c r="C2038" s="12"/>
      <c r="D2038" s="3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2"/>
      <c r="Y2038" s="12"/>
      <c r="Z2038" s="12"/>
      <c r="AA2038" s="12"/>
      <c r="AB2038" s="12"/>
      <c r="AC2038" s="12"/>
      <c r="AD2038" s="12"/>
    </row>
    <row r="2039" spans="1:30" ht="15.75" thickBot="1" x14ac:dyDescent="0.3">
      <c r="A2039" s="12"/>
      <c r="B2039" s="12"/>
      <c r="C2039" s="12"/>
      <c r="D2039" s="3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2"/>
      <c r="Y2039" s="12"/>
      <c r="Z2039" s="12"/>
      <c r="AA2039" s="12"/>
      <c r="AB2039" s="12"/>
      <c r="AC2039" s="12"/>
      <c r="AD2039" s="12"/>
    </row>
    <row r="2040" spans="1:30" ht="15.75" thickBot="1" x14ac:dyDescent="0.3">
      <c r="A2040" s="12"/>
      <c r="B2040" s="12"/>
      <c r="C2040" s="12"/>
      <c r="D2040" s="3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2"/>
      <c r="Y2040" s="12"/>
      <c r="Z2040" s="12"/>
      <c r="AA2040" s="12"/>
      <c r="AB2040" s="12"/>
      <c r="AC2040" s="12"/>
      <c r="AD2040" s="12"/>
    </row>
    <row r="2041" spans="1:30" ht="15.75" thickBot="1" x14ac:dyDescent="0.3">
      <c r="A2041" s="12"/>
      <c r="B2041" s="12"/>
      <c r="C2041" s="12"/>
      <c r="D2041" s="3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2"/>
      <c r="Y2041" s="12"/>
      <c r="Z2041" s="12"/>
      <c r="AA2041" s="12"/>
      <c r="AB2041" s="12"/>
      <c r="AC2041" s="12"/>
      <c r="AD2041" s="12"/>
    </row>
    <row r="2042" spans="1:30" ht="15.75" thickBot="1" x14ac:dyDescent="0.3">
      <c r="A2042" s="12"/>
      <c r="B2042" s="12"/>
      <c r="C2042" s="12"/>
      <c r="D2042" s="3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2"/>
      <c r="Y2042" s="12"/>
      <c r="Z2042" s="12"/>
      <c r="AA2042" s="12"/>
      <c r="AB2042" s="12"/>
      <c r="AC2042" s="12"/>
      <c r="AD2042" s="12"/>
    </row>
    <row r="2043" spans="1:30" ht="15.75" thickBot="1" x14ac:dyDescent="0.3">
      <c r="A2043" s="12"/>
      <c r="B2043" s="12"/>
      <c r="C2043" s="12"/>
      <c r="D2043" s="3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2"/>
      <c r="Y2043" s="12"/>
      <c r="Z2043" s="12"/>
      <c r="AA2043" s="12"/>
      <c r="AB2043" s="12"/>
      <c r="AC2043" s="12"/>
      <c r="AD2043" s="12"/>
    </row>
    <row r="2044" spans="1:30" ht="15.75" thickBot="1" x14ac:dyDescent="0.3">
      <c r="A2044" s="12"/>
      <c r="B2044" s="12"/>
      <c r="C2044" s="12"/>
      <c r="D2044" s="3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2"/>
      <c r="Y2044" s="12"/>
      <c r="Z2044" s="12"/>
      <c r="AA2044" s="12"/>
      <c r="AB2044" s="12"/>
      <c r="AC2044" s="12"/>
      <c r="AD2044" s="12"/>
    </row>
    <row r="2045" spans="1:30" ht="15.75" thickBot="1" x14ac:dyDescent="0.3">
      <c r="A2045" s="12"/>
      <c r="B2045" s="12"/>
      <c r="C2045" s="12"/>
      <c r="D2045" s="3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2"/>
      <c r="Y2045" s="12"/>
      <c r="Z2045" s="12"/>
      <c r="AA2045" s="12"/>
      <c r="AB2045" s="12"/>
      <c r="AC2045" s="12"/>
      <c r="AD2045" s="12"/>
    </row>
    <row r="2046" spans="1:30" ht="15.75" thickBot="1" x14ac:dyDescent="0.3">
      <c r="A2046" s="12"/>
      <c r="B2046" s="12"/>
      <c r="C2046" s="12"/>
      <c r="D2046" s="3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2"/>
      <c r="Y2046" s="12"/>
      <c r="Z2046" s="12"/>
      <c r="AA2046" s="12"/>
      <c r="AB2046" s="12"/>
      <c r="AC2046" s="12"/>
      <c r="AD2046" s="12"/>
    </row>
    <row r="2047" spans="1:30" ht="15.75" thickBot="1" x14ac:dyDescent="0.3">
      <c r="A2047" s="12"/>
      <c r="B2047" s="12"/>
      <c r="C2047" s="12"/>
      <c r="D2047" s="3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2"/>
      <c r="Y2047" s="12"/>
      <c r="Z2047" s="12"/>
      <c r="AA2047" s="12"/>
      <c r="AB2047" s="12"/>
      <c r="AC2047" s="12"/>
      <c r="AD2047" s="12"/>
    </row>
    <row r="2048" spans="1:30" ht="15.75" thickBot="1" x14ac:dyDescent="0.3">
      <c r="A2048" s="12"/>
      <c r="B2048" s="12"/>
      <c r="C2048" s="12"/>
      <c r="D2048" s="3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2"/>
      <c r="Y2048" s="12"/>
      <c r="Z2048" s="12"/>
      <c r="AA2048" s="12"/>
      <c r="AB2048" s="12"/>
      <c r="AC2048" s="12"/>
      <c r="AD2048" s="12"/>
    </row>
    <row r="2049" spans="1:30" ht="15.75" thickBot="1" x14ac:dyDescent="0.3">
      <c r="A2049" s="12"/>
      <c r="B2049" s="12"/>
      <c r="C2049" s="12"/>
      <c r="D2049" s="3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2"/>
      <c r="Y2049" s="12"/>
      <c r="Z2049" s="12"/>
      <c r="AA2049" s="12"/>
      <c r="AB2049" s="12"/>
      <c r="AC2049" s="12"/>
      <c r="AD2049" s="12"/>
    </row>
    <row r="2050" spans="1:30" ht="15.75" thickBot="1" x14ac:dyDescent="0.3">
      <c r="A2050" s="12"/>
      <c r="B2050" s="12"/>
      <c r="C2050" s="12"/>
      <c r="D2050" s="3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2"/>
      <c r="Y2050" s="12"/>
      <c r="Z2050" s="12"/>
      <c r="AA2050" s="12"/>
      <c r="AB2050" s="12"/>
      <c r="AC2050" s="12"/>
      <c r="AD2050" s="12"/>
    </row>
    <row r="2051" spans="1:30" ht="15.75" thickBot="1" x14ac:dyDescent="0.3">
      <c r="A2051" s="12"/>
      <c r="B2051" s="12"/>
      <c r="C2051" s="12"/>
      <c r="D2051" s="3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2"/>
      <c r="Y2051" s="12"/>
      <c r="Z2051" s="12"/>
      <c r="AA2051" s="12"/>
      <c r="AB2051" s="12"/>
      <c r="AC2051" s="12"/>
      <c r="AD2051" s="12"/>
    </row>
    <row r="2052" spans="1:30" ht="15.75" thickBot="1" x14ac:dyDescent="0.3">
      <c r="A2052" s="12"/>
      <c r="B2052" s="12"/>
      <c r="C2052" s="12"/>
      <c r="D2052" s="3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2"/>
      <c r="Y2052" s="12"/>
      <c r="Z2052" s="12"/>
      <c r="AA2052" s="12"/>
      <c r="AB2052" s="12"/>
      <c r="AC2052" s="12"/>
      <c r="AD2052" s="12"/>
    </row>
    <row r="2053" spans="1:30" ht="15.75" thickBot="1" x14ac:dyDescent="0.3">
      <c r="A2053" s="12"/>
      <c r="B2053" s="12"/>
      <c r="C2053" s="12"/>
      <c r="D2053" s="3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2"/>
      <c r="Y2053" s="12"/>
      <c r="Z2053" s="12"/>
      <c r="AA2053" s="12"/>
      <c r="AB2053" s="12"/>
      <c r="AC2053" s="12"/>
      <c r="AD2053" s="12"/>
    </row>
    <row r="2054" spans="1:30" ht="15.75" thickBot="1" x14ac:dyDescent="0.3">
      <c r="A2054" s="12"/>
      <c r="B2054" s="12"/>
      <c r="C2054" s="12"/>
      <c r="D2054" s="3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2"/>
      <c r="Y2054" s="12"/>
      <c r="Z2054" s="12"/>
      <c r="AA2054" s="12"/>
      <c r="AB2054" s="12"/>
      <c r="AC2054" s="12"/>
      <c r="AD2054" s="12"/>
    </row>
    <row r="2055" spans="1:30" ht="15.75" thickBot="1" x14ac:dyDescent="0.3">
      <c r="A2055" s="12"/>
      <c r="B2055" s="12"/>
      <c r="C2055" s="12"/>
      <c r="D2055" s="3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2"/>
      <c r="Y2055" s="12"/>
      <c r="Z2055" s="12"/>
      <c r="AA2055" s="12"/>
      <c r="AB2055" s="12"/>
      <c r="AC2055" s="12"/>
      <c r="AD2055" s="12"/>
    </row>
    <row r="2056" spans="1:30" ht="15.75" thickBot="1" x14ac:dyDescent="0.3">
      <c r="A2056" s="12"/>
      <c r="B2056" s="12"/>
      <c r="C2056" s="12"/>
      <c r="D2056" s="3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2"/>
      <c r="Y2056" s="12"/>
      <c r="Z2056" s="12"/>
      <c r="AA2056" s="12"/>
      <c r="AB2056" s="12"/>
      <c r="AC2056" s="12"/>
      <c r="AD2056" s="12"/>
    </row>
    <row r="2057" spans="1:30" ht="15.75" thickBot="1" x14ac:dyDescent="0.3">
      <c r="A2057" s="12"/>
      <c r="B2057" s="12"/>
      <c r="C2057" s="12"/>
      <c r="D2057" s="3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2"/>
      <c r="Y2057" s="12"/>
      <c r="Z2057" s="12"/>
      <c r="AA2057" s="12"/>
      <c r="AB2057" s="12"/>
      <c r="AC2057" s="12"/>
      <c r="AD2057" s="12"/>
    </row>
    <row r="2058" spans="1:30" ht="15.75" thickBot="1" x14ac:dyDescent="0.3">
      <c r="A2058" s="12"/>
      <c r="B2058" s="12"/>
      <c r="C2058" s="12"/>
      <c r="D2058" s="3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2"/>
      <c r="Y2058" s="12"/>
      <c r="Z2058" s="12"/>
      <c r="AA2058" s="12"/>
      <c r="AB2058" s="12"/>
      <c r="AC2058" s="12"/>
      <c r="AD2058" s="12"/>
    </row>
    <row r="2059" spans="1:30" ht="15.75" thickBot="1" x14ac:dyDescent="0.3">
      <c r="A2059" s="12"/>
      <c r="B2059" s="12"/>
      <c r="C2059" s="12"/>
      <c r="D2059" s="3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2"/>
      <c r="Y2059" s="12"/>
      <c r="Z2059" s="12"/>
      <c r="AA2059" s="12"/>
      <c r="AB2059" s="12"/>
      <c r="AC2059" s="12"/>
      <c r="AD2059" s="12"/>
    </row>
    <row r="2060" spans="1:30" ht="15.75" thickBot="1" x14ac:dyDescent="0.3">
      <c r="A2060" s="12"/>
      <c r="B2060" s="12"/>
      <c r="C2060" s="12"/>
      <c r="D2060" s="3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2"/>
      <c r="Y2060" s="12"/>
      <c r="Z2060" s="12"/>
      <c r="AA2060" s="12"/>
      <c r="AB2060" s="12"/>
      <c r="AC2060" s="12"/>
      <c r="AD2060" s="12"/>
    </row>
    <row r="2061" spans="1:30" ht="15.75" thickBot="1" x14ac:dyDescent="0.3">
      <c r="A2061" s="12"/>
      <c r="B2061" s="12"/>
      <c r="C2061" s="12"/>
      <c r="D2061" s="3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2"/>
      <c r="Y2061" s="12"/>
      <c r="Z2061" s="12"/>
      <c r="AA2061" s="12"/>
      <c r="AB2061" s="12"/>
      <c r="AC2061" s="12"/>
      <c r="AD2061" s="12"/>
    </row>
    <row r="2062" spans="1:30" ht="15.75" thickBot="1" x14ac:dyDescent="0.3">
      <c r="A2062" s="12"/>
      <c r="B2062" s="12"/>
      <c r="C2062" s="12"/>
      <c r="D2062" s="3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2"/>
      <c r="Y2062" s="12"/>
      <c r="Z2062" s="12"/>
      <c r="AA2062" s="12"/>
      <c r="AB2062" s="12"/>
      <c r="AC2062" s="12"/>
      <c r="AD2062" s="12"/>
    </row>
    <row r="2063" spans="1:30" ht="15.75" thickBot="1" x14ac:dyDescent="0.3">
      <c r="A2063" s="12"/>
      <c r="B2063" s="12"/>
      <c r="C2063" s="12"/>
      <c r="D2063" s="3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2"/>
      <c r="Y2063" s="12"/>
      <c r="Z2063" s="12"/>
      <c r="AA2063" s="12"/>
      <c r="AB2063" s="12"/>
      <c r="AC2063" s="12"/>
      <c r="AD2063" s="12"/>
    </row>
    <row r="2064" spans="1:30" ht="15.75" thickBot="1" x14ac:dyDescent="0.3">
      <c r="A2064" s="12"/>
      <c r="B2064" s="12"/>
      <c r="C2064" s="12"/>
      <c r="D2064" s="3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2"/>
      <c r="Y2064" s="12"/>
      <c r="Z2064" s="12"/>
      <c r="AA2064" s="12"/>
      <c r="AB2064" s="12"/>
      <c r="AC2064" s="12"/>
      <c r="AD2064" s="12"/>
    </row>
    <row r="2065" spans="1:30" ht="15.75" thickBot="1" x14ac:dyDescent="0.3">
      <c r="A2065" s="12"/>
      <c r="B2065" s="12"/>
      <c r="C2065" s="12"/>
      <c r="D2065" s="3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2"/>
      <c r="Y2065" s="12"/>
      <c r="Z2065" s="12"/>
      <c r="AA2065" s="12"/>
      <c r="AB2065" s="12"/>
      <c r="AC2065" s="12"/>
      <c r="AD2065" s="12"/>
    </row>
    <row r="2066" spans="1:30" ht="15.75" thickBot="1" x14ac:dyDescent="0.3">
      <c r="A2066" s="12"/>
      <c r="B2066" s="12"/>
      <c r="C2066" s="12"/>
      <c r="D2066" s="3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2"/>
      <c r="Y2066" s="12"/>
      <c r="Z2066" s="12"/>
      <c r="AA2066" s="12"/>
      <c r="AB2066" s="12"/>
      <c r="AC2066" s="12"/>
      <c r="AD2066" s="12"/>
    </row>
    <row r="2067" spans="1:30" ht="15.75" thickBot="1" x14ac:dyDescent="0.3">
      <c r="A2067" s="12"/>
      <c r="B2067" s="12"/>
      <c r="C2067" s="12"/>
      <c r="D2067" s="3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2"/>
      <c r="Y2067" s="12"/>
      <c r="Z2067" s="12"/>
      <c r="AA2067" s="12"/>
      <c r="AB2067" s="12"/>
      <c r="AC2067" s="12"/>
      <c r="AD2067" s="12"/>
    </row>
    <row r="2068" spans="1:30" ht="15.75" thickBot="1" x14ac:dyDescent="0.3">
      <c r="A2068" s="12"/>
      <c r="B2068" s="12"/>
      <c r="C2068" s="12"/>
      <c r="D2068" s="3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2"/>
      <c r="Y2068" s="12"/>
      <c r="Z2068" s="12"/>
      <c r="AA2068" s="12"/>
      <c r="AB2068" s="12"/>
      <c r="AC2068" s="12"/>
      <c r="AD2068" s="12"/>
    </row>
    <row r="2069" spans="1:30" ht="15.75" thickBot="1" x14ac:dyDescent="0.3">
      <c r="A2069" s="12"/>
      <c r="B2069" s="12"/>
      <c r="C2069" s="12"/>
      <c r="D2069" s="3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2"/>
      <c r="Y2069" s="12"/>
      <c r="Z2069" s="12"/>
      <c r="AA2069" s="12"/>
      <c r="AB2069" s="12"/>
      <c r="AC2069" s="12"/>
      <c r="AD2069" s="12"/>
    </row>
    <row r="2070" spans="1:30" ht="15.75" thickBot="1" x14ac:dyDescent="0.3">
      <c r="A2070" s="12"/>
      <c r="B2070" s="12"/>
      <c r="C2070" s="12"/>
      <c r="D2070" s="3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2"/>
      <c r="Y2070" s="12"/>
      <c r="Z2070" s="12"/>
      <c r="AA2070" s="12"/>
      <c r="AB2070" s="12"/>
      <c r="AC2070" s="12"/>
      <c r="AD2070" s="12"/>
    </row>
    <row r="2071" spans="1:30" ht="15.75" thickBot="1" x14ac:dyDescent="0.3">
      <c r="A2071" s="12"/>
      <c r="B2071" s="12"/>
      <c r="C2071" s="12"/>
      <c r="D2071" s="3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2"/>
      <c r="Y2071" s="12"/>
      <c r="Z2071" s="12"/>
      <c r="AA2071" s="12"/>
      <c r="AB2071" s="12"/>
      <c r="AC2071" s="12"/>
      <c r="AD2071" s="12"/>
    </row>
    <row r="2072" spans="1:30" ht="15.75" thickBot="1" x14ac:dyDescent="0.3">
      <c r="A2072" s="12"/>
      <c r="B2072" s="12"/>
      <c r="C2072" s="12"/>
      <c r="D2072" s="3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2"/>
      <c r="Y2072" s="12"/>
      <c r="Z2072" s="12"/>
      <c r="AA2072" s="12"/>
      <c r="AB2072" s="12"/>
      <c r="AC2072" s="12"/>
      <c r="AD2072" s="12"/>
    </row>
    <row r="2073" spans="1:30" ht="15.75" thickBot="1" x14ac:dyDescent="0.3">
      <c r="A2073" s="12"/>
      <c r="B2073" s="12"/>
      <c r="C2073" s="12"/>
      <c r="D2073" s="3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2"/>
      <c r="Y2073" s="12"/>
      <c r="Z2073" s="12"/>
      <c r="AA2073" s="12"/>
      <c r="AB2073" s="12"/>
      <c r="AC2073" s="12"/>
      <c r="AD2073" s="12"/>
    </row>
    <row r="2074" spans="1:30" ht="15.75" thickBot="1" x14ac:dyDescent="0.3">
      <c r="A2074" s="12"/>
      <c r="B2074" s="12"/>
      <c r="C2074" s="12"/>
      <c r="D2074" s="3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2"/>
      <c r="Y2074" s="12"/>
      <c r="Z2074" s="12"/>
      <c r="AA2074" s="12"/>
      <c r="AB2074" s="12"/>
      <c r="AC2074" s="12"/>
      <c r="AD2074" s="12"/>
    </row>
    <row r="2075" spans="1:30" ht="15.75" thickBot="1" x14ac:dyDescent="0.3">
      <c r="A2075" s="12"/>
      <c r="B2075" s="12"/>
      <c r="C2075" s="12"/>
      <c r="D2075" s="3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2"/>
      <c r="Y2075" s="12"/>
      <c r="Z2075" s="12"/>
      <c r="AA2075" s="12"/>
      <c r="AB2075" s="12"/>
      <c r="AC2075" s="12"/>
      <c r="AD2075" s="12"/>
    </row>
    <row r="2076" spans="1:30" ht="15.75" thickBot="1" x14ac:dyDescent="0.3">
      <c r="A2076" s="12"/>
      <c r="B2076" s="12"/>
      <c r="C2076" s="12"/>
      <c r="D2076" s="3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2"/>
      <c r="Y2076" s="12"/>
      <c r="Z2076" s="12"/>
      <c r="AA2076" s="12"/>
      <c r="AB2076" s="12"/>
      <c r="AC2076" s="12"/>
      <c r="AD2076" s="12"/>
    </row>
    <row r="2077" spans="1:30" ht="15.75" thickBot="1" x14ac:dyDescent="0.3">
      <c r="A2077" s="12"/>
      <c r="B2077" s="12"/>
      <c r="C2077" s="12"/>
      <c r="D2077" s="3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2"/>
      <c r="Y2077" s="12"/>
      <c r="Z2077" s="12"/>
      <c r="AA2077" s="12"/>
      <c r="AB2077" s="12"/>
      <c r="AC2077" s="12"/>
      <c r="AD2077" s="12"/>
    </row>
    <row r="2078" spans="1:30" ht="15.75" thickBot="1" x14ac:dyDescent="0.3">
      <c r="A2078" s="12"/>
      <c r="B2078" s="12"/>
      <c r="C2078" s="12"/>
      <c r="D2078" s="3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2"/>
      <c r="Y2078" s="12"/>
      <c r="Z2078" s="12"/>
      <c r="AA2078" s="12"/>
      <c r="AB2078" s="12"/>
      <c r="AC2078" s="12"/>
      <c r="AD2078" s="12"/>
    </row>
    <row r="2079" spans="1:30" ht="15.75" thickBot="1" x14ac:dyDescent="0.3">
      <c r="A2079" s="12"/>
      <c r="B2079" s="12"/>
      <c r="C2079" s="12"/>
      <c r="D2079" s="3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2"/>
      <c r="Y2079" s="12"/>
      <c r="Z2079" s="12"/>
      <c r="AA2079" s="12"/>
      <c r="AB2079" s="12"/>
      <c r="AC2079" s="12"/>
      <c r="AD2079" s="12"/>
    </row>
    <row r="2080" spans="1:30" ht="15.75" thickBot="1" x14ac:dyDescent="0.3">
      <c r="A2080" s="12"/>
      <c r="B2080" s="12"/>
      <c r="C2080" s="12"/>
      <c r="D2080" s="3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2"/>
      <c r="Y2080" s="12"/>
      <c r="Z2080" s="12"/>
      <c r="AA2080" s="12"/>
      <c r="AB2080" s="12"/>
      <c r="AC2080" s="12"/>
      <c r="AD2080" s="12"/>
    </row>
    <row r="2081" spans="1:30" ht="15.75" thickBot="1" x14ac:dyDescent="0.3">
      <c r="A2081" s="12"/>
      <c r="B2081" s="12"/>
      <c r="C2081" s="12"/>
      <c r="D2081" s="3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2"/>
      <c r="Y2081" s="12"/>
      <c r="Z2081" s="12"/>
      <c r="AA2081" s="12"/>
      <c r="AB2081" s="12"/>
      <c r="AC2081" s="12"/>
      <c r="AD2081" s="12"/>
    </row>
    <row r="2082" spans="1:30" ht="15.75" thickBot="1" x14ac:dyDescent="0.3">
      <c r="A2082" s="12"/>
      <c r="B2082" s="12"/>
      <c r="C2082" s="12"/>
      <c r="D2082" s="3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2"/>
      <c r="Y2082" s="12"/>
      <c r="Z2082" s="12"/>
      <c r="AA2082" s="12"/>
      <c r="AB2082" s="12"/>
      <c r="AC2082" s="12"/>
      <c r="AD2082" s="12"/>
    </row>
    <row r="2083" spans="1:30" ht="15.75" thickBot="1" x14ac:dyDescent="0.3">
      <c r="A2083" s="12"/>
      <c r="B2083" s="12"/>
      <c r="C2083" s="12"/>
      <c r="D2083" s="3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2"/>
      <c r="Y2083" s="12"/>
      <c r="Z2083" s="12"/>
      <c r="AA2083" s="12"/>
      <c r="AB2083" s="12"/>
      <c r="AC2083" s="12"/>
      <c r="AD2083" s="12"/>
    </row>
    <row r="2084" spans="1:30" ht="15.75" thickBot="1" x14ac:dyDescent="0.3">
      <c r="A2084" s="12"/>
      <c r="B2084" s="12"/>
      <c r="C2084" s="12"/>
      <c r="D2084" s="3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2"/>
      <c r="Y2084" s="12"/>
      <c r="Z2084" s="12"/>
      <c r="AA2084" s="12"/>
      <c r="AB2084" s="12"/>
      <c r="AC2084" s="12"/>
      <c r="AD2084" s="12"/>
    </row>
    <row r="2085" spans="1:30" ht="15.75" thickBot="1" x14ac:dyDescent="0.3">
      <c r="A2085" s="12"/>
      <c r="B2085" s="12"/>
      <c r="C2085" s="12"/>
      <c r="D2085" s="3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2"/>
      <c r="Y2085" s="12"/>
      <c r="Z2085" s="12"/>
      <c r="AA2085" s="12"/>
      <c r="AB2085" s="12"/>
      <c r="AC2085" s="12"/>
      <c r="AD2085" s="12"/>
    </row>
    <row r="2086" spans="1:30" ht="15.75" thickBot="1" x14ac:dyDescent="0.3">
      <c r="A2086" s="12"/>
      <c r="B2086" s="12"/>
      <c r="C2086" s="12"/>
      <c r="D2086" s="3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2"/>
      <c r="Y2086" s="12"/>
      <c r="Z2086" s="12"/>
      <c r="AA2086" s="12"/>
      <c r="AB2086" s="12"/>
      <c r="AC2086" s="12"/>
      <c r="AD2086" s="12"/>
    </row>
    <row r="2087" spans="1:30" ht="15.75" thickBot="1" x14ac:dyDescent="0.3">
      <c r="A2087" s="12"/>
      <c r="B2087" s="12"/>
      <c r="C2087" s="12"/>
      <c r="D2087" s="3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2"/>
      <c r="Y2087" s="12"/>
      <c r="Z2087" s="12"/>
      <c r="AA2087" s="12"/>
      <c r="AB2087" s="12"/>
      <c r="AC2087" s="12"/>
      <c r="AD2087" s="12"/>
    </row>
    <row r="2088" spans="1:30" ht="15.75" thickBot="1" x14ac:dyDescent="0.3">
      <c r="A2088" s="12"/>
      <c r="B2088" s="12"/>
      <c r="C2088" s="12"/>
      <c r="D2088" s="3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2"/>
      <c r="Y2088" s="12"/>
      <c r="Z2088" s="12"/>
      <c r="AA2088" s="12"/>
      <c r="AB2088" s="12"/>
      <c r="AC2088" s="12"/>
      <c r="AD2088" s="12"/>
    </row>
    <row r="2089" spans="1:30" ht="15.75" thickBot="1" x14ac:dyDescent="0.3">
      <c r="A2089" s="12"/>
      <c r="B2089" s="12"/>
      <c r="C2089" s="12"/>
      <c r="D2089" s="3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2"/>
      <c r="Y2089" s="12"/>
      <c r="Z2089" s="12"/>
      <c r="AA2089" s="12"/>
      <c r="AB2089" s="12"/>
      <c r="AC2089" s="12"/>
      <c r="AD2089" s="12"/>
    </row>
    <row r="2090" spans="1:30" ht="15.75" thickBot="1" x14ac:dyDescent="0.3">
      <c r="A2090" s="12"/>
      <c r="B2090" s="12"/>
      <c r="C2090" s="12"/>
      <c r="D2090" s="3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2"/>
      <c r="Y2090" s="12"/>
      <c r="Z2090" s="12"/>
      <c r="AA2090" s="12"/>
      <c r="AB2090" s="12"/>
      <c r="AC2090" s="12"/>
      <c r="AD2090" s="12"/>
    </row>
    <row r="2091" spans="1:30" ht="15.75" thickBot="1" x14ac:dyDescent="0.3">
      <c r="A2091" s="12"/>
      <c r="B2091" s="12"/>
      <c r="C2091" s="12"/>
      <c r="D2091" s="3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2"/>
      <c r="Y2091" s="12"/>
      <c r="Z2091" s="12"/>
      <c r="AA2091" s="12"/>
      <c r="AB2091" s="12"/>
      <c r="AC2091" s="12"/>
      <c r="AD2091" s="12"/>
    </row>
    <row r="2092" spans="1:30" ht="15.75" thickBot="1" x14ac:dyDescent="0.3">
      <c r="A2092" s="12"/>
      <c r="B2092" s="12"/>
      <c r="C2092" s="12"/>
      <c r="D2092" s="3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2"/>
      <c r="Y2092" s="12"/>
      <c r="Z2092" s="12"/>
      <c r="AA2092" s="12"/>
      <c r="AB2092" s="12"/>
      <c r="AC2092" s="12"/>
      <c r="AD2092" s="12"/>
    </row>
    <row r="2093" spans="1:30" ht="15.75" thickBot="1" x14ac:dyDescent="0.3">
      <c r="A2093" s="12"/>
      <c r="B2093" s="12"/>
      <c r="C2093" s="12"/>
      <c r="D2093" s="3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2"/>
      <c r="Y2093" s="12"/>
      <c r="Z2093" s="12"/>
      <c r="AA2093" s="12"/>
      <c r="AB2093" s="12"/>
      <c r="AC2093" s="12"/>
      <c r="AD2093" s="12"/>
    </row>
    <row r="2094" spans="1:30" ht="15.75" thickBot="1" x14ac:dyDescent="0.3">
      <c r="A2094" s="12"/>
      <c r="B2094" s="12"/>
      <c r="C2094" s="12"/>
      <c r="D2094" s="3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2"/>
      <c r="Y2094" s="12"/>
      <c r="Z2094" s="12"/>
      <c r="AA2094" s="12"/>
      <c r="AB2094" s="12"/>
      <c r="AC2094" s="12"/>
      <c r="AD2094" s="12"/>
    </row>
    <row r="2095" spans="1:30" ht="15.75" thickBot="1" x14ac:dyDescent="0.3">
      <c r="A2095" s="12"/>
      <c r="B2095" s="12"/>
      <c r="C2095" s="12"/>
      <c r="D2095" s="3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2"/>
      <c r="Y2095" s="12"/>
      <c r="Z2095" s="12"/>
      <c r="AA2095" s="12"/>
      <c r="AB2095" s="12"/>
      <c r="AC2095" s="12"/>
      <c r="AD2095" s="12"/>
    </row>
    <row r="2096" spans="1:30" ht="15.75" thickBot="1" x14ac:dyDescent="0.3">
      <c r="A2096" s="12"/>
      <c r="B2096" s="12"/>
      <c r="C2096" s="12"/>
      <c r="D2096" s="3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2"/>
      <c r="Y2096" s="12"/>
      <c r="Z2096" s="12"/>
      <c r="AA2096" s="12"/>
      <c r="AB2096" s="12"/>
      <c r="AC2096" s="12"/>
      <c r="AD2096" s="12"/>
    </row>
    <row r="2097" spans="1:30" ht="15.75" thickBot="1" x14ac:dyDescent="0.3">
      <c r="A2097" s="12"/>
      <c r="B2097" s="12"/>
      <c r="C2097" s="12"/>
      <c r="D2097" s="3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2"/>
      <c r="Y2097" s="12"/>
      <c r="Z2097" s="12"/>
      <c r="AA2097" s="12"/>
      <c r="AB2097" s="12"/>
      <c r="AC2097" s="12"/>
      <c r="AD2097" s="12"/>
    </row>
    <row r="2098" spans="1:30" ht="15.75" thickBot="1" x14ac:dyDescent="0.3">
      <c r="A2098" s="12"/>
      <c r="B2098" s="12"/>
      <c r="C2098" s="12"/>
      <c r="D2098" s="3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2"/>
      <c r="Y2098" s="12"/>
      <c r="Z2098" s="12"/>
      <c r="AA2098" s="12"/>
      <c r="AB2098" s="12"/>
      <c r="AC2098" s="12"/>
      <c r="AD2098" s="12"/>
    </row>
    <row r="2099" spans="1:30" ht="15.75" thickBot="1" x14ac:dyDescent="0.3">
      <c r="A2099" s="12"/>
      <c r="B2099" s="12"/>
      <c r="C2099" s="12"/>
      <c r="D2099" s="3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2"/>
      <c r="Y2099" s="12"/>
      <c r="Z2099" s="12"/>
      <c r="AA2099" s="12"/>
      <c r="AB2099" s="12"/>
      <c r="AC2099" s="12"/>
      <c r="AD2099" s="12"/>
    </row>
    <row r="2100" spans="1:30" ht="15.75" thickBot="1" x14ac:dyDescent="0.3">
      <c r="A2100" s="12"/>
      <c r="B2100" s="12"/>
      <c r="C2100" s="12"/>
      <c r="D2100" s="3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2"/>
      <c r="Y2100" s="12"/>
      <c r="Z2100" s="12"/>
      <c r="AA2100" s="12"/>
      <c r="AB2100" s="12"/>
      <c r="AC2100" s="12"/>
      <c r="AD2100" s="12"/>
    </row>
    <row r="2101" spans="1:30" ht="15.75" thickBot="1" x14ac:dyDescent="0.3">
      <c r="A2101" s="12"/>
      <c r="B2101" s="12"/>
      <c r="C2101" s="12"/>
      <c r="D2101" s="3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2"/>
      <c r="W2101" s="12"/>
      <c r="X2101" s="12"/>
      <c r="Y2101" s="12"/>
      <c r="Z2101" s="12"/>
      <c r="AA2101" s="12"/>
      <c r="AB2101" s="12"/>
      <c r="AC2101" s="12"/>
      <c r="AD2101" s="12"/>
    </row>
    <row r="2102" spans="1:30" ht="15.75" thickBot="1" x14ac:dyDescent="0.3">
      <c r="A2102" s="12"/>
      <c r="B2102" s="12"/>
      <c r="C2102" s="12"/>
      <c r="D2102" s="3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2"/>
      <c r="W2102" s="12"/>
      <c r="X2102" s="12"/>
      <c r="Y2102" s="12"/>
      <c r="Z2102" s="12"/>
      <c r="AA2102" s="12"/>
      <c r="AB2102" s="12"/>
      <c r="AC2102" s="12"/>
      <c r="AD2102" s="12"/>
    </row>
    <row r="2103" spans="1:30" ht="15.75" thickBot="1" x14ac:dyDescent="0.3">
      <c r="A2103" s="12"/>
      <c r="B2103" s="12"/>
      <c r="C2103" s="12"/>
      <c r="D2103" s="3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2"/>
      <c r="W2103" s="12"/>
      <c r="X2103" s="12"/>
      <c r="Y2103" s="12"/>
      <c r="Z2103" s="12"/>
      <c r="AA2103" s="12"/>
      <c r="AB2103" s="12"/>
      <c r="AC2103" s="12"/>
      <c r="AD2103" s="12"/>
    </row>
    <row r="2104" spans="1:30" ht="15.75" thickBot="1" x14ac:dyDescent="0.3">
      <c r="A2104" s="12"/>
      <c r="B2104" s="12"/>
      <c r="C2104" s="12"/>
      <c r="D2104" s="3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2"/>
      <c r="W2104" s="12"/>
      <c r="X2104" s="12"/>
      <c r="Y2104" s="12"/>
      <c r="Z2104" s="12"/>
      <c r="AA2104" s="12"/>
      <c r="AB2104" s="12"/>
      <c r="AC2104" s="12"/>
      <c r="AD2104" s="12"/>
    </row>
    <row r="2105" spans="1:30" ht="15.75" thickBot="1" x14ac:dyDescent="0.3">
      <c r="A2105" s="12"/>
      <c r="B2105" s="12"/>
      <c r="C2105" s="12"/>
      <c r="D2105" s="3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2"/>
      <c r="W2105" s="12"/>
      <c r="X2105" s="12"/>
      <c r="Y2105" s="12"/>
      <c r="Z2105" s="12"/>
      <c r="AA2105" s="12"/>
      <c r="AB2105" s="12"/>
      <c r="AC2105" s="12"/>
      <c r="AD2105" s="12"/>
    </row>
    <row r="2106" spans="1:30" ht="15.75" thickBot="1" x14ac:dyDescent="0.3">
      <c r="A2106" s="12"/>
      <c r="B2106" s="12"/>
      <c r="C2106" s="12"/>
      <c r="D2106" s="3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2"/>
      <c r="W2106" s="12"/>
      <c r="X2106" s="12"/>
      <c r="Y2106" s="12"/>
      <c r="Z2106" s="12"/>
      <c r="AA2106" s="12"/>
      <c r="AB2106" s="12"/>
      <c r="AC2106" s="12"/>
      <c r="AD2106" s="12"/>
    </row>
    <row r="2107" spans="1:30" ht="15.75" thickBot="1" x14ac:dyDescent="0.3">
      <c r="A2107" s="12"/>
      <c r="B2107" s="12"/>
      <c r="C2107" s="12"/>
      <c r="D2107" s="3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2"/>
      <c r="W2107" s="12"/>
      <c r="X2107" s="12"/>
      <c r="Y2107" s="12"/>
      <c r="Z2107" s="12"/>
      <c r="AA2107" s="12"/>
      <c r="AB2107" s="12"/>
      <c r="AC2107" s="12"/>
      <c r="AD2107" s="12"/>
    </row>
    <row r="2108" spans="1:30" ht="15.75" thickBot="1" x14ac:dyDescent="0.3">
      <c r="A2108" s="12"/>
      <c r="B2108" s="12"/>
      <c r="C2108" s="12"/>
      <c r="D2108" s="3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2"/>
      <c r="W2108" s="12"/>
      <c r="X2108" s="12"/>
      <c r="Y2108" s="12"/>
      <c r="Z2108" s="12"/>
      <c r="AA2108" s="12"/>
      <c r="AB2108" s="12"/>
      <c r="AC2108" s="12"/>
      <c r="AD2108" s="12"/>
    </row>
    <row r="2109" spans="1:30" ht="15.75" thickBot="1" x14ac:dyDescent="0.3">
      <c r="A2109" s="12"/>
      <c r="B2109" s="12"/>
      <c r="C2109" s="12"/>
      <c r="D2109" s="3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2"/>
      <c r="W2109" s="12"/>
      <c r="X2109" s="12"/>
      <c r="Y2109" s="12"/>
      <c r="Z2109" s="12"/>
      <c r="AA2109" s="12"/>
      <c r="AB2109" s="12"/>
      <c r="AC2109" s="12"/>
      <c r="AD2109" s="12"/>
    </row>
    <row r="2110" spans="1:30" ht="15.75" thickBot="1" x14ac:dyDescent="0.3">
      <c r="A2110" s="12"/>
      <c r="B2110" s="12"/>
      <c r="C2110" s="12"/>
      <c r="D2110" s="3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2"/>
      <c r="W2110" s="12"/>
      <c r="X2110" s="12"/>
      <c r="Y2110" s="12"/>
      <c r="Z2110" s="12"/>
      <c r="AA2110" s="12"/>
      <c r="AB2110" s="12"/>
      <c r="AC2110" s="12"/>
      <c r="AD2110" s="12"/>
    </row>
    <row r="2111" spans="1:30" ht="15.75" thickBot="1" x14ac:dyDescent="0.3">
      <c r="A2111" s="12"/>
      <c r="B2111" s="12"/>
      <c r="C2111" s="12"/>
      <c r="D2111" s="3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2"/>
      <c r="W2111" s="12"/>
      <c r="X2111" s="12"/>
      <c r="Y2111" s="12"/>
      <c r="Z2111" s="12"/>
      <c r="AA2111" s="12"/>
      <c r="AB2111" s="12"/>
      <c r="AC2111" s="12"/>
      <c r="AD2111" s="12"/>
    </row>
    <row r="2112" spans="1:30" ht="15.75" thickBot="1" x14ac:dyDescent="0.3">
      <c r="A2112" s="12"/>
      <c r="B2112" s="12"/>
      <c r="C2112" s="12"/>
      <c r="D2112" s="3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2"/>
      <c r="W2112" s="12"/>
      <c r="X2112" s="12"/>
      <c r="Y2112" s="12"/>
      <c r="Z2112" s="12"/>
      <c r="AA2112" s="12"/>
      <c r="AB2112" s="12"/>
      <c r="AC2112" s="12"/>
      <c r="AD2112" s="12"/>
    </row>
    <row r="2113" spans="1:30" ht="15.75" thickBot="1" x14ac:dyDescent="0.3">
      <c r="A2113" s="12"/>
      <c r="B2113" s="12"/>
      <c r="C2113" s="12"/>
      <c r="D2113" s="3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2"/>
      <c r="W2113" s="12"/>
      <c r="X2113" s="12"/>
      <c r="Y2113" s="12"/>
      <c r="Z2113" s="12"/>
      <c r="AA2113" s="12"/>
      <c r="AB2113" s="12"/>
      <c r="AC2113" s="12"/>
      <c r="AD2113" s="12"/>
    </row>
    <row r="2114" spans="1:30" ht="15.75" thickBot="1" x14ac:dyDescent="0.3">
      <c r="A2114" s="12"/>
      <c r="B2114" s="12"/>
      <c r="C2114" s="12"/>
      <c r="D2114" s="3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2"/>
      <c r="W2114" s="12"/>
      <c r="X2114" s="12"/>
      <c r="Y2114" s="12"/>
      <c r="Z2114" s="12"/>
      <c r="AA2114" s="12"/>
      <c r="AB2114" s="12"/>
      <c r="AC2114" s="12"/>
      <c r="AD2114" s="12"/>
    </row>
    <row r="2115" spans="1:30" ht="15.75" thickBot="1" x14ac:dyDescent="0.3">
      <c r="A2115" s="12"/>
      <c r="B2115" s="12"/>
      <c r="C2115" s="12"/>
      <c r="D2115" s="3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2"/>
      <c r="W2115" s="12"/>
      <c r="X2115" s="12"/>
      <c r="Y2115" s="12"/>
      <c r="Z2115" s="12"/>
      <c r="AA2115" s="12"/>
      <c r="AB2115" s="12"/>
      <c r="AC2115" s="12"/>
      <c r="AD2115" s="12"/>
    </row>
    <row r="2116" spans="1:30" ht="15.75" thickBot="1" x14ac:dyDescent="0.3">
      <c r="A2116" s="12"/>
      <c r="B2116" s="12"/>
      <c r="C2116" s="12"/>
      <c r="D2116" s="3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2"/>
      <c r="W2116" s="12"/>
      <c r="X2116" s="12"/>
      <c r="Y2116" s="12"/>
      <c r="Z2116" s="12"/>
      <c r="AA2116" s="12"/>
      <c r="AB2116" s="12"/>
      <c r="AC2116" s="12"/>
      <c r="AD2116" s="12"/>
    </row>
    <row r="2117" spans="1:30" ht="15.75" thickBot="1" x14ac:dyDescent="0.3">
      <c r="A2117" s="12"/>
      <c r="B2117" s="12"/>
      <c r="C2117" s="12"/>
      <c r="D2117" s="3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2"/>
      <c r="W2117" s="12"/>
      <c r="X2117" s="12"/>
      <c r="Y2117" s="12"/>
      <c r="Z2117" s="12"/>
      <c r="AA2117" s="12"/>
      <c r="AB2117" s="12"/>
      <c r="AC2117" s="12"/>
      <c r="AD2117" s="12"/>
    </row>
    <row r="2118" spans="1:30" ht="15.75" thickBot="1" x14ac:dyDescent="0.3">
      <c r="A2118" s="12"/>
      <c r="B2118" s="12"/>
      <c r="C2118" s="12"/>
      <c r="D2118" s="3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2"/>
      <c r="W2118" s="12"/>
      <c r="X2118" s="12"/>
      <c r="Y2118" s="12"/>
      <c r="Z2118" s="12"/>
      <c r="AA2118" s="12"/>
      <c r="AB2118" s="12"/>
      <c r="AC2118" s="12"/>
      <c r="AD2118" s="12"/>
    </row>
    <row r="2119" spans="1:30" ht="15.75" thickBot="1" x14ac:dyDescent="0.3">
      <c r="A2119" s="12"/>
      <c r="B2119" s="12"/>
      <c r="C2119" s="12"/>
      <c r="D2119" s="3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2"/>
      <c r="W2119" s="12"/>
      <c r="X2119" s="12"/>
      <c r="Y2119" s="12"/>
      <c r="Z2119" s="12"/>
      <c r="AA2119" s="12"/>
      <c r="AB2119" s="12"/>
      <c r="AC2119" s="12"/>
      <c r="AD2119" s="12"/>
    </row>
    <row r="2120" spans="1:30" ht="15.75" thickBot="1" x14ac:dyDescent="0.3">
      <c r="A2120" s="12"/>
      <c r="B2120" s="12"/>
      <c r="C2120" s="12"/>
      <c r="D2120" s="3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2"/>
      <c r="W2120" s="12"/>
      <c r="X2120" s="12"/>
      <c r="Y2120" s="12"/>
      <c r="Z2120" s="12"/>
      <c r="AA2120" s="12"/>
      <c r="AB2120" s="12"/>
      <c r="AC2120" s="12"/>
      <c r="AD2120" s="12"/>
    </row>
    <row r="2121" spans="1:30" ht="15.75" thickBot="1" x14ac:dyDescent="0.3">
      <c r="A2121" s="12"/>
      <c r="B2121" s="12"/>
      <c r="C2121" s="12"/>
      <c r="D2121" s="3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2"/>
      <c r="W2121" s="12"/>
      <c r="X2121" s="12"/>
      <c r="Y2121" s="12"/>
      <c r="Z2121" s="12"/>
      <c r="AA2121" s="12"/>
      <c r="AB2121" s="12"/>
      <c r="AC2121" s="12"/>
      <c r="AD2121" s="12"/>
    </row>
    <row r="2122" spans="1:30" ht="15.75" thickBot="1" x14ac:dyDescent="0.3">
      <c r="A2122" s="12"/>
      <c r="B2122" s="12"/>
      <c r="C2122" s="12"/>
      <c r="D2122" s="3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2"/>
      <c r="W2122" s="12"/>
      <c r="X2122" s="12"/>
      <c r="Y2122" s="12"/>
      <c r="Z2122" s="12"/>
      <c r="AA2122" s="12"/>
      <c r="AB2122" s="12"/>
      <c r="AC2122" s="12"/>
      <c r="AD2122" s="12"/>
    </row>
    <row r="2123" spans="1:30" ht="15.75" thickBot="1" x14ac:dyDescent="0.3">
      <c r="A2123" s="12"/>
      <c r="B2123" s="12"/>
      <c r="C2123" s="12"/>
      <c r="D2123" s="3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2"/>
      <c r="W2123" s="12"/>
      <c r="X2123" s="12"/>
      <c r="Y2123" s="12"/>
      <c r="Z2123" s="12"/>
      <c r="AA2123" s="12"/>
      <c r="AB2123" s="12"/>
      <c r="AC2123" s="12"/>
      <c r="AD2123" s="12"/>
    </row>
    <row r="2124" spans="1:30" ht="15.75" thickBot="1" x14ac:dyDescent="0.3">
      <c r="A2124" s="12"/>
      <c r="B2124" s="12"/>
      <c r="C2124" s="12"/>
      <c r="D2124" s="3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2"/>
      <c r="W2124" s="12"/>
      <c r="X2124" s="12"/>
      <c r="Y2124" s="12"/>
      <c r="Z2124" s="12"/>
      <c r="AA2124" s="12"/>
      <c r="AB2124" s="12"/>
      <c r="AC2124" s="12"/>
      <c r="AD2124" s="12"/>
    </row>
    <row r="2125" spans="1:30" ht="15.75" thickBot="1" x14ac:dyDescent="0.3">
      <c r="A2125" s="12"/>
      <c r="B2125" s="12"/>
      <c r="C2125" s="12"/>
      <c r="D2125" s="3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2"/>
      <c r="W2125" s="12"/>
      <c r="X2125" s="12"/>
      <c r="Y2125" s="12"/>
      <c r="Z2125" s="12"/>
      <c r="AA2125" s="12"/>
      <c r="AB2125" s="12"/>
      <c r="AC2125" s="12"/>
      <c r="AD2125" s="12"/>
    </row>
    <row r="2126" spans="1:30" ht="15.75" thickBot="1" x14ac:dyDescent="0.3">
      <c r="A2126" s="12"/>
      <c r="B2126" s="12"/>
      <c r="C2126" s="12"/>
      <c r="D2126" s="3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2"/>
      <c r="W2126" s="12"/>
      <c r="X2126" s="12"/>
      <c r="Y2126" s="12"/>
      <c r="Z2126" s="12"/>
      <c r="AA2126" s="12"/>
      <c r="AB2126" s="12"/>
      <c r="AC2126" s="12"/>
      <c r="AD2126" s="12"/>
    </row>
    <row r="2127" spans="1:30" ht="15.75" thickBot="1" x14ac:dyDescent="0.3">
      <c r="A2127" s="12"/>
      <c r="B2127" s="12"/>
      <c r="C2127" s="12"/>
      <c r="D2127" s="3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2"/>
      <c r="W2127" s="12"/>
      <c r="X2127" s="12"/>
      <c r="Y2127" s="12"/>
      <c r="Z2127" s="12"/>
      <c r="AA2127" s="12"/>
      <c r="AB2127" s="12"/>
      <c r="AC2127" s="12"/>
      <c r="AD2127" s="12"/>
    </row>
    <row r="2128" spans="1:30" ht="15.75" thickBot="1" x14ac:dyDescent="0.3">
      <c r="A2128" s="12"/>
      <c r="B2128" s="12"/>
      <c r="C2128" s="12"/>
      <c r="D2128" s="3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2"/>
      <c r="W2128" s="12"/>
      <c r="X2128" s="12"/>
      <c r="Y2128" s="12"/>
      <c r="Z2128" s="12"/>
      <c r="AA2128" s="12"/>
      <c r="AB2128" s="12"/>
      <c r="AC2128" s="12"/>
      <c r="AD2128" s="12"/>
    </row>
    <row r="2129" spans="1:30" ht="15.75" thickBot="1" x14ac:dyDescent="0.3">
      <c r="A2129" s="12"/>
      <c r="B2129" s="12"/>
      <c r="C2129" s="12"/>
      <c r="D2129" s="3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2"/>
      <c r="W2129" s="12"/>
      <c r="X2129" s="12"/>
      <c r="Y2129" s="12"/>
      <c r="Z2129" s="12"/>
      <c r="AA2129" s="12"/>
      <c r="AB2129" s="12"/>
      <c r="AC2129" s="12"/>
      <c r="AD2129" s="12"/>
    </row>
    <row r="2130" spans="1:30" ht="15.75" thickBot="1" x14ac:dyDescent="0.3">
      <c r="A2130" s="12"/>
      <c r="B2130" s="12"/>
      <c r="C2130" s="12"/>
      <c r="D2130" s="3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2"/>
      <c r="W2130" s="12"/>
      <c r="X2130" s="12"/>
      <c r="Y2130" s="12"/>
      <c r="Z2130" s="12"/>
      <c r="AA2130" s="12"/>
      <c r="AB2130" s="12"/>
      <c r="AC2130" s="12"/>
      <c r="AD2130" s="12"/>
    </row>
    <row r="2131" spans="1:30" ht="15.75" thickBot="1" x14ac:dyDescent="0.3">
      <c r="A2131" s="12"/>
      <c r="B2131" s="12"/>
      <c r="C2131" s="12"/>
      <c r="D2131" s="3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2"/>
      <c r="W2131" s="12"/>
      <c r="X2131" s="12"/>
      <c r="Y2131" s="12"/>
      <c r="Z2131" s="12"/>
      <c r="AA2131" s="12"/>
      <c r="AB2131" s="12"/>
      <c r="AC2131" s="12"/>
      <c r="AD2131" s="12"/>
    </row>
    <row r="2132" spans="1:30" ht="15.75" thickBot="1" x14ac:dyDescent="0.3">
      <c r="A2132" s="12"/>
      <c r="B2132" s="12"/>
      <c r="C2132" s="12"/>
      <c r="D2132" s="3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2"/>
      <c r="W2132" s="12"/>
      <c r="X2132" s="12"/>
      <c r="Y2132" s="12"/>
      <c r="Z2132" s="12"/>
      <c r="AA2132" s="12"/>
      <c r="AB2132" s="12"/>
      <c r="AC2132" s="12"/>
      <c r="AD2132" s="12"/>
    </row>
    <row r="2133" spans="1:30" ht="15.75" thickBot="1" x14ac:dyDescent="0.3">
      <c r="A2133" s="12"/>
      <c r="B2133" s="12"/>
      <c r="C2133" s="12"/>
      <c r="D2133" s="3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2"/>
      <c r="W2133" s="12"/>
      <c r="X2133" s="12"/>
      <c r="Y2133" s="12"/>
      <c r="Z2133" s="12"/>
      <c r="AA2133" s="12"/>
      <c r="AB2133" s="12"/>
      <c r="AC2133" s="12"/>
      <c r="AD2133" s="12"/>
    </row>
    <row r="2134" spans="1:30" ht="15.75" thickBot="1" x14ac:dyDescent="0.3">
      <c r="A2134" s="12"/>
      <c r="B2134" s="12"/>
      <c r="C2134" s="12"/>
      <c r="D2134" s="3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2"/>
      <c r="W2134" s="12"/>
      <c r="X2134" s="12"/>
      <c r="Y2134" s="12"/>
      <c r="Z2134" s="12"/>
      <c r="AA2134" s="12"/>
      <c r="AB2134" s="12"/>
      <c r="AC2134" s="12"/>
      <c r="AD2134" s="12"/>
    </row>
    <row r="2135" spans="1:30" ht="15.75" thickBot="1" x14ac:dyDescent="0.3">
      <c r="A2135" s="12"/>
      <c r="B2135" s="12"/>
      <c r="C2135" s="12"/>
      <c r="D2135" s="3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2"/>
      <c r="W2135" s="12"/>
      <c r="X2135" s="12"/>
      <c r="Y2135" s="12"/>
      <c r="Z2135" s="12"/>
      <c r="AA2135" s="12"/>
      <c r="AB2135" s="12"/>
      <c r="AC2135" s="12"/>
      <c r="AD2135" s="12"/>
    </row>
    <row r="2136" spans="1:30" ht="15.75" thickBot="1" x14ac:dyDescent="0.3">
      <c r="A2136" s="12"/>
      <c r="B2136" s="12"/>
      <c r="C2136" s="12"/>
      <c r="D2136" s="3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2"/>
      <c r="W2136" s="12"/>
      <c r="X2136" s="12"/>
      <c r="Y2136" s="12"/>
      <c r="Z2136" s="12"/>
      <c r="AA2136" s="12"/>
      <c r="AB2136" s="12"/>
      <c r="AC2136" s="12"/>
      <c r="AD2136" s="12"/>
    </row>
    <row r="2137" spans="1:30" ht="15.75" thickBot="1" x14ac:dyDescent="0.3">
      <c r="A2137" s="12"/>
      <c r="B2137" s="12"/>
      <c r="C2137" s="12"/>
      <c r="D2137" s="3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2"/>
      <c r="W2137" s="12"/>
      <c r="X2137" s="12"/>
      <c r="Y2137" s="12"/>
      <c r="Z2137" s="12"/>
      <c r="AA2137" s="12"/>
      <c r="AB2137" s="12"/>
      <c r="AC2137" s="12"/>
      <c r="AD2137" s="12"/>
    </row>
    <row r="2138" spans="1:30" ht="15.75" thickBot="1" x14ac:dyDescent="0.3">
      <c r="A2138" s="12"/>
      <c r="B2138" s="12"/>
      <c r="C2138" s="12"/>
      <c r="D2138" s="3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2"/>
      <c r="W2138" s="12"/>
      <c r="X2138" s="12"/>
      <c r="Y2138" s="12"/>
      <c r="Z2138" s="12"/>
      <c r="AA2138" s="12"/>
      <c r="AB2138" s="12"/>
      <c r="AC2138" s="12"/>
      <c r="AD2138" s="12"/>
    </row>
    <row r="2139" spans="1:30" ht="15.75" thickBot="1" x14ac:dyDescent="0.3">
      <c r="A2139" s="12"/>
      <c r="B2139" s="12"/>
      <c r="C2139" s="12"/>
      <c r="D2139" s="3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2"/>
      <c r="W2139" s="12"/>
      <c r="X2139" s="12"/>
      <c r="Y2139" s="12"/>
      <c r="Z2139" s="12"/>
      <c r="AA2139" s="12"/>
      <c r="AB2139" s="12"/>
      <c r="AC2139" s="12"/>
      <c r="AD2139" s="12"/>
    </row>
    <row r="2140" spans="1:30" ht="15.75" thickBot="1" x14ac:dyDescent="0.3">
      <c r="A2140" s="12"/>
      <c r="B2140" s="12"/>
      <c r="C2140" s="12"/>
      <c r="D2140" s="3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2"/>
      <c r="W2140" s="12"/>
      <c r="X2140" s="12"/>
      <c r="Y2140" s="12"/>
      <c r="Z2140" s="12"/>
      <c r="AA2140" s="12"/>
      <c r="AB2140" s="12"/>
      <c r="AC2140" s="12"/>
      <c r="AD2140" s="12"/>
    </row>
    <row r="2141" spans="1:30" ht="15.75" thickBot="1" x14ac:dyDescent="0.3">
      <c r="A2141" s="12"/>
      <c r="B2141" s="12"/>
      <c r="C2141" s="12"/>
      <c r="D2141" s="3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2"/>
      <c r="W2141" s="12"/>
      <c r="X2141" s="12"/>
      <c r="Y2141" s="12"/>
      <c r="Z2141" s="12"/>
      <c r="AA2141" s="12"/>
      <c r="AB2141" s="12"/>
      <c r="AC2141" s="12"/>
      <c r="AD2141" s="12"/>
    </row>
    <row r="2142" spans="1:30" ht="15.75" thickBot="1" x14ac:dyDescent="0.3">
      <c r="A2142" s="12"/>
      <c r="B2142" s="12"/>
      <c r="C2142" s="12"/>
      <c r="D2142" s="3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2"/>
      <c r="W2142" s="12"/>
      <c r="X2142" s="12"/>
      <c r="Y2142" s="12"/>
      <c r="Z2142" s="12"/>
      <c r="AA2142" s="12"/>
      <c r="AB2142" s="12"/>
      <c r="AC2142" s="12"/>
      <c r="AD2142" s="12"/>
    </row>
    <row r="2143" spans="1:30" ht="15.75" thickBot="1" x14ac:dyDescent="0.3">
      <c r="A2143" s="12"/>
      <c r="B2143" s="12"/>
      <c r="C2143" s="12"/>
      <c r="D2143" s="3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2"/>
      <c r="W2143" s="12"/>
      <c r="X2143" s="12"/>
      <c r="Y2143" s="12"/>
      <c r="Z2143" s="12"/>
      <c r="AA2143" s="12"/>
      <c r="AB2143" s="12"/>
      <c r="AC2143" s="12"/>
      <c r="AD2143" s="12"/>
    </row>
    <row r="2144" spans="1:30" ht="15.75" thickBot="1" x14ac:dyDescent="0.3">
      <c r="A2144" s="12"/>
      <c r="B2144" s="12"/>
      <c r="C2144" s="12"/>
      <c r="D2144" s="3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2"/>
      <c r="W2144" s="12"/>
      <c r="X2144" s="12"/>
      <c r="Y2144" s="12"/>
      <c r="Z2144" s="12"/>
      <c r="AA2144" s="12"/>
      <c r="AB2144" s="12"/>
      <c r="AC2144" s="12"/>
      <c r="AD2144" s="12"/>
    </row>
    <row r="2145" spans="1:30" ht="15.75" thickBot="1" x14ac:dyDescent="0.3">
      <c r="A2145" s="12"/>
      <c r="B2145" s="12"/>
      <c r="C2145" s="12"/>
      <c r="D2145" s="3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2"/>
      <c r="W2145" s="12"/>
      <c r="X2145" s="12"/>
      <c r="Y2145" s="12"/>
      <c r="Z2145" s="12"/>
      <c r="AA2145" s="12"/>
      <c r="AB2145" s="12"/>
      <c r="AC2145" s="12"/>
      <c r="AD2145" s="12"/>
    </row>
    <row r="2146" spans="1:30" ht="15.75" thickBot="1" x14ac:dyDescent="0.3">
      <c r="A2146" s="12"/>
      <c r="B2146" s="12"/>
      <c r="C2146" s="12"/>
      <c r="D2146" s="3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2"/>
      <c r="W2146" s="12"/>
      <c r="X2146" s="12"/>
      <c r="Y2146" s="12"/>
      <c r="Z2146" s="12"/>
      <c r="AA2146" s="12"/>
      <c r="AB2146" s="12"/>
      <c r="AC2146" s="12"/>
      <c r="AD2146" s="12"/>
    </row>
    <row r="2147" spans="1:30" ht="15.75" thickBot="1" x14ac:dyDescent="0.3">
      <c r="A2147" s="12"/>
      <c r="B2147" s="12"/>
      <c r="C2147" s="12"/>
      <c r="D2147" s="3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2"/>
      <c r="W2147" s="12"/>
      <c r="X2147" s="12"/>
      <c r="Y2147" s="12"/>
      <c r="Z2147" s="12"/>
      <c r="AA2147" s="12"/>
      <c r="AB2147" s="12"/>
      <c r="AC2147" s="12"/>
      <c r="AD2147" s="12"/>
    </row>
    <row r="2148" spans="1:30" ht="15.75" thickBot="1" x14ac:dyDescent="0.3">
      <c r="A2148" s="12"/>
      <c r="B2148" s="12"/>
      <c r="C2148" s="12"/>
      <c r="D2148" s="3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2"/>
      <c r="W2148" s="12"/>
      <c r="X2148" s="12"/>
      <c r="Y2148" s="12"/>
      <c r="Z2148" s="12"/>
      <c r="AA2148" s="12"/>
      <c r="AB2148" s="12"/>
      <c r="AC2148" s="12"/>
      <c r="AD2148" s="12"/>
    </row>
    <row r="2149" spans="1:30" ht="15.75" thickBot="1" x14ac:dyDescent="0.3">
      <c r="A2149" s="12"/>
      <c r="B2149" s="12"/>
      <c r="C2149" s="12"/>
      <c r="D2149" s="3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2"/>
      <c r="W2149" s="12"/>
      <c r="X2149" s="12"/>
      <c r="Y2149" s="12"/>
      <c r="Z2149" s="12"/>
      <c r="AA2149" s="12"/>
      <c r="AB2149" s="12"/>
      <c r="AC2149" s="12"/>
      <c r="AD2149" s="12"/>
    </row>
    <row r="2150" spans="1:30" ht="15.75" thickBot="1" x14ac:dyDescent="0.3">
      <c r="A2150" s="12"/>
      <c r="B2150" s="12"/>
      <c r="C2150" s="12"/>
      <c r="D2150" s="3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2"/>
      <c r="W2150" s="12"/>
      <c r="X2150" s="12"/>
      <c r="Y2150" s="12"/>
      <c r="Z2150" s="12"/>
      <c r="AA2150" s="12"/>
      <c r="AB2150" s="12"/>
      <c r="AC2150" s="12"/>
      <c r="AD2150" s="12"/>
    </row>
    <row r="2151" spans="1:30" ht="15.75" thickBot="1" x14ac:dyDescent="0.3">
      <c r="A2151" s="12"/>
      <c r="B2151" s="12"/>
      <c r="C2151" s="12"/>
      <c r="D2151" s="3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2"/>
      <c r="W2151" s="12"/>
      <c r="X2151" s="12"/>
      <c r="Y2151" s="12"/>
      <c r="Z2151" s="12"/>
      <c r="AA2151" s="12"/>
      <c r="AB2151" s="12"/>
      <c r="AC2151" s="12"/>
      <c r="AD2151" s="12"/>
    </row>
    <row r="2152" spans="1:30" ht="15.75" thickBot="1" x14ac:dyDescent="0.3">
      <c r="A2152" s="12"/>
      <c r="B2152" s="12"/>
      <c r="C2152" s="12"/>
      <c r="D2152" s="3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2"/>
      <c r="W2152" s="12"/>
      <c r="X2152" s="12"/>
      <c r="Y2152" s="12"/>
      <c r="Z2152" s="12"/>
      <c r="AA2152" s="12"/>
      <c r="AB2152" s="12"/>
      <c r="AC2152" s="12"/>
      <c r="AD2152" s="12"/>
    </row>
    <row r="2153" spans="1:30" ht="15.75" thickBot="1" x14ac:dyDescent="0.3">
      <c r="A2153" s="12"/>
      <c r="B2153" s="12"/>
      <c r="C2153" s="12"/>
      <c r="D2153" s="3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2"/>
      <c r="W2153" s="12"/>
      <c r="X2153" s="12"/>
      <c r="Y2153" s="12"/>
      <c r="Z2153" s="12"/>
      <c r="AA2153" s="12"/>
      <c r="AB2153" s="12"/>
      <c r="AC2153" s="12"/>
      <c r="AD2153" s="12"/>
    </row>
    <row r="2154" spans="1:30" ht="15.75" thickBot="1" x14ac:dyDescent="0.3">
      <c r="A2154" s="12"/>
      <c r="B2154" s="12"/>
      <c r="C2154" s="12"/>
      <c r="D2154" s="3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2"/>
      <c r="W2154" s="12"/>
      <c r="X2154" s="12"/>
      <c r="Y2154" s="12"/>
      <c r="Z2154" s="12"/>
      <c r="AA2154" s="12"/>
      <c r="AB2154" s="12"/>
      <c r="AC2154" s="12"/>
      <c r="AD2154" s="12"/>
    </row>
    <row r="2155" spans="1:30" ht="15.75" thickBot="1" x14ac:dyDescent="0.3">
      <c r="A2155" s="12"/>
      <c r="B2155" s="12"/>
      <c r="C2155" s="12"/>
      <c r="D2155" s="3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2"/>
      <c r="W2155" s="12"/>
      <c r="X2155" s="12"/>
      <c r="Y2155" s="12"/>
      <c r="Z2155" s="12"/>
      <c r="AA2155" s="12"/>
      <c r="AB2155" s="12"/>
      <c r="AC2155" s="12"/>
      <c r="AD2155" s="12"/>
    </row>
    <row r="2156" spans="1:30" ht="15.75" thickBot="1" x14ac:dyDescent="0.3">
      <c r="A2156" s="12"/>
      <c r="B2156" s="12"/>
      <c r="C2156" s="12"/>
      <c r="D2156" s="3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2"/>
      <c r="W2156" s="12"/>
      <c r="X2156" s="12"/>
      <c r="Y2156" s="12"/>
      <c r="Z2156" s="12"/>
      <c r="AA2156" s="12"/>
      <c r="AB2156" s="12"/>
      <c r="AC2156" s="12"/>
      <c r="AD2156" s="12"/>
    </row>
    <row r="2157" spans="1:30" ht="15.75" thickBot="1" x14ac:dyDescent="0.3">
      <c r="A2157" s="12"/>
      <c r="B2157" s="12"/>
      <c r="C2157" s="12"/>
      <c r="D2157" s="3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2"/>
      <c r="W2157" s="12"/>
      <c r="X2157" s="12"/>
      <c r="Y2157" s="12"/>
      <c r="Z2157" s="12"/>
      <c r="AA2157" s="12"/>
      <c r="AB2157" s="12"/>
      <c r="AC2157" s="12"/>
      <c r="AD2157" s="12"/>
    </row>
    <row r="2158" spans="1:30" ht="15.75" thickBot="1" x14ac:dyDescent="0.3">
      <c r="A2158" s="12"/>
      <c r="B2158" s="12"/>
      <c r="C2158" s="12"/>
      <c r="D2158" s="3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2"/>
      <c r="W2158" s="12"/>
      <c r="X2158" s="12"/>
      <c r="Y2158" s="12"/>
      <c r="Z2158" s="12"/>
      <c r="AA2158" s="12"/>
      <c r="AB2158" s="12"/>
      <c r="AC2158" s="12"/>
      <c r="AD2158" s="12"/>
    </row>
    <row r="2159" spans="1:30" ht="15.75" thickBot="1" x14ac:dyDescent="0.3">
      <c r="A2159" s="12"/>
      <c r="B2159" s="12"/>
      <c r="C2159" s="12"/>
      <c r="D2159" s="3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2"/>
      <c r="W2159" s="12"/>
      <c r="X2159" s="12"/>
      <c r="Y2159" s="12"/>
      <c r="Z2159" s="12"/>
      <c r="AA2159" s="12"/>
      <c r="AB2159" s="12"/>
      <c r="AC2159" s="12"/>
      <c r="AD2159" s="12"/>
    </row>
    <row r="2160" spans="1:30" ht="15.75" thickBot="1" x14ac:dyDescent="0.3">
      <c r="A2160" s="12"/>
      <c r="B2160" s="12"/>
      <c r="C2160" s="12"/>
      <c r="D2160" s="3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2"/>
      <c r="W2160" s="12"/>
      <c r="X2160" s="12"/>
      <c r="Y2160" s="12"/>
      <c r="Z2160" s="12"/>
      <c r="AA2160" s="12"/>
      <c r="AB2160" s="12"/>
      <c r="AC2160" s="12"/>
      <c r="AD2160" s="12"/>
    </row>
    <row r="2161" spans="1:30" ht="15.75" thickBot="1" x14ac:dyDescent="0.3">
      <c r="A2161" s="12"/>
      <c r="B2161" s="12"/>
      <c r="C2161" s="12"/>
      <c r="D2161" s="3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2"/>
      <c r="W2161" s="12"/>
      <c r="X2161" s="12"/>
      <c r="Y2161" s="12"/>
      <c r="Z2161" s="12"/>
      <c r="AA2161" s="12"/>
      <c r="AB2161" s="12"/>
      <c r="AC2161" s="12"/>
      <c r="AD2161" s="12"/>
    </row>
    <row r="2162" spans="1:30" ht="15.75" thickBot="1" x14ac:dyDescent="0.3">
      <c r="A2162" s="12"/>
      <c r="B2162" s="12"/>
      <c r="C2162" s="12"/>
      <c r="D2162" s="3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2"/>
      <c r="W2162" s="12"/>
      <c r="X2162" s="12"/>
      <c r="Y2162" s="12"/>
      <c r="Z2162" s="12"/>
      <c r="AA2162" s="12"/>
      <c r="AB2162" s="12"/>
      <c r="AC2162" s="12"/>
      <c r="AD2162" s="12"/>
    </row>
    <row r="2163" spans="1:30" ht="15.75" thickBot="1" x14ac:dyDescent="0.3">
      <c r="A2163" s="12"/>
      <c r="B2163" s="12"/>
      <c r="C2163" s="12"/>
      <c r="D2163" s="3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2"/>
      <c r="W2163" s="12"/>
      <c r="X2163" s="12"/>
      <c r="Y2163" s="12"/>
      <c r="Z2163" s="12"/>
      <c r="AA2163" s="12"/>
      <c r="AB2163" s="12"/>
      <c r="AC2163" s="12"/>
      <c r="AD2163" s="12"/>
    </row>
    <row r="2164" spans="1:30" ht="15.75" thickBot="1" x14ac:dyDescent="0.3">
      <c r="A2164" s="12"/>
      <c r="B2164" s="12"/>
      <c r="C2164" s="12"/>
      <c r="D2164" s="3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2"/>
      <c r="W2164" s="12"/>
      <c r="X2164" s="12"/>
      <c r="Y2164" s="12"/>
      <c r="Z2164" s="12"/>
      <c r="AA2164" s="12"/>
      <c r="AB2164" s="12"/>
      <c r="AC2164" s="12"/>
      <c r="AD2164" s="12"/>
    </row>
    <row r="2165" spans="1:30" ht="15.75" thickBot="1" x14ac:dyDescent="0.3">
      <c r="A2165" s="12"/>
      <c r="B2165" s="12"/>
      <c r="C2165" s="12"/>
      <c r="D2165" s="3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2"/>
      <c r="W2165" s="12"/>
      <c r="X2165" s="12"/>
      <c r="Y2165" s="12"/>
      <c r="Z2165" s="12"/>
      <c r="AA2165" s="12"/>
      <c r="AB2165" s="12"/>
      <c r="AC2165" s="12"/>
      <c r="AD2165" s="12"/>
    </row>
    <row r="2166" spans="1:30" ht="15.75" thickBot="1" x14ac:dyDescent="0.3">
      <c r="A2166" s="12"/>
      <c r="B2166" s="12"/>
      <c r="C2166" s="12"/>
      <c r="D2166" s="3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2"/>
      <c r="W2166" s="12"/>
      <c r="X2166" s="12"/>
      <c r="Y2166" s="12"/>
      <c r="Z2166" s="12"/>
      <c r="AA2166" s="12"/>
      <c r="AB2166" s="12"/>
      <c r="AC2166" s="12"/>
      <c r="AD2166" s="12"/>
    </row>
    <row r="2167" spans="1:30" ht="15.75" thickBot="1" x14ac:dyDescent="0.3">
      <c r="A2167" s="12"/>
      <c r="B2167" s="12"/>
      <c r="C2167" s="12"/>
      <c r="D2167" s="3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2"/>
      <c r="W2167" s="12"/>
      <c r="X2167" s="12"/>
      <c r="Y2167" s="12"/>
      <c r="Z2167" s="12"/>
      <c r="AA2167" s="12"/>
      <c r="AB2167" s="12"/>
      <c r="AC2167" s="12"/>
      <c r="AD2167" s="12"/>
    </row>
    <row r="2168" spans="1:30" ht="15.75" thickBot="1" x14ac:dyDescent="0.3">
      <c r="A2168" s="12"/>
      <c r="B2168" s="12"/>
      <c r="C2168" s="12"/>
      <c r="D2168" s="3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2"/>
      <c r="W2168" s="12"/>
      <c r="X2168" s="12"/>
      <c r="Y2168" s="12"/>
      <c r="Z2168" s="12"/>
      <c r="AA2168" s="12"/>
      <c r="AB2168" s="12"/>
      <c r="AC2168" s="12"/>
      <c r="AD2168" s="12"/>
    </row>
    <row r="2169" spans="1:30" ht="15.75" thickBot="1" x14ac:dyDescent="0.3">
      <c r="A2169" s="12"/>
      <c r="B2169" s="12"/>
      <c r="C2169" s="12"/>
      <c r="D2169" s="3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2"/>
      <c r="W2169" s="12"/>
      <c r="X2169" s="12"/>
      <c r="Y2169" s="12"/>
      <c r="Z2169" s="12"/>
      <c r="AA2169" s="12"/>
      <c r="AB2169" s="12"/>
      <c r="AC2169" s="12"/>
      <c r="AD2169" s="12"/>
    </row>
    <row r="2170" spans="1:30" ht="15.75" thickBot="1" x14ac:dyDescent="0.3">
      <c r="A2170" s="12"/>
      <c r="B2170" s="12"/>
      <c r="C2170" s="12"/>
      <c r="D2170" s="3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2"/>
      <c r="W2170" s="12"/>
      <c r="X2170" s="12"/>
      <c r="Y2170" s="12"/>
      <c r="Z2170" s="12"/>
      <c r="AA2170" s="12"/>
      <c r="AB2170" s="12"/>
      <c r="AC2170" s="12"/>
      <c r="AD2170" s="12"/>
    </row>
    <row r="2171" spans="1:30" ht="15.75" thickBot="1" x14ac:dyDescent="0.3">
      <c r="A2171" s="12"/>
      <c r="B2171" s="12"/>
      <c r="C2171" s="12"/>
      <c r="D2171" s="3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2"/>
      <c r="W2171" s="12"/>
      <c r="X2171" s="12"/>
      <c r="Y2171" s="12"/>
      <c r="Z2171" s="12"/>
      <c r="AA2171" s="12"/>
      <c r="AB2171" s="12"/>
      <c r="AC2171" s="12"/>
      <c r="AD2171" s="12"/>
    </row>
    <row r="2172" spans="1:30" ht="15.75" thickBot="1" x14ac:dyDescent="0.3">
      <c r="A2172" s="12"/>
      <c r="B2172" s="12"/>
      <c r="C2172" s="12"/>
      <c r="D2172" s="3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2"/>
      <c r="W2172" s="12"/>
      <c r="X2172" s="12"/>
      <c r="Y2172" s="12"/>
      <c r="Z2172" s="12"/>
      <c r="AA2172" s="12"/>
      <c r="AB2172" s="12"/>
      <c r="AC2172" s="12"/>
      <c r="AD2172" s="12"/>
    </row>
    <row r="2173" spans="1:30" ht="15.75" thickBot="1" x14ac:dyDescent="0.3">
      <c r="A2173" s="12"/>
      <c r="B2173" s="12"/>
      <c r="C2173" s="12"/>
      <c r="D2173" s="3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2"/>
      <c r="W2173" s="12"/>
      <c r="X2173" s="12"/>
      <c r="Y2173" s="12"/>
      <c r="Z2173" s="12"/>
      <c r="AA2173" s="12"/>
      <c r="AB2173" s="12"/>
      <c r="AC2173" s="12"/>
      <c r="AD2173" s="12"/>
    </row>
    <row r="2174" spans="1:30" ht="15.75" thickBot="1" x14ac:dyDescent="0.3">
      <c r="A2174" s="12"/>
      <c r="B2174" s="12"/>
      <c r="C2174" s="12"/>
      <c r="D2174" s="3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2"/>
      <c r="W2174" s="12"/>
      <c r="X2174" s="12"/>
      <c r="Y2174" s="12"/>
      <c r="Z2174" s="12"/>
      <c r="AA2174" s="12"/>
      <c r="AB2174" s="12"/>
      <c r="AC2174" s="12"/>
      <c r="AD2174" s="12"/>
    </row>
    <row r="2175" spans="1:30" ht="15.75" thickBot="1" x14ac:dyDescent="0.3">
      <c r="A2175" s="12"/>
      <c r="B2175" s="12"/>
      <c r="C2175" s="12"/>
      <c r="D2175" s="3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2"/>
      <c r="W2175" s="12"/>
      <c r="X2175" s="12"/>
      <c r="Y2175" s="12"/>
      <c r="Z2175" s="12"/>
      <c r="AA2175" s="12"/>
      <c r="AB2175" s="12"/>
      <c r="AC2175" s="12"/>
      <c r="AD2175" s="12"/>
    </row>
    <row r="2176" spans="1:30" ht="15.75" thickBot="1" x14ac:dyDescent="0.3">
      <c r="A2176" s="12"/>
      <c r="B2176" s="12"/>
      <c r="C2176" s="12"/>
      <c r="D2176" s="3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2"/>
      <c r="W2176" s="12"/>
      <c r="X2176" s="12"/>
      <c r="Y2176" s="12"/>
      <c r="Z2176" s="12"/>
      <c r="AA2176" s="12"/>
      <c r="AB2176" s="12"/>
      <c r="AC2176" s="12"/>
      <c r="AD2176" s="12"/>
    </row>
    <row r="2177" spans="1:30" ht="15.75" thickBot="1" x14ac:dyDescent="0.3">
      <c r="A2177" s="12"/>
      <c r="B2177" s="12"/>
      <c r="C2177" s="12"/>
      <c r="D2177" s="3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2"/>
      <c r="W2177" s="12"/>
      <c r="X2177" s="12"/>
      <c r="Y2177" s="12"/>
      <c r="Z2177" s="12"/>
      <c r="AA2177" s="12"/>
      <c r="AB2177" s="12"/>
      <c r="AC2177" s="12"/>
      <c r="AD2177" s="12"/>
    </row>
    <row r="2178" spans="1:30" ht="15.75" thickBot="1" x14ac:dyDescent="0.3">
      <c r="A2178" s="12"/>
      <c r="B2178" s="12"/>
      <c r="C2178" s="12"/>
      <c r="D2178" s="3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2"/>
      <c r="W2178" s="12"/>
      <c r="X2178" s="12"/>
      <c r="Y2178" s="12"/>
      <c r="Z2178" s="12"/>
      <c r="AA2178" s="12"/>
      <c r="AB2178" s="12"/>
      <c r="AC2178" s="12"/>
      <c r="AD2178" s="12"/>
    </row>
    <row r="2179" spans="1:30" ht="15.75" thickBot="1" x14ac:dyDescent="0.3">
      <c r="A2179" s="12"/>
      <c r="B2179" s="12"/>
      <c r="C2179" s="12"/>
      <c r="D2179" s="3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2"/>
      <c r="W2179" s="12"/>
      <c r="X2179" s="12"/>
      <c r="Y2179" s="12"/>
      <c r="Z2179" s="12"/>
      <c r="AA2179" s="12"/>
      <c r="AB2179" s="12"/>
      <c r="AC2179" s="12"/>
      <c r="AD2179" s="12"/>
    </row>
    <row r="2180" spans="1:30" ht="15.75" thickBot="1" x14ac:dyDescent="0.3">
      <c r="A2180" s="12"/>
      <c r="B2180" s="12"/>
      <c r="C2180" s="12"/>
      <c r="D2180" s="3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2"/>
      <c r="W2180" s="12"/>
      <c r="X2180" s="12"/>
      <c r="Y2180" s="12"/>
      <c r="Z2180" s="12"/>
      <c r="AA2180" s="12"/>
      <c r="AB2180" s="12"/>
      <c r="AC2180" s="12"/>
      <c r="AD2180" s="12"/>
    </row>
    <row r="2181" spans="1:30" ht="15.75" thickBot="1" x14ac:dyDescent="0.3">
      <c r="A2181" s="12"/>
      <c r="B2181" s="12"/>
      <c r="C2181" s="12"/>
      <c r="D2181" s="3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2"/>
      <c r="W2181" s="12"/>
      <c r="X2181" s="12"/>
      <c r="Y2181" s="12"/>
      <c r="Z2181" s="12"/>
      <c r="AA2181" s="12"/>
      <c r="AB2181" s="12"/>
      <c r="AC2181" s="12"/>
      <c r="AD2181" s="12"/>
    </row>
    <row r="2182" spans="1:30" ht="15.75" thickBot="1" x14ac:dyDescent="0.3">
      <c r="A2182" s="12"/>
      <c r="B2182" s="12"/>
      <c r="C2182" s="12"/>
      <c r="D2182" s="3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2"/>
      <c r="W2182" s="12"/>
      <c r="X2182" s="12"/>
      <c r="Y2182" s="12"/>
      <c r="Z2182" s="12"/>
      <c r="AA2182" s="12"/>
      <c r="AB2182" s="12"/>
      <c r="AC2182" s="12"/>
      <c r="AD2182" s="12"/>
    </row>
    <row r="2183" spans="1:30" ht="15.75" thickBot="1" x14ac:dyDescent="0.3">
      <c r="A2183" s="12"/>
      <c r="B2183" s="12"/>
      <c r="C2183" s="12"/>
      <c r="D2183" s="3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2"/>
      <c r="W2183" s="12"/>
      <c r="X2183" s="12"/>
      <c r="Y2183" s="12"/>
      <c r="Z2183" s="12"/>
      <c r="AA2183" s="12"/>
      <c r="AB2183" s="12"/>
      <c r="AC2183" s="12"/>
      <c r="AD2183" s="12"/>
    </row>
    <row r="2184" spans="1:30" ht="15.75" thickBot="1" x14ac:dyDescent="0.3">
      <c r="A2184" s="12"/>
      <c r="B2184" s="12"/>
      <c r="C2184" s="12"/>
      <c r="D2184" s="3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2"/>
      <c r="W2184" s="12"/>
      <c r="X2184" s="12"/>
      <c r="Y2184" s="12"/>
      <c r="Z2184" s="12"/>
      <c r="AA2184" s="12"/>
      <c r="AB2184" s="12"/>
      <c r="AC2184" s="12"/>
      <c r="AD2184" s="12"/>
    </row>
    <row r="2185" spans="1:30" ht="15.75" thickBot="1" x14ac:dyDescent="0.3">
      <c r="A2185" s="12"/>
      <c r="B2185" s="12"/>
      <c r="C2185" s="12"/>
      <c r="D2185" s="3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2"/>
      <c r="W2185" s="12"/>
      <c r="X2185" s="12"/>
      <c r="Y2185" s="12"/>
      <c r="Z2185" s="12"/>
      <c r="AA2185" s="12"/>
      <c r="AB2185" s="12"/>
      <c r="AC2185" s="12"/>
      <c r="AD2185" s="12"/>
    </row>
    <row r="2186" spans="1:30" ht="15.75" thickBot="1" x14ac:dyDescent="0.3">
      <c r="A2186" s="12"/>
      <c r="B2186" s="12"/>
      <c r="C2186" s="12"/>
      <c r="D2186" s="3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2"/>
      <c r="W2186" s="12"/>
      <c r="X2186" s="12"/>
      <c r="Y2186" s="12"/>
      <c r="Z2186" s="12"/>
      <c r="AA2186" s="12"/>
      <c r="AB2186" s="12"/>
      <c r="AC2186" s="12"/>
      <c r="AD2186" s="12"/>
    </row>
    <row r="2187" spans="1:30" ht="15.75" thickBot="1" x14ac:dyDescent="0.3">
      <c r="A2187" s="12"/>
      <c r="B2187" s="12"/>
      <c r="C2187" s="12"/>
      <c r="D2187" s="3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2"/>
      <c r="W2187" s="12"/>
      <c r="X2187" s="12"/>
      <c r="Y2187" s="12"/>
      <c r="Z2187" s="12"/>
      <c r="AA2187" s="12"/>
      <c r="AB2187" s="12"/>
      <c r="AC2187" s="12"/>
      <c r="AD2187" s="12"/>
    </row>
    <row r="2188" spans="1:30" ht="15.75" thickBot="1" x14ac:dyDescent="0.3">
      <c r="A2188" s="12"/>
      <c r="B2188" s="12"/>
      <c r="C2188" s="12"/>
      <c r="D2188" s="3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2"/>
      <c r="W2188" s="12"/>
      <c r="X2188" s="12"/>
      <c r="Y2188" s="12"/>
      <c r="Z2188" s="12"/>
      <c r="AA2188" s="12"/>
      <c r="AB2188" s="12"/>
      <c r="AC2188" s="12"/>
      <c r="AD2188" s="12"/>
    </row>
    <row r="2189" spans="1:30" ht="15.75" thickBot="1" x14ac:dyDescent="0.3">
      <c r="A2189" s="12"/>
      <c r="B2189" s="12"/>
      <c r="C2189" s="12"/>
      <c r="D2189" s="3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2"/>
      <c r="W2189" s="12"/>
      <c r="X2189" s="12"/>
      <c r="Y2189" s="12"/>
      <c r="Z2189" s="12"/>
      <c r="AA2189" s="12"/>
      <c r="AB2189" s="12"/>
      <c r="AC2189" s="12"/>
      <c r="AD2189" s="12"/>
    </row>
    <row r="2190" spans="1:30" ht="15.75" thickBot="1" x14ac:dyDescent="0.3">
      <c r="A2190" s="12"/>
      <c r="B2190" s="12"/>
      <c r="C2190" s="12"/>
      <c r="D2190" s="3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2"/>
      <c r="W2190" s="12"/>
      <c r="X2190" s="12"/>
      <c r="Y2190" s="12"/>
      <c r="Z2190" s="12"/>
      <c r="AA2190" s="12"/>
      <c r="AB2190" s="12"/>
      <c r="AC2190" s="12"/>
      <c r="AD2190" s="12"/>
    </row>
    <row r="2191" spans="1:30" ht="15.75" thickBot="1" x14ac:dyDescent="0.3">
      <c r="A2191" s="12"/>
      <c r="B2191" s="12"/>
      <c r="C2191" s="12"/>
      <c r="D2191" s="3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2"/>
      <c r="W2191" s="12"/>
      <c r="X2191" s="12"/>
      <c r="Y2191" s="12"/>
      <c r="Z2191" s="12"/>
      <c r="AA2191" s="12"/>
      <c r="AB2191" s="12"/>
      <c r="AC2191" s="12"/>
      <c r="AD2191" s="12"/>
    </row>
    <row r="2192" spans="1:30" ht="15.75" thickBot="1" x14ac:dyDescent="0.3">
      <c r="A2192" s="12"/>
      <c r="B2192" s="12"/>
      <c r="C2192" s="12"/>
      <c r="D2192" s="3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2"/>
      <c r="W2192" s="12"/>
      <c r="X2192" s="12"/>
      <c r="Y2192" s="12"/>
      <c r="Z2192" s="12"/>
      <c r="AA2192" s="12"/>
      <c r="AB2192" s="12"/>
      <c r="AC2192" s="12"/>
      <c r="AD2192" s="12"/>
    </row>
    <row r="2193" spans="1:30" ht="15.75" thickBot="1" x14ac:dyDescent="0.3">
      <c r="A2193" s="12"/>
      <c r="B2193" s="12"/>
      <c r="C2193" s="12"/>
      <c r="D2193" s="3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2"/>
      <c r="W2193" s="12"/>
      <c r="X2193" s="12"/>
      <c r="Y2193" s="12"/>
      <c r="Z2193" s="12"/>
      <c r="AA2193" s="12"/>
      <c r="AB2193" s="12"/>
      <c r="AC2193" s="12"/>
      <c r="AD2193" s="12"/>
    </row>
    <row r="2194" spans="1:30" ht="15.75" thickBot="1" x14ac:dyDescent="0.3">
      <c r="A2194" s="12"/>
      <c r="B2194" s="12"/>
      <c r="C2194" s="12"/>
      <c r="D2194" s="3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2"/>
      <c r="W2194" s="12"/>
      <c r="X2194" s="12"/>
      <c r="Y2194" s="12"/>
      <c r="Z2194" s="12"/>
      <c r="AA2194" s="12"/>
      <c r="AB2194" s="12"/>
      <c r="AC2194" s="12"/>
      <c r="AD2194" s="12"/>
    </row>
    <row r="2195" spans="1:30" ht="15.75" thickBot="1" x14ac:dyDescent="0.3">
      <c r="A2195" s="12"/>
      <c r="B2195" s="12"/>
      <c r="C2195" s="12"/>
      <c r="D2195" s="3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2"/>
      <c r="W2195" s="12"/>
      <c r="X2195" s="12"/>
      <c r="Y2195" s="12"/>
      <c r="Z2195" s="12"/>
      <c r="AA2195" s="12"/>
      <c r="AB2195" s="12"/>
      <c r="AC2195" s="12"/>
      <c r="AD2195" s="12"/>
    </row>
    <row r="2196" spans="1:30" ht="15.75" thickBot="1" x14ac:dyDescent="0.3">
      <c r="A2196" s="12"/>
      <c r="B2196" s="12"/>
      <c r="C2196" s="12"/>
      <c r="D2196" s="3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2"/>
      <c r="W2196" s="12"/>
      <c r="X2196" s="12"/>
      <c r="Y2196" s="12"/>
      <c r="Z2196" s="12"/>
      <c r="AA2196" s="12"/>
      <c r="AB2196" s="12"/>
      <c r="AC2196" s="12"/>
      <c r="AD2196" s="12"/>
    </row>
    <row r="2197" spans="1:30" ht="15.75" thickBot="1" x14ac:dyDescent="0.3">
      <c r="A2197" s="12"/>
      <c r="B2197" s="12"/>
      <c r="C2197" s="12"/>
      <c r="D2197" s="3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2"/>
      <c r="W2197" s="12"/>
      <c r="X2197" s="12"/>
      <c r="Y2197" s="12"/>
      <c r="Z2197" s="12"/>
      <c r="AA2197" s="12"/>
      <c r="AB2197" s="12"/>
      <c r="AC2197" s="12"/>
      <c r="AD2197" s="12"/>
    </row>
    <row r="2198" spans="1:30" ht="15.75" thickBot="1" x14ac:dyDescent="0.3">
      <c r="A2198" s="12"/>
      <c r="B2198" s="12"/>
      <c r="C2198" s="12"/>
      <c r="D2198" s="3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2"/>
      <c r="W2198" s="12"/>
      <c r="X2198" s="12"/>
      <c r="Y2198" s="12"/>
      <c r="Z2198" s="12"/>
      <c r="AA2198" s="12"/>
      <c r="AB2198" s="12"/>
      <c r="AC2198" s="12"/>
      <c r="AD2198" s="12"/>
    </row>
    <row r="2199" spans="1:30" ht="15.75" thickBot="1" x14ac:dyDescent="0.3">
      <c r="A2199" s="12"/>
      <c r="B2199" s="12"/>
      <c r="C2199" s="12"/>
      <c r="D2199" s="3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2"/>
      <c r="W2199" s="12"/>
      <c r="X2199" s="12"/>
      <c r="Y2199" s="12"/>
      <c r="Z2199" s="12"/>
      <c r="AA2199" s="12"/>
      <c r="AB2199" s="12"/>
      <c r="AC2199" s="12"/>
      <c r="AD2199" s="12"/>
    </row>
    <row r="2200" spans="1:30" ht="15.75" thickBot="1" x14ac:dyDescent="0.3">
      <c r="A2200" s="12"/>
      <c r="B2200" s="12"/>
      <c r="C2200" s="12"/>
      <c r="D2200" s="3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2"/>
      <c r="W2200" s="12"/>
      <c r="X2200" s="12"/>
      <c r="Y2200" s="12"/>
      <c r="Z2200" s="12"/>
      <c r="AA2200" s="12"/>
      <c r="AB2200" s="12"/>
      <c r="AC2200" s="12"/>
      <c r="AD2200" s="12"/>
    </row>
    <row r="2201" spans="1:30" ht="15.75" thickBot="1" x14ac:dyDescent="0.3">
      <c r="A2201" s="12"/>
      <c r="B2201" s="12"/>
      <c r="C2201" s="12"/>
      <c r="D2201" s="3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2"/>
      <c r="W2201" s="12"/>
      <c r="X2201" s="12"/>
      <c r="Y2201" s="12"/>
      <c r="Z2201" s="12"/>
      <c r="AA2201" s="12"/>
      <c r="AB2201" s="12"/>
      <c r="AC2201" s="12"/>
      <c r="AD2201" s="12"/>
    </row>
    <row r="2202" spans="1:30" ht="15.75" thickBot="1" x14ac:dyDescent="0.3">
      <c r="A2202" s="12"/>
      <c r="B2202" s="12"/>
      <c r="C2202" s="12"/>
      <c r="D2202" s="3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2"/>
      <c r="W2202" s="12"/>
      <c r="X2202" s="12"/>
      <c r="Y2202" s="12"/>
      <c r="Z2202" s="12"/>
      <c r="AA2202" s="12"/>
      <c r="AB2202" s="12"/>
      <c r="AC2202" s="12"/>
      <c r="AD2202" s="12"/>
    </row>
    <row r="2203" spans="1:30" ht="15.75" thickBot="1" x14ac:dyDescent="0.3">
      <c r="A2203" s="12"/>
      <c r="B2203" s="12"/>
      <c r="C2203" s="12"/>
      <c r="D2203" s="3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2"/>
      <c r="W2203" s="12"/>
      <c r="X2203" s="12"/>
      <c r="Y2203" s="12"/>
      <c r="Z2203" s="12"/>
      <c r="AA2203" s="12"/>
      <c r="AB2203" s="12"/>
      <c r="AC2203" s="12"/>
      <c r="AD2203" s="12"/>
    </row>
    <row r="2204" spans="1:30" ht="15.75" thickBot="1" x14ac:dyDescent="0.3">
      <c r="A2204" s="12"/>
      <c r="B2204" s="12"/>
      <c r="C2204" s="12"/>
      <c r="D2204" s="3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2"/>
      <c r="W2204" s="12"/>
      <c r="X2204" s="12"/>
      <c r="Y2204" s="12"/>
      <c r="Z2204" s="12"/>
      <c r="AA2204" s="12"/>
      <c r="AB2204" s="12"/>
      <c r="AC2204" s="12"/>
      <c r="AD2204" s="12"/>
    </row>
    <row r="2205" spans="1:30" ht="15.75" thickBot="1" x14ac:dyDescent="0.3">
      <c r="A2205" s="12"/>
      <c r="B2205" s="12"/>
      <c r="C2205" s="12"/>
      <c r="D2205" s="3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2"/>
      <c r="W2205" s="12"/>
      <c r="X2205" s="12"/>
      <c r="Y2205" s="12"/>
      <c r="Z2205" s="12"/>
      <c r="AA2205" s="12"/>
      <c r="AB2205" s="12"/>
      <c r="AC2205" s="12"/>
      <c r="AD2205" s="12"/>
    </row>
    <row r="2206" spans="1:30" ht="15.75" thickBot="1" x14ac:dyDescent="0.3">
      <c r="A2206" s="12"/>
      <c r="B2206" s="12"/>
      <c r="C2206" s="12"/>
      <c r="D2206" s="3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2"/>
      <c r="W2206" s="12"/>
      <c r="X2206" s="12"/>
      <c r="Y2206" s="12"/>
      <c r="Z2206" s="12"/>
      <c r="AA2206" s="12"/>
      <c r="AB2206" s="12"/>
      <c r="AC2206" s="12"/>
      <c r="AD2206" s="12"/>
    </row>
    <row r="2207" spans="1:30" ht="15.75" thickBot="1" x14ac:dyDescent="0.3">
      <c r="A2207" s="12"/>
      <c r="B2207" s="12"/>
      <c r="C2207" s="12"/>
      <c r="D2207" s="3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2"/>
      <c r="W2207" s="12"/>
      <c r="X2207" s="12"/>
      <c r="Y2207" s="12"/>
      <c r="Z2207" s="12"/>
      <c r="AA2207" s="12"/>
      <c r="AB2207" s="12"/>
      <c r="AC2207" s="12"/>
      <c r="AD2207" s="12"/>
    </row>
    <row r="2208" spans="1:30" ht="15.75" thickBot="1" x14ac:dyDescent="0.3">
      <c r="A2208" s="12"/>
      <c r="B2208" s="12"/>
      <c r="C2208" s="12"/>
      <c r="D2208" s="3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2"/>
      <c r="W2208" s="12"/>
      <c r="X2208" s="12"/>
      <c r="Y2208" s="12"/>
      <c r="Z2208" s="12"/>
      <c r="AA2208" s="12"/>
      <c r="AB2208" s="12"/>
      <c r="AC2208" s="12"/>
      <c r="AD2208" s="12"/>
    </row>
    <row r="2209" spans="1:30" ht="15.75" thickBot="1" x14ac:dyDescent="0.3">
      <c r="A2209" s="12"/>
      <c r="B2209" s="12"/>
      <c r="C2209" s="12"/>
      <c r="D2209" s="3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2"/>
      <c r="W2209" s="12"/>
      <c r="X2209" s="12"/>
      <c r="Y2209" s="12"/>
      <c r="Z2209" s="12"/>
      <c r="AA2209" s="12"/>
      <c r="AB2209" s="12"/>
      <c r="AC2209" s="12"/>
      <c r="AD2209" s="12"/>
    </row>
    <row r="2210" spans="1:30" ht="15.75" thickBot="1" x14ac:dyDescent="0.3">
      <c r="A2210" s="12"/>
      <c r="B2210" s="12"/>
      <c r="C2210" s="12"/>
      <c r="D2210" s="3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2"/>
      <c r="W2210" s="12"/>
      <c r="X2210" s="12"/>
      <c r="Y2210" s="12"/>
      <c r="Z2210" s="12"/>
      <c r="AA2210" s="12"/>
      <c r="AB2210" s="12"/>
      <c r="AC2210" s="12"/>
      <c r="AD2210" s="12"/>
    </row>
    <row r="2211" spans="1:30" ht="15.75" thickBot="1" x14ac:dyDescent="0.3">
      <c r="A2211" s="12"/>
      <c r="B2211" s="12"/>
      <c r="C2211" s="12"/>
      <c r="D2211" s="3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2"/>
      <c r="W2211" s="12"/>
      <c r="X2211" s="12"/>
      <c r="Y2211" s="12"/>
      <c r="Z2211" s="12"/>
      <c r="AA2211" s="12"/>
      <c r="AB2211" s="12"/>
      <c r="AC2211" s="12"/>
      <c r="AD2211" s="12"/>
    </row>
    <row r="2212" spans="1:30" ht="15.75" thickBot="1" x14ac:dyDescent="0.3">
      <c r="A2212" s="12"/>
      <c r="B2212" s="12"/>
      <c r="C2212" s="12"/>
      <c r="D2212" s="3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2"/>
      <c r="W2212" s="12"/>
      <c r="X2212" s="12"/>
      <c r="Y2212" s="12"/>
      <c r="Z2212" s="12"/>
      <c r="AA2212" s="12"/>
      <c r="AB2212" s="12"/>
      <c r="AC2212" s="12"/>
      <c r="AD2212" s="12"/>
    </row>
    <row r="2213" spans="1:30" ht="15.75" thickBot="1" x14ac:dyDescent="0.3">
      <c r="A2213" s="12"/>
      <c r="B2213" s="12"/>
      <c r="C2213" s="12"/>
      <c r="D2213" s="3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2"/>
      <c r="W2213" s="12"/>
      <c r="X2213" s="12"/>
      <c r="Y2213" s="12"/>
      <c r="Z2213" s="12"/>
      <c r="AA2213" s="12"/>
      <c r="AB2213" s="12"/>
      <c r="AC2213" s="12"/>
      <c r="AD2213" s="12"/>
    </row>
    <row r="2214" spans="1:30" ht="15.75" thickBot="1" x14ac:dyDescent="0.3">
      <c r="A2214" s="12"/>
      <c r="B2214" s="12"/>
      <c r="C2214" s="12"/>
      <c r="D2214" s="3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2"/>
      <c r="W2214" s="12"/>
      <c r="X2214" s="12"/>
      <c r="Y2214" s="12"/>
      <c r="Z2214" s="12"/>
      <c r="AA2214" s="12"/>
      <c r="AB2214" s="12"/>
      <c r="AC2214" s="12"/>
      <c r="AD2214" s="12"/>
    </row>
    <row r="2215" spans="1:30" ht="15.75" thickBot="1" x14ac:dyDescent="0.3">
      <c r="A2215" s="12"/>
      <c r="B2215" s="12"/>
      <c r="C2215" s="12"/>
      <c r="D2215" s="3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2"/>
      <c r="W2215" s="12"/>
      <c r="X2215" s="12"/>
      <c r="Y2215" s="12"/>
      <c r="Z2215" s="12"/>
      <c r="AA2215" s="12"/>
      <c r="AB2215" s="12"/>
      <c r="AC2215" s="12"/>
      <c r="AD2215" s="12"/>
    </row>
    <row r="2216" spans="1:30" ht="15.75" thickBot="1" x14ac:dyDescent="0.3">
      <c r="A2216" s="12"/>
      <c r="B2216" s="12"/>
      <c r="C2216" s="12"/>
      <c r="D2216" s="3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2"/>
      <c r="W2216" s="12"/>
      <c r="X2216" s="12"/>
      <c r="Y2216" s="12"/>
      <c r="Z2216" s="12"/>
      <c r="AA2216" s="12"/>
      <c r="AB2216" s="12"/>
      <c r="AC2216" s="12"/>
      <c r="AD2216" s="12"/>
    </row>
    <row r="2217" spans="1:30" ht="15.75" thickBot="1" x14ac:dyDescent="0.3">
      <c r="A2217" s="12"/>
      <c r="B2217" s="12"/>
      <c r="C2217" s="12"/>
      <c r="D2217" s="3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2"/>
      <c r="W2217" s="12"/>
      <c r="X2217" s="12"/>
      <c r="Y2217" s="12"/>
      <c r="Z2217" s="12"/>
      <c r="AA2217" s="12"/>
      <c r="AB2217" s="12"/>
      <c r="AC2217" s="12"/>
      <c r="AD2217" s="12"/>
    </row>
    <row r="2218" spans="1:30" ht="15.75" thickBot="1" x14ac:dyDescent="0.3">
      <c r="A2218" s="12"/>
      <c r="B2218" s="12"/>
      <c r="C2218" s="12"/>
      <c r="D2218" s="3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2"/>
      <c r="W2218" s="12"/>
      <c r="X2218" s="12"/>
      <c r="Y2218" s="12"/>
      <c r="Z2218" s="12"/>
      <c r="AA2218" s="12"/>
      <c r="AB2218" s="12"/>
      <c r="AC2218" s="12"/>
      <c r="AD2218" s="12"/>
    </row>
    <row r="2219" spans="1:30" ht="15.75" thickBot="1" x14ac:dyDescent="0.3">
      <c r="A2219" s="12"/>
      <c r="B2219" s="12"/>
      <c r="C2219" s="12"/>
      <c r="D2219" s="3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2"/>
      <c r="W2219" s="12"/>
      <c r="X2219" s="12"/>
      <c r="Y2219" s="12"/>
      <c r="Z2219" s="12"/>
      <c r="AA2219" s="12"/>
      <c r="AB2219" s="12"/>
      <c r="AC2219" s="12"/>
      <c r="AD2219" s="12"/>
    </row>
    <row r="2220" spans="1:30" ht="15.75" thickBot="1" x14ac:dyDescent="0.3">
      <c r="A2220" s="12"/>
      <c r="B2220" s="12"/>
      <c r="C2220" s="12"/>
      <c r="D2220" s="3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2"/>
      <c r="W2220" s="12"/>
      <c r="X2220" s="12"/>
      <c r="Y2220" s="12"/>
      <c r="Z2220" s="12"/>
      <c r="AA2220" s="12"/>
      <c r="AB2220" s="12"/>
      <c r="AC2220" s="12"/>
      <c r="AD2220" s="12"/>
    </row>
    <row r="2221" spans="1:30" ht="15.75" thickBot="1" x14ac:dyDescent="0.3">
      <c r="A2221" s="12"/>
      <c r="B2221" s="12"/>
      <c r="C2221" s="12"/>
      <c r="D2221" s="3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2"/>
      <c r="W2221" s="12"/>
      <c r="X2221" s="12"/>
      <c r="Y2221" s="12"/>
      <c r="Z2221" s="12"/>
      <c r="AA2221" s="12"/>
      <c r="AB2221" s="12"/>
      <c r="AC2221" s="12"/>
      <c r="AD2221" s="12"/>
    </row>
    <row r="2222" spans="1:30" ht="15.75" thickBot="1" x14ac:dyDescent="0.3">
      <c r="A2222" s="12"/>
      <c r="B2222" s="12"/>
      <c r="C2222" s="12"/>
      <c r="D2222" s="3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2"/>
      <c r="W2222" s="12"/>
      <c r="X2222" s="12"/>
      <c r="Y2222" s="12"/>
      <c r="Z2222" s="12"/>
      <c r="AA2222" s="12"/>
      <c r="AB2222" s="12"/>
      <c r="AC2222" s="12"/>
      <c r="AD2222" s="12"/>
    </row>
    <row r="2223" spans="1:30" ht="15.75" thickBot="1" x14ac:dyDescent="0.3">
      <c r="A2223" s="12"/>
      <c r="B2223" s="12"/>
      <c r="C2223" s="12"/>
      <c r="D2223" s="3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2"/>
      <c r="W2223" s="12"/>
      <c r="X2223" s="12"/>
      <c r="Y2223" s="12"/>
      <c r="Z2223" s="12"/>
      <c r="AA2223" s="12"/>
      <c r="AB2223" s="12"/>
      <c r="AC2223" s="12"/>
      <c r="AD2223" s="12"/>
    </row>
    <row r="2224" spans="1:30" ht="15.75" thickBot="1" x14ac:dyDescent="0.3">
      <c r="A2224" s="12"/>
      <c r="B2224" s="12"/>
      <c r="C2224" s="12"/>
      <c r="D2224" s="3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2"/>
      <c r="W2224" s="12"/>
      <c r="X2224" s="12"/>
      <c r="Y2224" s="12"/>
      <c r="Z2224" s="12"/>
      <c r="AA2224" s="12"/>
      <c r="AB2224" s="12"/>
      <c r="AC2224" s="12"/>
      <c r="AD2224" s="12"/>
    </row>
    <row r="2225" spans="1:30" ht="15.75" thickBot="1" x14ac:dyDescent="0.3">
      <c r="A2225" s="12"/>
      <c r="B2225" s="12"/>
      <c r="C2225" s="12"/>
      <c r="D2225" s="3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2"/>
      <c r="W2225" s="12"/>
      <c r="X2225" s="12"/>
      <c r="Y2225" s="12"/>
      <c r="Z2225" s="12"/>
      <c r="AA2225" s="12"/>
      <c r="AB2225" s="12"/>
      <c r="AC2225" s="12"/>
      <c r="AD2225" s="12"/>
    </row>
    <row r="2226" spans="1:30" ht="15.75" thickBot="1" x14ac:dyDescent="0.3">
      <c r="A2226" s="12"/>
      <c r="B2226" s="12"/>
      <c r="C2226" s="12"/>
      <c r="D2226" s="3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2"/>
      <c r="W2226" s="12"/>
      <c r="X2226" s="12"/>
      <c r="Y2226" s="12"/>
      <c r="Z2226" s="12"/>
      <c r="AA2226" s="12"/>
      <c r="AB2226" s="12"/>
      <c r="AC2226" s="12"/>
      <c r="AD2226" s="12"/>
    </row>
    <row r="2227" spans="1:30" ht="15.75" thickBot="1" x14ac:dyDescent="0.3">
      <c r="A2227" s="12"/>
      <c r="B2227" s="12"/>
      <c r="C2227" s="12"/>
      <c r="D2227" s="3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2"/>
      <c r="W2227" s="12"/>
      <c r="X2227" s="12"/>
      <c r="Y2227" s="12"/>
      <c r="Z2227" s="12"/>
      <c r="AA2227" s="12"/>
      <c r="AB2227" s="12"/>
      <c r="AC2227" s="12"/>
      <c r="AD2227" s="12"/>
    </row>
    <row r="2228" spans="1:30" ht="15.75" thickBot="1" x14ac:dyDescent="0.3">
      <c r="A2228" s="12"/>
      <c r="B2228" s="12"/>
      <c r="C2228" s="12"/>
      <c r="D2228" s="3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2"/>
      <c r="W2228" s="12"/>
      <c r="X2228" s="12"/>
      <c r="Y2228" s="12"/>
      <c r="Z2228" s="12"/>
      <c r="AA2228" s="12"/>
      <c r="AB2228" s="12"/>
      <c r="AC2228" s="12"/>
      <c r="AD2228" s="12"/>
    </row>
    <row r="2229" spans="1:30" ht="15.75" thickBot="1" x14ac:dyDescent="0.3">
      <c r="A2229" s="12"/>
      <c r="B2229" s="12"/>
      <c r="C2229" s="12"/>
      <c r="D2229" s="3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2"/>
      <c r="W2229" s="12"/>
      <c r="X2229" s="12"/>
      <c r="Y2229" s="12"/>
      <c r="Z2229" s="12"/>
      <c r="AA2229" s="12"/>
      <c r="AB2229" s="12"/>
      <c r="AC2229" s="12"/>
      <c r="AD2229" s="12"/>
    </row>
    <row r="2230" spans="1:30" ht="15.75" thickBot="1" x14ac:dyDescent="0.3">
      <c r="A2230" s="12"/>
      <c r="B2230" s="12"/>
      <c r="C2230" s="12"/>
      <c r="D2230" s="3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2"/>
      <c r="W2230" s="12"/>
      <c r="X2230" s="12"/>
      <c r="Y2230" s="12"/>
      <c r="Z2230" s="12"/>
      <c r="AA2230" s="12"/>
      <c r="AB2230" s="12"/>
      <c r="AC2230" s="12"/>
      <c r="AD2230" s="12"/>
    </row>
    <row r="2231" spans="1:30" ht="15.75" thickBot="1" x14ac:dyDescent="0.3">
      <c r="A2231" s="12"/>
      <c r="B2231" s="12"/>
      <c r="C2231" s="12"/>
      <c r="D2231" s="3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2"/>
      <c r="W2231" s="12"/>
      <c r="X2231" s="12"/>
      <c r="Y2231" s="12"/>
      <c r="Z2231" s="12"/>
      <c r="AA2231" s="12"/>
      <c r="AB2231" s="12"/>
      <c r="AC2231" s="12"/>
      <c r="AD2231" s="12"/>
    </row>
    <row r="2232" spans="1:30" ht="15.75" thickBot="1" x14ac:dyDescent="0.3">
      <c r="A2232" s="12"/>
      <c r="B2232" s="12"/>
      <c r="C2232" s="12"/>
      <c r="D2232" s="3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2"/>
      <c r="W2232" s="12"/>
      <c r="X2232" s="12"/>
      <c r="Y2232" s="12"/>
      <c r="Z2232" s="12"/>
      <c r="AA2232" s="12"/>
      <c r="AB2232" s="12"/>
      <c r="AC2232" s="12"/>
      <c r="AD2232" s="12"/>
    </row>
    <row r="2233" spans="1:30" ht="15.75" thickBot="1" x14ac:dyDescent="0.3">
      <c r="A2233" s="12"/>
      <c r="B2233" s="12"/>
      <c r="C2233" s="12"/>
      <c r="D2233" s="3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2"/>
      <c r="W2233" s="12"/>
      <c r="X2233" s="12"/>
      <c r="Y2233" s="12"/>
      <c r="Z2233" s="12"/>
      <c r="AA2233" s="12"/>
      <c r="AB2233" s="12"/>
      <c r="AC2233" s="12"/>
      <c r="AD2233" s="12"/>
    </row>
    <row r="2234" spans="1:30" ht="15.75" thickBot="1" x14ac:dyDescent="0.3">
      <c r="A2234" s="12"/>
      <c r="B2234" s="12"/>
      <c r="C2234" s="12"/>
      <c r="D2234" s="3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2"/>
      <c r="W2234" s="12"/>
      <c r="X2234" s="12"/>
      <c r="Y2234" s="12"/>
      <c r="Z2234" s="12"/>
      <c r="AA2234" s="12"/>
      <c r="AB2234" s="12"/>
      <c r="AC2234" s="12"/>
      <c r="AD2234" s="12"/>
    </row>
    <row r="2235" spans="1:30" ht="15.75" thickBot="1" x14ac:dyDescent="0.3">
      <c r="A2235" s="12"/>
      <c r="B2235" s="12"/>
      <c r="C2235" s="12"/>
      <c r="D2235" s="3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2"/>
      <c r="W2235" s="12"/>
      <c r="X2235" s="12"/>
      <c r="Y2235" s="12"/>
      <c r="Z2235" s="12"/>
      <c r="AA2235" s="12"/>
      <c r="AB2235" s="12"/>
      <c r="AC2235" s="12"/>
      <c r="AD2235" s="12"/>
    </row>
    <row r="2236" spans="1:30" ht="15.75" thickBot="1" x14ac:dyDescent="0.3">
      <c r="A2236" s="12"/>
      <c r="B2236" s="12"/>
      <c r="C2236" s="12"/>
      <c r="D2236" s="3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2"/>
      <c r="W2236" s="12"/>
      <c r="X2236" s="12"/>
      <c r="Y2236" s="12"/>
      <c r="Z2236" s="12"/>
      <c r="AA2236" s="12"/>
      <c r="AB2236" s="12"/>
      <c r="AC2236" s="12"/>
      <c r="AD2236" s="12"/>
    </row>
    <row r="2237" spans="1:30" ht="15.75" thickBot="1" x14ac:dyDescent="0.3">
      <c r="A2237" s="12"/>
      <c r="B2237" s="12"/>
      <c r="C2237" s="12"/>
      <c r="D2237" s="3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2"/>
      <c r="W2237" s="12"/>
      <c r="X2237" s="12"/>
      <c r="Y2237" s="12"/>
      <c r="Z2237" s="12"/>
      <c r="AA2237" s="12"/>
      <c r="AB2237" s="12"/>
      <c r="AC2237" s="12"/>
      <c r="AD2237" s="12"/>
    </row>
    <row r="2238" spans="1:30" ht="15.75" thickBot="1" x14ac:dyDescent="0.3">
      <c r="A2238" s="12"/>
      <c r="B2238" s="12"/>
      <c r="C2238" s="12"/>
      <c r="D2238" s="3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2"/>
      <c r="W2238" s="12"/>
      <c r="X2238" s="12"/>
      <c r="Y2238" s="12"/>
      <c r="Z2238" s="12"/>
      <c r="AA2238" s="12"/>
      <c r="AB2238" s="12"/>
      <c r="AC2238" s="12"/>
      <c r="AD2238" s="12"/>
    </row>
    <row r="2239" spans="1:30" ht="15.75" thickBot="1" x14ac:dyDescent="0.3">
      <c r="A2239" s="12"/>
      <c r="B2239" s="12"/>
      <c r="C2239" s="12"/>
      <c r="D2239" s="3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2"/>
      <c r="W2239" s="12"/>
      <c r="X2239" s="12"/>
      <c r="Y2239" s="12"/>
      <c r="Z2239" s="12"/>
      <c r="AA2239" s="12"/>
      <c r="AB2239" s="12"/>
      <c r="AC2239" s="12"/>
      <c r="AD2239" s="12"/>
    </row>
    <row r="2240" spans="1:30" ht="15.75" thickBot="1" x14ac:dyDescent="0.3">
      <c r="A2240" s="12"/>
      <c r="B2240" s="12"/>
      <c r="C2240" s="12"/>
      <c r="D2240" s="3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2"/>
      <c r="W2240" s="12"/>
      <c r="X2240" s="12"/>
      <c r="Y2240" s="12"/>
      <c r="Z2240" s="12"/>
      <c r="AA2240" s="12"/>
      <c r="AB2240" s="12"/>
      <c r="AC2240" s="12"/>
      <c r="AD2240" s="12"/>
    </row>
    <row r="2241" spans="1:30" ht="15.75" thickBot="1" x14ac:dyDescent="0.3">
      <c r="A2241" s="12"/>
      <c r="B2241" s="12"/>
      <c r="C2241" s="12"/>
      <c r="D2241" s="3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2"/>
      <c r="W2241" s="12"/>
      <c r="X2241" s="12"/>
      <c r="Y2241" s="12"/>
      <c r="Z2241" s="12"/>
      <c r="AA2241" s="12"/>
      <c r="AB2241" s="12"/>
      <c r="AC2241" s="12"/>
      <c r="AD2241" s="12"/>
    </row>
    <row r="2242" spans="1:30" ht="15.75" thickBot="1" x14ac:dyDescent="0.3">
      <c r="A2242" s="12"/>
      <c r="B2242" s="12"/>
      <c r="C2242" s="12"/>
      <c r="D2242" s="3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2"/>
      <c r="W2242" s="12"/>
      <c r="X2242" s="12"/>
      <c r="Y2242" s="12"/>
      <c r="Z2242" s="12"/>
      <c r="AA2242" s="12"/>
      <c r="AB2242" s="12"/>
      <c r="AC2242" s="12"/>
      <c r="AD2242" s="12"/>
    </row>
    <row r="2243" spans="1:30" ht="15.75" thickBot="1" x14ac:dyDescent="0.3">
      <c r="A2243" s="12"/>
      <c r="B2243" s="12"/>
      <c r="C2243" s="12"/>
      <c r="D2243" s="3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2"/>
      <c r="W2243" s="12"/>
      <c r="X2243" s="12"/>
      <c r="Y2243" s="12"/>
      <c r="Z2243" s="12"/>
      <c r="AA2243" s="12"/>
      <c r="AB2243" s="12"/>
      <c r="AC2243" s="12"/>
      <c r="AD2243" s="12"/>
    </row>
    <row r="2244" spans="1:30" ht="15.75" thickBot="1" x14ac:dyDescent="0.3">
      <c r="A2244" s="12"/>
      <c r="B2244" s="12"/>
      <c r="C2244" s="12"/>
      <c r="D2244" s="3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2"/>
      <c r="W2244" s="12"/>
      <c r="X2244" s="12"/>
      <c r="Y2244" s="12"/>
      <c r="Z2244" s="12"/>
      <c r="AA2244" s="12"/>
      <c r="AB2244" s="12"/>
      <c r="AC2244" s="12"/>
      <c r="AD2244" s="12"/>
    </row>
    <row r="2245" spans="1:30" ht="15.75" thickBot="1" x14ac:dyDescent="0.3">
      <c r="A2245" s="12"/>
      <c r="B2245" s="12"/>
      <c r="C2245" s="12"/>
      <c r="D2245" s="3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2"/>
      <c r="W2245" s="12"/>
      <c r="X2245" s="12"/>
      <c r="Y2245" s="12"/>
      <c r="Z2245" s="12"/>
      <c r="AA2245" s="12"/>
      <c r="AB2245" s="12"/>
      <c r="AC2245" s="12"/>
      <c r="AD2245" s="12"/>
    </row>
    <row r="2246" spans="1:30" ht="15.75" thickBot="1" x14ac:dyDescent="0.3">
      <c r="A2246" s="12"/>
      <c r="B2246" s="12"/>
      <c r="C2246" s="12"/>
      <c r="D2246" s="3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2"/>
      <c r="W2246" s="12"/>
      <c r="X2246" s="12"/>
      <c r="Y2246" s="12"/>
      <c r="Z2246" s="12"/>
      <c r="AA2246" s="12"/>
      <c r="AB2246" s="12"/>
      <c r="AC2246" s="12"/>
      <c r="AD2246" s="12"/>
    </row>
    <row r="2247" spans="1:30" ht="15.75" thickBot="1" x14ac:dyDescent="0.3">
      <c r="A2247" s="12"/>
      <c r="B2247" s="12"/>
      <c r="C2247" s="12"/>
      <c r="D2247" s="3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2"/>
      <c r="W2247" s="12"/>
      <c r="X2247" s="12"/>
      <c r="Y2247" s="12"/>
      <c r="Z2247" s="12"/>
      <c r="AA2247" s="12"/>
      <c r="AB2247" s="12"/>
      <c r="AC2247" s="12"/>
      <c r="AD2247" s="12"/>
    </row>
    <row r="2248" spans="1:30" ht="15.75" thickBot="1" x14ac:dyDescent="0.3">
      <c r="A2248" s="12"/>
      <c r="B2248" s="12"/>
      <c r="C2248" s="12"/>
      <c r="D2248" s="3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2"/>
      <c r="W2248" s="12"/>
      <c r="X2248" s="12"/>
      <c r="Y2248" s="12"/>
      <c r="Z2248" s="12"/>
      <c r="AA2248" s="12"/>
      <c r="AB2248" s="12"/>
      <c r="AC2248" s="12"/>
      <c r="AD2248" s="12"/>
    </row>
    <row r="2249" spans="1:30" ht="15.75" thickBot="1" x14ac:dyDescent="0.3">
      <c r="A2249" s="12"/>
      <c r="B2249" s="12"/>
      <c r="C2249" s="12"/>
      <c r="D2249" s="3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2"/>
      <c r="W2249" s="12"/>
      <c r="X2249" s="12"/>
      <c r="Y2249" s="12"/>
      <c r="Z2249" s="12"/>
      <c r="AA2249" s="12"/>
      <c r="AB2249" s="12"/>
      <c r="AC2249" s="12"/>
      <c r="AD2249" s="12"/>
    </row>
    <row r="2250" spans="1:30" ht="15.75" thickBot="1" x14ac:dyDescent="0.3">
      <c r="A2250" s="12"/>
      <c r="B2250" s="12"/>
      <c r="C2250" s="12"/>
      <c r="D2250" s="3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2"/>
      <c r="W2250" s="12"/>
      <c r="X2250" s="12"/>
      <c r="Y2250" s="12"/>
      <c r="Z2250" s="12"/>
      <c r="AA2250" s="12"/>
      <c r="AB2250" s="12"/>
      <c r="AC2250" s="12"/>
      <c r="AD2250" s="12"/>
    </row>
    <row r="2251" spans="1:30" ht="15.75" thickBot="1" x14ac:dyDescent="0.3">
      <c r="A2251" s="12"/>
      <c r="B2251" s="12"/>
      <c r="C2251" s="12"/>
      <c r="D2251" s="3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2"/>
      <c r="W2251" s="12"/>
      <c r="X2251" s="12"/>
      <c r="Y2251" s="12"/>
      <c r="Z2251" s="12"/>
      <c r="AA2251" s="12"/>
      <c r="AB2251" s="12"/>
      <c r="AC2251" s="12"/>
      <c r="AD2251" s="12"/>
    </row>
    <row r="2252" spans="1:30" ht="15.75" thickBot="1" x14ac:dyDescent="0.3">
      <c r="A2252" s="12"/>
      <c r="B2252" s="12"/>
      <c r="C2252" s="12"/>
      <c r="D2252" s="3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2"/>
      <c r="W2252" s="12"/>
      <c r="X2252" s="12"/>
      <c r="Y2252" s="12"/>
      <c r="Z2252" s="12"/>
      <c r="AA2252" s="12"/>
      <c r="AB2252" s="12"/>
      <c r="AC2252" s="12"/>
      <c r="AD2252" s="12"/>
    </row>
    <row r="2253" spans="1:30" ht="15.75" thickBot="1" x14ac:dyDescent="0.3">
      <c r="A2253" s="12"/>
      <c r="B2253" s="12"/>
      <c r="C2253" s="12"/>
      <c r="D2253" s="3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2"/>
      <c r="W2253" s="12"/>
      <c r="X2253" s="12"/>
      <c r="Y2253" s="12"/>
      <c r="Z2253" s="12"/>
      <c r="AA2253" s="12"/>
      <c r="AB2253" s="12"/>
      <c r="AC2253" s="12"/>
      <c r="AD2253" s="12"/>
    </row>
    <row r="2254" spans="1:30" ht="15.75" thickBot="1" x14ac:dyDescent="0.3">
      <c r="A2254" s="12"/>
      <c r="B2254" s="12"/>
      <c r="C2254" s="12"/>
      <c r="D2254" s="3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2"/>
      <c r="W2254" s="12"/>
      <c r="X2254" s="12"/>
      <c r="Y2254" s="12"/>
      <c r="Z2254" s="12"/>
      <c r="AA2254" s="12"/>
      <c r="AB2254" s="12"/>
      <c r="AC2254" s="12"/>
      <c r="AD2254" s="12"/>
    </row>
    <row r="2255" spans="1:30" ht="15.75" thickBot="1" x14ac:dyDescent="0.3">
      <c r="A2255" s="12"/>
      <c r="B2255" s="12"/>
      <c r="C2255" s="12"/>
      <c r="D2255" s="3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2"/>
      <c r="W2255" s="12"/>
      <c r="X2255" s="12"/>
      <c r="Y2255" s="12"/>
      <c r="Z2255" s="12"/>
      <c r="AA2255" s="12"/>
      <c r="AB2255" s="12"/>
      <c r="AC2255" s="12"/>
      <c r="AD2255" s="12"/>
    </row>
    <row r="2256" spans="1:30" ht="15.75" thickBot="1" x14ac:dyDescent="0.3">
      <c r="A2256" s="12"/>
      <c r="B2256" s="12"/>
      <c r="C2256" s="12"/>
      <c r="D2256" s="3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2"/>
      <c r="W2256" s="12"/>
      <c r="X2256" s="12"/>
      <c r="Y2256" s="12"/>
      <c r="Z2256" s="12"/>
      <c r="AA2256" s="12"/>
      <c r="AB2256" s="12"/>
      <c r="AC2256" s="12"/>
      <c r="AD2256" s="12"/>
    </row>
    <row r="2257" spans="1:30" ht="15.75" thickBot="1" x14ac:dyDescent="0.3">
      <c r="A2257" s="12"/>
      <c r="B2257" s="12"/>
      <c r="C2257" s="12"/>
      <c r="D2257" s="3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2"/>
      <c r="W2257" s="12"/>
      <c r="X2257" s="12"/>
      <c r="Y2257" s="12"/>
      <c r="Z2257" s="12"/>
      <c r="AA2257" s="12"/>
      <c r="AB2257" s="12"/>
      <c r="AC2257" s="12"/>
      <c r="AD2257" s="12"/>
    </row>
    <row r="2258" spans="1:30" ht="15.75" thickBot="1" x14ac:dyDescent="0.3">
      <c r="A2258" s="12"/>
      <c r="B2258" s="12"/>
      <c r="C2258" s="12"/>
      <c r="D2258" s="3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2"/>
      <c r="W2258" s="12"/>
      <c r="X2258" s="12"/>
      <c r="Y2258" s="12"/>
      <c r="Z2258" s="12"/>
      <c r="AA2258" s="12"/>
      <c r="AB2258" s="12"/>
      <c r="AC2258" s="12"/>
      <c r="AD2258" s="12"/>
    </row>
    <row r="2259" spans="1:30" ht="15.75" thickBot="1" x14ac:dyDescent="0.3">
      <c r="A2259" s="12"/>
      <c r="B2259" s="12"/>
      <c r="C2259" s="12"/>
      <c r="D2259" s="3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2"/>
      <c r="W2259" s="12"/>
      <c r="X2259" s="12"/>
      <c r="Y2259" s="12"/>
      <c r="Z2259" s="12"/>
      <c r="AA2259" s="12"/>
      <c r="AB2259" s="12"/>
      <c r="AC2259" s="12"/>
      <c r="AD2259" s="12"/>
    </row>
    <row r="2260" spans="1:30" ht="15.75" thickBot="1" x14ac:dyDescent="0.3">
      <c r="A2260" s="12"/>
      <c r="B2260" s="12"/>
      <c r="C2260" s="12"/>
      <c r="D2260" s="3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2"/>
      <c r="W2260" s="12"/>
      <c r="X2260" s="12"/>
      <c r="Y2260" s="12"/>
      <c r="Z2260" s="12"/>
      <c r="AA2260" s="12"/>
      <c r="AB2260" s="12"/>
      <c r="AC2260" s="12"/>
      <c r="AD2260" s="12"/>
    </row>
    <row r="2261" spans="1:30" ht="15.75" thickBot="1" x14ac:dyDescent="0.3">
      <c r="A2261" s="12"/>
      <c r="B2261" s="12"/>
      <c r="C2261" s="12"/>
      <c r="D2261" s="3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2"/>
      <c r="W2261" s="12"/>
      <c r="X2261" s="12"/>
      <c r="Y2261" s="12"/>
      <c r="Z2261" s="12"/>
      <c r="AA2261" s="12"/>
      <c r="AB2261" s="12"/>
      <c r="AC2261" s="12"/>
      <c r="AD2261" s="12"/>
    </row>
    <row r="2262" spans="1:30" ht="15.75" thickBot="1" x14ac:dyDescent="0.3">
      <c r="A2262" s="12"/>
      <c r="B2262" s="12"/>
      <c r="C2262" s="12"/>
      <c r="D2262" s="3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2"/>
      <c r="W2262" s="12"/>
      <c r="X2262" s="12"/>
      <c r="Y2262" s="12"/>
      <c r="Z2262" s="12"/>
      <c r="AA2262" s="12"/>
      <c r="AB2262" s="12"/>
      <c r="AC2262" s="12"/>
      <c r="AD2262" s="12"/>
    </row>
    <row r="2263" spans="1:30" ht="15.75" thickBot="1" x14ac:dyDescent="0.3">
      <c r="A2263" s="12"/>
      <c r="B2263" s="12"/>
      <c r="C2263" s="12"/>
      <c r="D2263" s="3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2"/>
      <c r="W2263" s="12"/>
      <c r="X2263" s="12"/>
      <c r="Y2263" s="12"/>
      <c r="Z2263" s="12"/>
      <c r="AA2263" s="12"/>
      <c r="AB2263" s="12"/>
      <c r="AC2263" s="12"/>
      <c r="AD2263" s="12"/>
    </row>
    <row r="2264" spans="1:30" ht="15.75" thickBot="1" x14ac:dyDescent="0.3">
      <c r="A2264" s="12"/>
      <c r="B2264" s="12"/>
      <c r="C2264" s="12"/>
      <c r="D2264" s="3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2"/>
      <c r="W2264" s="12"/>
      <c r="X2264" s="12"/>
      <c r="Y2264" s="12"/>
      <c r="Z2264" s="12"/>
      <c r="AA2264" s="12"/>
      <c r="AB2264" s="12"/>
      <c r="AC2264" s="12"/>
      <c r="AD2264" s="12"/>
    </row>
    <row r="2265" spans="1:30" ht="15.75" thickBot="1" x14ac:dyDescent="0.3">
      <c r="A2265" s="12"/>
      <c r="B2265" s="12"/>
      <c r="C2265" s="12"/>
      <c r="D2265" s="3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2"/>
      <c r="W2265" s="12"/>
      <c r="X2265" s="12"/>
      <c r="Y2265" s="12"/>
      <c r="Z2265" s="12"/>
      <c r="AA2265" s="12"/>
      <c r="AB2265" s="12"/>
      <c r="AC2265" s="12"/>
      <c r="AD2265" s="12"/>
    </row>
    <row r="2266" spans="1:30" ht="15.75" thickBot="1" x14ac:dyDescent="0.3">
      <c r="A2266" s="12"/>
      <c r="B2266" s="12"/>
      <c r="C2266" s="12"/>
      <c r="D2266" s="3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2"/>
      <c r="W2266" s="12"/>
      <c r="X2266" s="12"/>
      <c r="Y2266" s="12"/>
      <c r="Z2266" s="12"/>
      <c r="AA2266" s="12"/>
      <c r="AB2266" s="12"/>
      <c r="AC2266" s="12"/>
      <c r="AD2266" s="12"/>
    </row>
    <row r="2267" spans="1:30" ht="15.75" thickBot="1" x14ac:dyDescent="0.3">
      <c r="A2267" s="12"/>
      <c r="B2267" s="12"/>
      <c r="C2267" s="12"/>
      <c r="D2267" s="3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2"/>
      <c r="W2267" s="12"/>
      <c r="X2267" s="12"/>
      <c r="Y2267" s="12"/>
      <c r="Z2267" s="12"/>
      <c r="AA2267" s="12"/>
      <c r="AB2267" s="12"/>
      <c r="AC2267" s="12"/>
      <c r="AD2267" s="12"/>
    </row>
    <row r="2268" spans="1:30" ht="15.75" thickBot="1" x14ac:dyDescent="0.3">
      <c r="A2268" s="12"/>
      <c r="B2268" s="12"/>
      <c r="C2268" s="12"/>
      <c r="D2268" s="3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2"/>
      <c r="W2268" s="12"/>
      <c r="X2268" s="12"/>
      <c r="Y2268" s="12"/>
      <c r="Z2268" s="12"/>
      <c r="AA2268" s="12"/>
      <c r="AB2268" s="12"/>
      <c r="AC2268" s="12"/>
      <c r="AD2268" s="12"/>
    </row>
    <row r="2269" spans="1:30" ht="15.75" thickBot="1" x14ac:dyDescent="0.3">
      <c r="A2269" s="12"/>
      <c r="B2269" s="12"/>
      <c r="C2269" s="12"/>
      <c r="D2269" s="3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2"/>
      <c r="W2269" s="12"/>
      <c r="X2269" s="12"/>
      <c r="Y2269" s="12"/>
      <c r="Z2269" s="12"/>
      <c r="AA2269" s="12"/>
      <c r="AB2269" s="12"/>
      <c r="AC2269" s="12"/>
      <c r="AD2269" s="12"/>
    </row>
    <row r="2270" spans="1:30" ht="15.75" thickBot="1" x14ac:dyDescent="0.3">
      <c r="A2270" s="12"/>
      <c r="B2270" s="12"/>
      <c r="C2270" s="12"/>
      <c r="D2270" s="3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2"/>
      <c r="W2270" s="12"/>
      <c r="X2270" s="12"/>
      <c r="Y2270" s="12"/>
      <c r="Z2270" s="12"/>
      <c r="AA2270" s="12"/>
      <c r="AB2270" s="12"/>
      <c r="AC2270" s="12"/>
      <c r="AD2270" s="12"/>
    </row>
    <row r="2271" spans="1:30" ht="15.75" thickBot="1" x14ac:dyDescent="0.3">
      <c r="A2271" s="12"/>
      <c r="B2271" s="12"/>
      <c r="C2271" s="12"/>
      <c r="D2271" s="3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2"/>
      <c r="W2271" s="12"/>
      <c r="X2271" s="12"/>
      <c r="Y2271" s="12"/>
      <c r="Z2271" s="12"/>
      <c r="AA2271" s="12"/>
      <c r="AB2271" s="12"/>
      <c r="AC2271" s="12"/>
      <c r="AD2271" s="12"/>
    </row>
    <row r="2272" spans="1:30" ht="15.75" thickBot="1" x14ac:dyDescent="0.3">
      <c r="A2272" s="12"/>
      <c r="B2272" s="12"/>
      <c r="C2272" s="12"/>
      <c r="D2272" s="3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2"/>
      <c r="W2272" s="12"/>
      <c r="X2272" s="12"/>
      <c r="Y2272" s="12"/>
      <c r="Z2272" s="12"/>
      <c r="AA2272" s="12"/>
      <c r="AB2272" s="12"/>
      <c r="AC2272" s="12"/>
      <c r="AD2272" s="12"/>
    </row>
    <row r="2273" spans="1:30" ht="15.75" thickBot="1" x14ac:dyDescent="0.3">
      <c r="A2273" s="12"/>
      <c r="B2273" s="12"/>
      <c r="C2273" s="12"/>
      <c r="D2273" s="3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2"/>
      <c r="W2273" s="12"/>
      <c r="X2273" s="12"/>
      <c r="Y2273" s="12"/>
      <c r="Z2273" s="12"/>
      <c r="AA2273" s="12"/>
      <c r="AB2273" s="12"/>
      <c r="AC2273" s="12"/>
      <c r="AD2273" s="12"/>
    </row>
    <row r="2274" spans="1:30" ht="15.75" thickBot="1" x14ac:dyDescent="0.3">
      <c r="A2274" s="12"/>
      <c r="B2274" s="12"/>
      <c r="C2274" s="12"/>
      <c r="D2274" s="3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2"/>
      <c r="W2274" s="12"/>
      <c r="X2274" s="12"/>
      <c r="Y2274" s="12"/>
      <c r="Z2274" s="12"/>
      <c r="AA2274" s="12"/>
      <c r="AB2274" s="12"/>
      <c r="AC2274" s="12"/>
      <c r="AD2274" s="12"/>
    </row>
    <row r="2275" spans="1:30" ht="15.75" thickBot="1" x14ac:dyDescent="0.3">
      <c r="A2275" s="12"/>
      <c r="B2275" s="12"/>
      <c r="C2275" s="12"/>
      <c r="D2275" s="3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2"/>
      <c r="W2275" s="12"/>
      <c r="X2275" s="12"/>
      <c r="Y2275" s="12"/>
      <c r="Z2275" s="12"/>
      <c r="AA2275" s="12"/>
      <c r="AB2275" s="12"/>
      <c r="AC2275" s="12"/>
      <c r="AD2275" s="12"/>
    </row>
    <row r="2276" spans="1:30" ht="15.75" thickBot="1" x14ac:dyDescent="0.3">
      <c r="A2276" s="12"/>
      <c r="B2276" s="12"/>
      <c r="C2276" s="12"/>
      <c r="D2276" s="3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2"/>
      <c r="W2276" s="12"/>
      <c r="X2276" s="12"/>
      <c r="Y2276" s="12"/>
      <c r="Z2276" s="12"/>
      <c r="AA2276" s="12"/>
      <c r="AB2276" s="12"/>
      <c r="AC2276" s="12"/>
      <c r="AD2276" s="12"/>
    </row>
    <row r="2277" spans="1:30" ht="15.75" thickBot="1" x14ac:dyDescent="0.3">
      <c r="A2277" s="12"/>
      <c r="B2277" s="12"/>
      <c r="C2277" s="12"/>
      <c r="D2277" s="3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2"/>
      <c r="W2277" s="12"/>
      <c r="X2277" s="12"/>
      <c r="Y2277" s="12"/>
      <c r="Z2277" s="12"/>
      <c r="AA2277" s="12"/>
      <c r="AB2277" s="12"/>
      <c r="AC2277" s="12"/>
      <c r="AD2277" s="12"/>
    </row>
    <row r="2278" spans="1:30" ht="15.75" thickBot="1" x14ac:dyDescent="0.3">
      <c r="A2278" s="12"/>
      <c r="B2278" s="12"/>
      <c r="C2278" s="12"/>
      <c r="D2278" s="3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2"/>
      <c r="W2278" s="12"/>
      <c r="X2278" s="12"/>
      <c r="Y2278" s="12"/>
      <c r="Z2278" s="12"/>
      <c r="AA2278" s="12"/>
      <c r="AB2278" s="12"/>
      <c r="AC2278" s="12"/>
      <c r="AD2278" s="12"/>
    </row>
    <row r="2279" spans="1:30" ht="15.75" thickBot="1" x14ac:dyDescent="0.3">
      <c r="A2279" s="12"/>
      <c r="B2279" s="12"/>
      <c r="C2279" s="12"/>
      <c r="D2279" s="3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2"/>
      <c r="W2279" s="12"/>
      <c r="X2279" s="12"/>
      <c r="Y2279" s="12"/>
      <c r="Z2279" s="12"/>
      <c r="AA2279" s="12"/>
      <c r="AB2279" s="12"/>
      <c r="AC2279" s="12"/>
      <c r="AD2279" s="12"/>
    </row>
    <row r="2280" spans="1:30" ht="15.75" thickBot="1" x14ac:dyDescent="0.3">
      <c r="A2280" s="12"/>
      <c r="B2280" s="12"/>
      <c r="C2280" s="12"/>
      <c r="D2280" s="3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2"/>
      <c r="W2280" s="12"/>
      <c r="X2280" s="12"/>
      <c r="Y2280" s="12"/>
      <c r="Z2280" s="12"/>
      <c r="AA2280" s="12"/>
      <c r="AB2280" s="12"/>
      <c r="AC2280" s="12"/>
      <c r="AD2280" s="12"/>
    </row>
    <row r="2281" spans="1:30" ht="15.75" thickBot="1" x14ac:dyDescent="0.3">
      <c r="A2281" s="12"/>
      <c r="B2281" s="12"/>
      <c r="C2281" s="12"/>
      <c r="D2281" s="3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2"/>
      <c r="W2281" s="12"/>
      <c r="X2281" s="12"/>
      <c r="Y2281" s="12"/>
      <c r="Z2281" s="12"/>
      <c r="AA2281" s="12"/>
      <c r="AB2281" s="12"/>
      <c r="AC2281" s="12"/>
      <c r="AD2281" s="12"/>
    </row>
    <row r="2282" spans="1:30" ht="15.75" thickBot="1" x14ac:dyDescent="0.3">
      <c r="A2282" s="12"/>
      <c r="B2282" s="12"/>
      <c r="C2282" s="12"/>
      <c r="D2282" s="3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2"/>
      <c r="W2282" s="12"/>
      <c r="X2282" s="12"/>
      <c r="Y2282" s="12"/>
      <c r="Z2282" s="12"/>
      <c r="AA2282" s="12"/>
      <c r="AB2282" s="12"/>
      <c r="AC2282" s="12"/>
      <c r="AD2282" s="12"/>
    </row>
    <row r="2283" spans="1:30" ht="15.75" thickBot="1" x14ac:dyDescent="0.3">
      <c r="A2283" s="12"/>
      <c r="B2283" s="12"/>
      <c r="C2283" s="12"/>
      <c r="D2283" s="3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2"/>
      <c r="W2283" s="12"/>
      <c r="X2283" s="12"/>
      <c r="Y2283" s="12"/>
      <c r="Z2283" s="12"/>
      <c r="AA2283" s="12"/>
      <c r="AB2283" s="12"/>
      <c r="AC2283" s="12"/>
      <c r="AD2283" s="12"/>
    </row>
    <row r="2284" spans="1:30" ht="15.75" thickBot="1" x14ac:dyDescent="0.3">
      <c r="A2284" s="12"/>
      <c r="B2284" s="12"/>
      <c r="C2284" s="12"/>
      <c r="D2284" s="3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2"/>
      <c r="W2284" s="12"/>
      <c r="X2284" s="12"/>
      <c r="Y2284" s="12"/>
      <c r="Z2284" s="12"/>
      <c r="AA2284" s="12"/>
      <c r="AB2284" s="12"/>
      <c r="AC2284" s="12"/>
      <c r="AD2284" s="12"/>
    </row>
    <row r="2285" spans="1:30" ht="15.75" thickBot="1" x14ac:dyDescent="0.3">
      <c r="A2285" s="12"/>
      <c r="B2285" s="12"/>
      <c r="C2285" s="12"/>
      <c r="D2285" s="3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2"/>
      <c r="W2285" s="12"/>
      <c r="X2285" s="12"/>
      <c r="Y2285" s="12"/>
      <c r="Z2285" s="12"/>
      <c r="AA2285" s="12"/>
      <c r="AB2285" s="12"/>
      <c r="AC2285" s="12"/>
      <c r="AD2285" s="12"/>
    </row>
    <row r="2286" spans="1:30" ht="15.75" thickBot="1" x14ac:dyDescent="0.3">
      <c r="A2286" s="12"/>
      <c r="B2286" s="12"/>
      <c r="C2286" s="12"/>
      <c r="D2286" s="3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2"/>
      <c r="W2286" s="12"/>
      <c r="X2286" s="12"/>
      <c r="Y2286" s="12"/>
      <c r="Z2286" s="12"/>
      <c r="AA2286" s="12"/>
      <c r="AB2286" s="12"/>
      <c r="AC2286" s="12"/>
      <c r="AD2286" s="12"/>
    </row>
    <row r="2287" spans="1:30" ht="15.75" thickBot="1" x14ac:dyDescent="0.3">
      <c r="A2287" s="12"/>
      <c r="B2287" s="12"/>
      <c r="C2287" s="12"/>
      <c r="D2287" s="3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2"/>
      <c r="W2287" s="12"/>
      <c r="X2287" s="12"/>
      <c r="Y2287" s="12"/>
      <c r="Z2287" s="12"/>
      <c r="AA2287" s="12"/>
      <c r="AB2287" s="12"/>
      <c r="AC2287" s="12"/>
      <c r="AD2287" s="12"/>
    </row>
    <row r="2288" spans="1:30" ht="15.75" thickBot="1" x14ac:dyDescent="0.3">
      <c r="A2288" s="12"/>
      <c r="B2288" s="12"/>
      <c r="C2288" s="12"/>
      <c r="D2288" s="3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2"/>
      <c r="W2288" s="12"/>
      <c r="X2288" s="12"/>
      <c r="Y2288" s="12"/>
      <c r="Z2288" s="12"/>
      <c r="AA2288" s="12"/>
      <c r="AB2288" s="12"/>
      <c r="AC2288" s="12"/>
      <c r="AD2288" s="12"/>
    </row>
    <row r="2289" spans="1:30" ht="15.75" thickBot="1" x14ac:dyDescent="0.3">
      <c r="A2289" s="12"/>
      <c r="B2289" s="12"/>
      <c r="C2289" s="12"/>
      <c r="D2289" s="3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2"/>
      <c r="W2289" s="12"/>
      <c r="X2289" s="12"/>
      <c r="Y2289" s="12"/>
      <c r="Z2289" s="12"/>
      <c r="AA2289" s="12"/>
      <c r="AB2289" s="12"/>
      <c r="AC2289" s="12"/>
      <c r="AD2289" s="12"/>
    </row>
    <row r="2290" spans="1:30" ht="15.75" thickBot="1" x14ac:dyDescent="0.3">
      <c r="A2290" s="12"/>
      <c r="B2290" s="12"/>
      <c r="C2290" s="12"/>
      <c r="D2290" s="3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2"/>
      <c r="W2290" s="12"/>
      <c r="X2290" s="12"/>
      <c r="Y2290" s="12"/>
      <c r="Z2290" s="12"/>
      <c r="AA2290" s="12"/>
      <c r="AB2290" s="12"/>
      <c r="AC2290" s="12"/>
      <c r="AD2290" s="12"/>
    </row>
    <row r="2291" spans="1:30" ht="15.75" thickBot="1" x14ac:dyDescent="0.3">
      <c r="A2291" s="12"/>
      <c r="B2291" s="12"/>
      <c r="C2291" s="12"/>
      <c r="D2291" s="3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2"/>
      <c r="W2291" s="12"/>
      <c r="X2291" s="12"/>
      <c r="Y2291" s="12"/>
      <c r="Z2291" s="12"/>
      <c r="AA2291" s="12"/>
      <c r="AB2291" s="12"/>
      <c r="AC2291" s="12"/>
      <c r="AD2291" s="12"/>
    </row>
    <row r="2292" spans="1:30" ht="15.75" thickBot="1" x14ac:dyDescent="0.3">
      <c r="A2292" s="12"/>
      <c r="B2292" s="12"/>
      <c r="C2292" s="12"/>
      <c r="D2292" s="3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2"/>
      <c r="W2292" s="12"/>
      <c r="X2292" s="12"/>
      <c r="Y2292" s="12"/>
      <c r="Z2292" s="12"/>
      <c r="AA2292" s="12"/>
      <c r="AB2292" s="12"/>
      <c r="AC2292" s="12"/>
      <c r="AD2292" s="12"/>
    </row>
    <row r="2293" spans="1:30" ht="15.75" thickBot="1" x14ac:dyDescent="0.3">
      <c r="A2293" s="12"/>
      <c r="B2293" s="12"/>
      <c r="C2293" s="12"/>
      <c r="D2293" s="3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2"/>
      <c r="W2293" s="12"/>
      <c r="X2293" s="12"/>
      <c r="Y2293" s="12"/>
      <c r="Z2293" s="12"/>
      <c r="AA2293" s="12"/>
      <c r="AB2293" s="12"/>
      <c r="AC2293" s="12"/>
      <c r="AD2293" s="12"/>
    </row>
    <row r="2294" spans="1:30" ht="15.75" thickBot="1" x14ac:dyDescent="0.3">
      <c r="A2294" s="12"/>
      <c r="B2294" s="12"/>
      <c r="C2294" s="12"/>
      <c r="D2294" s="3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2"/>
      <c r="W2294" s="12"/>
      <c r="X2294" s="12"/>
      <c r="Y2294" s="12"/>
      <c r="Z2294" s="12"/>
      <c r="AA2294" s="12"/>
      <c r="AB2294" s="12"/>
      <c r="AC2294" s="12"/>
      <c r="AD2294" s="12"/>
    </row>
    <row r="2295" spans="1:30" ht="15.75" thickBot="1" x14ac:dyDescent="0.3">
      <c r="A2295" s="12"/>
      <c r="B2295" s="12"/>
      <c r="C2295" s="12"/>
      <c r="D2295" s="3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2"/>
      <c r="W2295" s="12"/>
      <c r="X2295" s="12"/>
      <c r="Y2295" s="12"/>
      <c r="Z2295" s="12"/>
      <c r="AA2295" s="12"/>
      <c r="AB2295" s="12"/>
      <c r="AC2295" s="12"/>
      <c r="AD2295" s="12"/>
    </row>
    <row r="2296" spans="1:30" ht="15.75" thickBot="1" x14ac:dyDescent="0.3">
      <c r="A2296" s="12"/>
      <c r="B2296" s="12"/>
      <c r="C2296" s="12"/>
      <c r="D2296" s="3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2"/>
      <c r="W2296" s="12"/>
      <c r="X2296" s="12"/>
      <c r="Y2296" s="12"/>
      <c r="Z2296" s="12"/>
      <c r="AA2296" s="12"/>
      <c r="AB2296" s="12"/>
      <c r="AC2296" s="12"/>
      <c r="AD2296" s="12"/>
    </row>
    <row r="2297" spans="1:30" ht="15.75" thickBot="1" x14ac:dyDescent="0.3">
      <c r="A2297" s="12"/>
      <c r="B2297" s="12"/>
      <c r="C2297" s="12"/>
      <c r="D2297" s="3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2"/>
      <c r="W2297" s="12"/>
      <c r="X2297" s="12"/>
      <c r="Y2297" s="12"/>
      <c r="Z2297" s="12"/>
      <c r="AA2297" s="12"/>
      <c r="AB2297" s="12"/>
      <c r="AC2297" s="12"/>
      <c r="AD2297" s="12"/>
    </row>
    <row r="2298" spans="1:30" ht="15.75" thickBot="1" x14ac:dyDescent="0.3">
      <c r="A2298" s="12"/>
      <c r="B2298" s="12"/>
      <c r="C2298" s="12"/>
      <c r="D2298" s="3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2"/>
      <c r="W2298" s="12"/>
      <c r="X2298" s="12"/>
      <c r="Y2298" s="12"/>
      <c r="Z2298" s="12"/>
      <c r="AA2298" s="12"/>
      <c r="AB2298" s="12"/>
      <c r="AC2298" s="12"/>
      <c r="AD2298" s="12"/>
    </row>
    <row r="2299" spans="1:30" ht="15.75" thickBot="1" x14ac:dyDescent="0.3">
      <c r="A2299" s="12"/>
      <c r="B2299" s="12"/>
      <c r="C2299" s="12"/>
      <c r="D2299" s="3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2"/>
      <c r="W2299" s="12"/>
      <c r="X2299" s="12"/>
      <c r="Y2299" s="12"/>
      <c r="Z2299" s="12"/>
      <c r="AA2299" s="12"/>
      <c r="AB2299" s="12"/>
      <c r="AC2299" s="12"/>
      <c r="AD2299" s="12"/>
    </row>
    <row r="2300" spans="1:30" ht="15.75" thickBot="1" x14ac:dyDescent="0.3">
      <c r="A2300" s="12"/>
      <c r="B2300" s="12"/>
      <c r="C2300" s="12"/>
      <c r="D2300" s="3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2"/>
      <c r="W2300" s="12"/>
      <c r="X2300" s="12"/>
      <c r="Y2300" s="12"/>
      <c r="Z2300" s="12"/>
      <c r="AA2300" s="12"/>
      <c r="AB2300" s="12"/>
      <c r="AC2300" s="12"/>
      <c r="AD2300" s="12"/>
    </row>
    <row r="2301" spans="1:30" ht="15.75" thickBot="1" x14ac:dyDescent="0.3">
      <c r="A2301" s="12"/>
      <c r="B2301" s="12"/>
      <c r="C2301" s="12"/>
      <c r="D2301" s="3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2"/>
      <c r="W2301" s="12"/>
      <c r="X2301" s="12"/>
      <c r="Y2301" s="12"/>
      <c r="Z2301" s="12"/>
      <c r="AA2301" s="12"/>
      <c r="AB2301" s="12"/>
      <c r="AC2301" s="12"/>
      <c r="AD2301" s="12"/>
    </row>
    <row r="2302" spans="1:30" ht="15.75" thickBot="1" x14ac:dyDescent="0.3">
      <c r="A2302" s="12"/>
      <c r="B2302" s="12"/>
      <c r="C2302" s="12"/>
      <c r="D2302" s="3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2"/>
      <c r="W2302" s="12"/>
      <c r="X2302" s="12"/>
      <c r="Y2302" s="12"/>
      <c r="Z2302" s="12"/>
      <c r="AA2302" s="12"/>
      <c r="AB2302" s="12"/>
      <c r="AC2302" s="12"/>
      <c r="AD2302" s="12"/>
    </row>
    <row r="2303" spans="1:30" ht="15.75" thickBot="1" x14ac:dyDescent="0.3">
      <c r="A2303" s="12"/>
      <c r="B2303" s="12"/>
      <c r="C2303" s="12"/>
      <c r="D2303" s="3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2"/>
      <c r="W2303" s="12"/>
      <c r="X2303" s="12"/>
      <c r="Y2303" s="12"/>
      <c r="Z2303" s="12"/>
      <c r="AA2303" s="12"/>
      <c r="AB2303" s="12"/>
      <c r="AC2303" s="12"/>
      <c r="AD2303" s="12"/>
    </row>
    <row r="2304" spans="1:30" ht="15.75" thickBot="1" x14ac:dyDescent="0.3">
      <c r="A2304" s="12"/>
      <c r="B2304" s="12"/>
      <c r="C2304" s="12"/>
      <c r="D2304" s="3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2"/>
      <c r="W2304" s="12"/>
      <c r="X2304" s="12"/>
      <c r="Y2304" s="12"/>
      <c r="Z2304" s="12"/>
      <c r="AA2304" s="12"/>
      <c r="AB2304" s="12"/>
      <c r="AC2304" s="12"/>
      <c r="AD2304" s="12"/>
    </row>
    <row r="2305" spans="1:30" ht="15.75" thickBot="1" x14ac:dyDescent="0.3">
      <c r="A2305" s="12"/>
      <c r="B2305" s="12"/>
      <c r="C2305" s="12"/>
      <c r="D2305" s="3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2"/>
      <c r="W2305" s="12"/>
      <c r="X2305" s="12"/>
      <c r="Y2305" s="12"/>
      <c r="Z2305" s="12"/>
      <c r="AA2305" s="12"/>
      <c r="AB2305" s="12"/>
      <c r="AC2305" s="12"/>
      <c r="AD2305" s="12"/>
    </row>
    <row r="2306" spans="1:30" ht="15.75" thickBot="1" x14ac:dyDescent="0.3">
      <c r="A2306" s="12"/>
      <c r="B2306" s="12"/>
      <c r="C2306" s="12"/>
      <c r="D2306" s="3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2"/>
      <c r="W2306" s="12"/>
      <c r="X2306" s="12"/>
      <c r="Y2306" s="12"/>
      <c r="Z2306" s="12"/>
      <c r="AA2306" s="12"/>
      <c r="AB2306" s="12"/>
      <c r="AC2306" s="12"/>
      <c r="AD2306" s="12"/>
    </row>
    <row r="2307" spans="1:30" ht="15.75" thickBot="1" x14ac:dyDescent="0.3">
      <c r="A2307" s="12"/>
      <c r="B2307" s="12"/>
      <c r="C2307" s="12"/>
      <c r="D2307" s="3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2"/>
      <c r="W2307" s="12"/>
      <c r="X2307" s="12"/>
      <c r="Y2307" s="12"/>
      <c r="Z2307" s="12"/>
      <c r="AA2307" s="12"/>
      <c r="AB2307" s="12"/>
      <c r="AC2307" s="12"/>
      <c r="AD2307" s="12"/>
    </row>
    <row r="2308" spans="1:30" ht="15.75" thickBot="1" x14ac:dyDescent="0.3">
      <c r="A2308" s="12"/>
      <c r="B2308" s="12"/>
      <c r="C2308" s="12"/>
      <c r="D2308" s="3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2"/>
      <c r="W2308" s="12"/>
      <c r="X2308" s="12"/>
      <c r="Y2308" s="12"/>
      <c r="Z2308" s="12"/>
      <c r="AA2308" s="12"/>
      <c r="AB2308" s="12"/>
      <c r="AC2308" s="12"/>
      <c r="AD2308" s="12"/>
    </row>
    <row r="2309" spans="1:30" ht="15.75" thickBot="1" x14ac:dyDescent="0.3">
      <c r="A2309" s="12"/>
      <c r="B2309" s="12"/>
      <c r="C2309" s="12"/>
      <c r="D2309" s="3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2"/>
      <c r="W2309" s="12"/>
      <c r="X2309" s="12"/>
      <c r="Y2309" s="12"/>
      <c r="Z2309" s="12"/>
      <c r="AA2309" s="12"/>
      <c r="AB2309" s="12"/>
      <c r="AC2309" s="12"/>
      <c r="AD2309" s="12"/>
    </row>
    <row r="2310" spans="1:30" ht="15.75" thickBot="1" x14ac:dyDescent="0.3">
      <c r="A2310" s="12"/>
      <c r="B2310" s="12"/>
      <c r="C2310" s="12"/>
      <c r="D2310" s="3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2"/>
      <c r="W2310" s="12"/>
      <c r="X2310" s="12"/>
      <c r="Y2310" s="12"/>
      <c r="Z2310" s="12"/>
      <c r="AA2310" s="12"/>
      <c r="AB2310" s="12"/>
      <c r="AC2310" s="12"/>
      <c r="AD2310" s="12"/>
    </row>
    <row r="2311" spans="1:30" ht="15.75" thickBot="1" x14ac:dyDescent="0.3">
      <c r="A2311" s="12"/>
      <c r="B2311" s="12"/>
      <c r="C2311" s="12"/>
      <c r="D2311" s="3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2"/>
      <c r="W2311" s="12"/>
      <c r="X2311" s="12"/>
      <c r="Y2311" s="12"/>
      <c r="Z2311" s="12"/>
      <c r="AA2311" s="12"/>
      <c r="AB2311" s="12"/>
      <c r="AC2311" s="12"/>
      <c r="AD2311" s="12"/>
    </row>
    <row r="2312" spans="1:30" ht="15.75" thickBot="1" x14ac:dyDescent="0.3">
      <c r="A2312" s="12"/>
      <c r="B2312" s="12"/>
      <c r="C2312" s="12"/>
      <c r="D2312" s="3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2"/>
      <c r="W2312" s="12"/>
      <c r="X2312" s="12"/>
      <c r="Y2312" s="12"/>
      <c r="Z2312" s="12"/>
      <c r="AA2312" s="12"/>
      <c r="AB2312" s="12"/>
      <c r="AC2312" s="12"/>
      <c r="AD2312" s="12"/>
    </row>
    <row r="2313" spans="1:30" ht="15.75" thickBot="1" x14ac:dyDescent="0.3">
      <c r="A2313" s="12"/>
      <c r="B2313" s="12"/>
      <c r="C2313" s="12"/>
      <c r="D2313" s="3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2"/>
      <c r="W2313" s="12"/>
      <c r="X2313" s="12"/>
      <c r="Y2313" s="12"/>
      <c r="Z2313" s="12"/>
      <c r="AA2313" s="12"/>
      <c r="AB2313" s="12"/>
      <c r="AC2313" s="12"/>
      <c r="AD2313" s="12"/>
    </row>
    <row r="2314" spans="1:30" ht="15.75" thickBot="1" x14ac:dyDescent="0.3">
      <c r="A2314" s="12"/>
      <c r="B2314" s="12"/>
      <c r="C2314" s="12"/>
      <c r="D2314" s="3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2"/>
      <c r="W2314" s="12"/>
      <c r="X2314" s="12"/>
      <c r="Y2314" s="12"/>
      <c r="Z2314" s="12"/>
      <c r="AA2314" s="12"/>
      <c r="AB2314" s="12"/>
      <c r="AC2314" s="12"/>
      <c r="AD2314" s="12"/>
    </row>
    <row r="2315" spans="1:30" ht="15.75" thickBot="1" x14ac:dyDescent="0.3">
      <c r="A2315" s="12"/>
      <c r="B2315" s="12"/>
      <c r="C2315" s="12"/>
      <c r="D2315" s="3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2"/>
      <c r="W2315" s="12"/>
      <c r="X2315" s="12"/>
      <c r="Y2315" s="12"/>
      <c r="Z2315" s="12"/>
      <c r="AA2315" s="12"/>
      <c r="AB2315" s="12"/>
      <c r="AC2315" s="12"/>
      <c r="AD2315" s="12"/>
    </row>
    <row r="2316" spans="1:30" ht="15.75" thickBot="1" x14ac:dyDescent="0.3">
      <c r="A2316" s="12"/>
      <c r="B2316" s="12"/>
      <c r="C2316" s="12"/>
      <c r="D2316" s="3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2"/>
      <c r="W2316" s="12"/>
      <c r="X2316" s="12"/>
      <c r="Y2316" s="12"/>
      <c r="Z2316" s="12"/>
      <c r="AA2316" s="12"/>
      <c r="AB2316" s="12"/>
      <c r="AC2316" s="12"/>
      <c r="AD2316" s="12"/>
    </row>
    <row r="2317" spans="1:30" ht="15.75" thickBot="1" x14ac:dyDescent="0.3">
      <c r="A2317" s="12"/>
      <c r="B2317" s="12"/>
      <c r="C2317" s="12"/>
      <c r="D2317" s="3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2"/>
      <c r="W2317" s="12"/>
      <c r="X2317" s="12"/>
      <c r="Y2317" s="12"/>
      <c r="Z2317" s="12"/>
      <c r="AA2317" s="12"/>
      <c r="AB2317" s="12"/>
      <c r="AC2317" s="12"/>
      <c r="AD2317" s="12"/>
    </row>
    <row r="2318" spans="1:30" ht="15.75" thickBot="1" x14ac:dyDescent="0.3">
      <c r="A2318" s="12"/>
      <c r="B2318" s="12"/>
      <c r="C2318" s="12"/>
      <c r="D2318" s="3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2"/>
      <c r="W2318" s="12"/>
      <c r="X2318" s="12"/>
      <c r="Y2318" s="12"/>
      <c r="Z2318" s="12"/>
      <c r="AA2318" s="12"/>
      <c r="AB2318" s="12"/>
      <c r="AC2318" s="12"/>
      <c r="AD2318" s="12"/>
    </row>
    <row r="2319" spans="1:30" ht="15.75" thickBot="1" x14ac:dyDescent="0.3">
      <c r="A2319" s="12"/>
      <c r="B2319" s="12"/>
      <c r="C2319" s="12"/>
      <c r="D2319" s="3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2"/>
      <c r="W2319" s="12"/>
      <c r="X2319" s="12"/>
      <c r="Y2319" s="12"/>
      <c r="Z2319" s="12"/>
      <c r="AA2319" s="12"/>
      <c r="AB2319" s="12"/>
      <c r="AC2319" s="12"/>
      <c r="AD2319" s="12"/>
    </row>
    <row r="2320" spans="1:30" ht="15.75" thickBot="1" x14ac:dyDescent="0.3">
      <c r="A2320" s="12"/>
      <c r="B2320" s="12"/>
      <c r="C2320" s="12"/>
      <c r="D2320" s="3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2"/>
      <c r="W2320" s="12"/>
      <c r="X2320" s="12"/>
      <c r="Y2320" s="12"/>
      <c r="Z2320" s="12"/>
      <c r="AA2320" s="12"/>
      <c r="AB2320" s="12"/>
      <c r="AC2320" s="12"/>
      <c r="AD2320" s="12"/>
    </row>
    <row r="2321" spans="1:30" ht="15.75" thickBot="1" x14ac:dyDescent="0.3">
      <c r="A2321" s="12"/>
      <c r="B2321" s="12"/>
      <c r="C2321" s="12"/>
      <c r="D2321" s="3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2"/>
      <c r="W2321" s="12"/>
      <c r="X2321" s="12"/>
      <c r="Y2321" s="12"/>
      <c r="Z2321" s="12"/>
      <c r="AA2321" s="12"/>
      <c r="AB2321" s="12"/>
      <c r="AC2321" s="12"/>
      <c r="AD2321" s="12"/>
    </row>
    <row r="2322" spans="1:30" ht="15.75" thickBot="1" x14ac:dyDescent="0.3">
      <c r="A2322" s="12"/>
      <c r="B2322" s="12"/>
      <c r="C2322" s="12"/>
      <c r="D2322" s="3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2"/>
      <c r="W2322" s="12"/>
      <c r="X2322" s="12"/>
      <c r="Y2322" s="12"/>
      <c r="Z2322" s="12"/>
      <c r="AA2322" s="12"/>
      <c r="AB2322" s="12"/>
      <c r="AC2322" s="12"/>
      <c r="AD2322" s="12"/>
    </row>
    <row r="2323" spans="1:30" ht="15.75" thickBot="1" x14ac:dyDescent="0.3">
      <c r="A2323" s="12"/>
      <c r="B2323" s="12"/>
      <c r="C2323" s="12"/>
      <c r="D2323" s="3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2"/>
      <c r="W2323" s="12"/>
      <c r="X2323" s="12"/>
      <c r="Y2323" s="12"/>
      <c r="Z2323" s="12"/>
      <c r="AA2323" s="12"/>
      <c r="AB2323" s="12"/>
      <c r="AC2323" s="12"/>
      <c r="AD2323" s="12"/>
    </row>
    <row r="2324" spans="1:30" ht="15.75" thickBot="1" x14ac:dyDescent="0.3">
      <c r="A2324" s="12"/>
      <c r="B2324" s="12"/>
      <c r="C2324" s="12"/>
      <c r="D2324" s="3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2"/>
      <c r="W2324" s="12"/>
      <c r="X2324" s="12"/>
      <c r="Y2324" s="12"/>
      <c r="Z2324" s="12"/>
      <c r="AA2324" s="12"/>
      <c r="AB2324" s="12"/>
      <c r="AC2324" s="12"/>
      <c r="AD2324" s="12"/>
    </row>
    <row r="2325" spans="1:30" ht="15.75" thickBot="1" x14ac:dyDescent="0.3">
      <c r="A2325" s="12"/>
      <c r="B2325" s="12"/>
      <c r="C2325" s="12"/>
      <c r="D2325" s="3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2"/>
      <c r="W2325" s="12"/>
      <c r="X2325" s="12"/>
      <c r="Y2325" s="12"/>
      <c r="Z2325" s="12"/>
      <c r="AA2325" s="12"/>
      <c r="AB2325" s="12"/>
      <c r="AC2325" s="12"/>
      <c r="AD2325" s="12"/>
    </row>
    <row r="2326" spans="1:30" ht="15.75" thickBot="1" x14ac:dyDescent="0.3">
      <c r="A2326" s="12"/>
      <c r="B2326" s="12"/>
      <c r="C2326" s="12"/>
      <c r="D2326" s="3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2"/>
      <c r="W2326" s="12"/>
      <c r="X2326" s="12"/>
      <c r="Y2326" s="12"/>
      <c r="Z2326" s="12"/>
      <c r="AA2326" s="12"/>
      <c r="AB2326" s="12"/>
      <c r="AC2326" s="12"/>
      <c r="AD2326" s="12"/>
    </row>
    <row r="2327" spans="1:30" ht="15.75" thickBot="1" x14ac:dyDescent="0.3">
      <c r="A2327" s="12"/>
      <c r="B2327" s="12"/>
      <c r="C2327" s="12"/>
      <c r="D2327" s="3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2"/>
      <c r="W2327" s="12"/>
      <c r="X2327" s="12"/>
      <c r="Y2327" s="12"/>
      <c r="Z2327" s="12"/>
      <c r="AA2327" s="12"/>
      <c r="AB2327" s="12"/>
      <c r="AC2327" s="12"/>
      <c r="AD2327" s="12"/>
    </row>
    <row r="2328" spans="1:30" ht="15.75" thickBot="1" x14ac:dyDescent="0.3">
      <c r="A2328" s="12"/>
      <c r="B2328" s="12"/>
      <c r="C2328" s="12"/>
      <c r="D2328" s="3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2"/>
      <c r="W2328" s="12"/>
      <c r="X2328" s="12"/>
      <c r="Y2328" s="12"/>
      <c r="Z2328" s="12"/>
      <c r="AA2328" s="12"/>
      <c r="AB2328" s="12"/>
      <c r="AC2328" s="12"/>
      <c r="AD2328" s="12"/>
    </row>
    <row r="2329" spans="1:30" ht="15.75" thickBot="1" x14ac:dyDescent="0.3">
      <c r="A2329" s="12"/>
      <c r="B2329" s="12"/>
      <c r="C2329" s="12"/>
      <c r="D2329" s="3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2"/>
      <c r="W2329" s="12"/>
      <c r="X2329" s="12"/>
      <c r="Y2329" s="12"/>
      <c r="Z2329" s="12"/>
      <c r="AA2329" s="12"/>
      <c r="AB2329" s="12"/>
      <c r="AC2329" s="12"/>
      <c r="AD2329" s="12"/>
    </row>
    <row r="2330" spans="1:30" ht="15.75" thickBot="1" x14ac:dyDescent="0.3">
      <c r="A2330" s="12"/>
      <c r="B2330" s="12"/>
      <c r="C2330" s="12"/>
      <c r="D2330" s="3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2"/>
      <c r="W2330" s="12"/>
      <c r="X2330" s="12"/>
      <c r="Y2330" s="12"/>
      <c r="Z2330" s="12"/>
      <c r="AA2330" s="12"/>
      <c r="AB2330" s="12"/>
      <c r="AC2330" s="12"/>
      <c r="AD2330" s="12"/>
    </row>
    <row r="2331" spans="1:30" ht="15.75" thickBot="1" x14ac:dyDescent="0.3">
      <c r="A2331" s="12"/>
      <c r="B2331" s="12"/>
      <c r="C2331" s="12"/>
      <c r="D2331" s="3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2"/>
      <c r="W2331" s="12"/>
      <c r="X2331" s="12"/>
      <c r="Y2331" s="12"/>
      <c r="Z2331" s="12"/>
      <c r="AA2331" s="12"/>
      <c r="AB2331" s="12"/>
      <c r="AC2331" s="12"/>
      <c r="AD2331" s="12"/>
    </row>
    <row r="2332" spans="1:30" ht="15.75" thickBot="1" x14ac:dyDescent="0.3">
      <c r="A2332" s="12"/>
      <c r="B2332" s="12"/>
      <c r="C2332" s="12"/>
      <c r="D2332" s="3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2"/>
      <c r="W2332" s="12"/>
      <c r="X2332" s="12"/>
      <c r="Y2332" s="12"/>
      <c r="Z2332" s="12"/>
      <c r="AA2332" s="12"/>
      <c r="AB2332" s="12"/>
      <c r="AC2332" s="12"/>
      <c r="AD2332" s="12"/>
    </row>
    <row r="2333" spans="1:30" ht="15.75" thickBot="1" x14ac:dyDescent="0.3">
      <c r="A2333" s="12"/>
      <c r="B2333" s="12"/>
      <c r="C2333" s="12"/>
      <c r="D2333" s="3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2"/>
      <c r="W2333" s="12"/>
      <c r="X2333" s="12"/>
      <c r="Y2333" s="12"/>
      <c r="Z2333" s="12"/>
      <c r="AA2333" s="12"/>
      <c r="AB2333" s="12"/>
      <c r="AC2333" s="12"/>
      <c r="AD2333" s="12"/>
    </row>
    <row r="2334" spans="1:30" ht="15.75" thickBot="1" x14ac:dyDescent="0.3">
      <c r="A2334" s="12"/>
      <c r="B2334" s="12"/>
      <c r="C2334" s="12"/>
      <c r="D2334" s="3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2"/>
      <c r="W2334" s="12"/>
      <c r="X2334" s="12"/>
      <c r="Y2334" s="12"/>
      <c r="Z2334" s="12"/>
      <c r="AA2334" s="12"/>
      <c r="AB2334" s="12"/>
      <c r="AC2334" s="12"/>
      <c r="AD2334" s="12"/>
    </row>
    <row r="2335" spans="1:30" ht="15.75" thickBot="1" x14ac:dyDescent="0.3">
      <c r="A2335" s="12"/>
      <c r="B2335" s="12"/>
      <c r="C2335" s="12"/>
      <c r="D2335" s="3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2"/>
      <c r="W2335" s="12"/>
      <c r="X2335" s="12"/>
      <c r="Y2335" s="12"/>
      <c r="Z2335" s="12"/>
      <c r="AA2335" s="12"/>
      <c r="AB2335" s="12"/>
      <c r="AC2335" s="12"/>
      <c r="AD2335" s="12"/>
    </row>
    <row r="2336" spans="1:30" ht="15.75" thickBot="1" x14ac:dyDescent="0.3">
      <c r="A2336" s="12"/>
      <c r="B2336" s="12"/>
      <c r="C2336" s="12"/>
      <c r="D2336" s="3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2"/>
      <c r="W2336" s="12"/>
      <c r="X2336" s="12"/>
      <c r="Y2336" s="12"/>
      <c r="Z2336" s="12"/>
      <c r="AA2336" s="12"/>
      <c r="AB2336" s="12"/>
      <c r="AC2336" s="12"/>
      <c r="AD2336" s="12"/>
    </row>
    <row r="2337" spans="1:30" ht="15.75" thickBot="1" x14ac:dyDescent="0.3">
      <c r="A2337" s="12"/>
      <c r="B2337" s="12"/>
      <c r="C2337" s="12"/>
      <c r="D2337" s="3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2"/>
      <c r="W2337" s="12"/>
      <c r="X2337" s="12"/>
      <c r="Y2337" s="12"/>
      <c r="Z2337" s="12"/>
      <c r="AA2337" s="12"/>
      <c r="AB2337" s="12"/>
      <c r="AC2337" s="12"/>
      <c r="AD2337" s="12"/>
    </row>
    <row r="2338" spans="1:30" ht="15.75" thickBot="1" x14ac:dyDescent="0.3">
      <c r="A2338" s="12"/>
      <c r="B2338" s="12"/>
      <c r="C2338" s="12"/>
      <c r="D2338" s="3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2"/>
      <c r="W2338" s="12"/>
      <c r="X2338" s="12"/>
      <c r="Y2338" s="12"/>
      <c r="Z2338" s="12"/>
      <c r="AA2338" s="12"/>
      <c r="AB2338" s="12"/>
      <c r="AC2338" s="12"/>
      <c r="AD2338" s="12"/>
    </row>
    <row r="2339" spans="1:30" ht="15.75" thickBot="1" x14ac:dyDescent="0.3">
      <c r="A2339" s="12"/>
      <c r="B2339" s="12"/>
      <c r="C2339" s="12"/>
      <c r="D2339" s="3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2"/>
      <c r="W2339" s="12"/>
      <c r="X2339" s="12"/>
      <c r="Y2339" s="12"/>
      <c r="Z2339" s="12"/>
      <c r="AA2339" s="12"/>
      <c r="AB2339" s="12"/>
      <c r="AC2339" s="12"/>
      <c r="AD2339" s="12"/>
    </row>
    <row r="2340" spans="1:30" ht="15.75" thickBot="1" x14ac:dyDescent="0.3">
      <c r="A2340" s="12"/>
      <c r="B2340" s="12"/>
      <c r="C2340" s="12"/>
      <c r="D2340" s="3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2"/>
      <c r="W2340" s="12"/>
      <c r="X2340" s="12"/>
      <c r="Y2340" s="12"/>
      <c r="Z2340" s="12"/>
      <c r="AA2340" s="12"/>
      <c r="AB2340" s="12"/>
      <c r="AC2340" s="12"/>
      <c r="AD2340" s="12"/>
    </row>
    <row r="2341" spans="1:30" ht="15.75" thickBot="1" x14ac:dyDescent="0.3">
      <c r="A2341" s="12"/>
      <c r="B2341" s="12"/>
      <c r="C2341" s="12"/>
      <c r="D2341" s="3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2"/>
      <c r="W2341" s="12"/>
      <c r="X2341" s="12"/>
      <c r="Y2341" s="12"/>
      <c r="Z2341" s="12"/>
      <c r="AA2341" s="12"/>
      <c r="AB2341" s="12"/>
      <c r="AC2341" s="12"/>
      <c r="AD2341" s="12"/>
    </row>
    <row r="2342" spans="1:30" ht="15.75" thickBot="1" x14ac:dyDescent="0.3">
      <c r="A2342" s="12"/>
      <c r="B2342" s="12"/>
      <c r="C2342" s="12"/>
      <c r="D2342" s="3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2"/>
      <c r="W2342" s="12"/>
      <c r="X2342" s="12"/>
      <c r="Y2342" s="12"/>
      <c r="Z2342" s="12"/>
      <c r="AA2342" s="12"/>
      <c r="AB2342" s="12"/>
      <c r="AC2342" s="12"/>
      <c r="AD2342" s="12"/>
    </row>
    <row r="2343" spans="1:30" ht="15.75" thickBot="1" x14ac:dyDescent="0.3">
      <c r="A2343" s="12"/>
      <c r="B2343" s="12"/>
      <c r="C2343" s="12"/>
      <c r="D2343" s="3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2"/>
      <c r="W2343" s="12"/>
      <c r="X2343" s="12"/>
      <c r="Y2343" s="12"/>
      <c r="Z2343" s="12"/>
      <c r="AA2343" s="12"/>
      <c r="AB2343" s="12"/>
      <c r="AC2343" s="12"/>
      <c r="AD2343" s="12"/>
    </row>
    <row r="2344" spans="1:30" ht="15.75" thickBot="1" x14ac:dyDescent="0.3">
      <c r="A2344" s="12"/>
      <c r="B2344" s="12"/>
      <c r="C2344" s="12"/>
      <c r="D2344" s="3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2"/>
      <c r="W2344" s="12"/>
      <c r="X2344" s="12"/>
      <c r="Y2344" s="12"/>
      <c r="Z2344" s="12"/>
      <c r="AA2344" s="12"/>
      <c r="AB2344" s="12"/>
      <c r="AC2344" s="12"/>
      <c r="AD2344" s="12"/>
    </row>
    <row r="2345" spans="1:30" ht="15.75" thickBot="1" x14ac:dyDescent="0.3">
      <c r="A2345" s="12"/>
      <c r="B2345" s="12"/>
      <c r="C2345" s="12"/>
      <c r="D2345" s="3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2"/>
      <c r="W2345" s="12"/>
      <c r="X2345" s="12"/>
      <c r="Y2345" s="12"/>
      <c r="Z2345" s="12"/>
      <c r="AA2345" s="12"/>
      <c r="AB2345" s="12"/>
      <c r="AC2345" s="12"/>
      <c r="AD2345" s="12"/>
    </row>
    <row r="2346" spans="1:30" ht="15.75" thickBot="1" x14ac:dyDescent="0.3">
      <c r="A2346" s="12"/>
      <c r="B2346" s="12"/>
      <c r="C2346" s="12"/>
      <c r="D2346" s="3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2"/>
      <c r="W2346" s="12"/>
      <c r="X2346" s="12"/>
      <c r="Y2346" s="12"/>
      <c r="Z2346" s="12"/>
      <c r="AA2346" s="12"/>
      <c r="AB2346" s="12"/>
      <c r="AC2346" s="12"/>
      <c r="AD2346" s="12"/>
    </row>
    <row r="2347" spans="1:30" ht="15.75" thickBot="1" x14ac:dyDescent="0.3">
      <c r="A2347" s="12"/>
      <c r="B2347" s="12"/>
      <c r="C2347" s="12"/>
      <c r="D2347" s="3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2"/>
      <c r="W2347" s="12"/>
      <c r="X2347" s="12"/>
      <c r="Y2347" s="12"/>
      <c r="Z2347" s="12"/>
      <c r="AA2347" s="12"/>
      <c r="AB2347" s="12"/>
      <c r="AC2347" s="12"/>
      <c r="AD2347" s="12"/>
    </row>
    <row r="2348" spans="1:30" ht="15.75" thickBot="1" x14ac:dyDescent="0.3">
      <c r="A2348" s="12"/>
      <c r="B2348" s="12"/>
      <c r="C2348" s="12"/>
      <c r="D2348" s="3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2"/>
      <c r="W2348" s="12"/>
      <c r="X2348" s="12"/>
      <c r="Y2348" s="12"/>
      <c r="Z2348" s="12"/>
      <c r="AA2348" s="12"/>
      <c r="AB2348" s="12"/>
      <c r="AC2348" s="12"/>
      <c r="AD2348" s="12"/>
    </row>
    <row r="2349" spans="1:30" ht="15.75" thickBot="1" x14ac:dyDescent="0.3">
      <c r="A2349" s="12"/>
      <c r="B2349" s="12"/>
      <c r="C2349" s="12"/>
      <c r="D2349" s="3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2"/>
      <c r="W2349" s="12"/>
      <c r="X2349" s="12"/>
      <c r="Y2349" s="12"/>
      <c r="Z2349" s="12"/>
      <c r="AA2349" s="12"/>
      <c r="AB2349" s="12"/>
      <c r="AC2349" s="12"/>
      <c r="AD2349" s="12"/>
    </row>
    <row r="2350" spans="1:30" ht="15.75" thickBot="1" x14ac:dyDescent="0.3">
      <c r="A2350" s="12"/>
      <c r="B2350" s="12"/>
      <c r="C2350" s="12"/>
      <c r="D2350" s="3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2"/>
      <c r="W2350" s="12"/>
      <c r="X2350" s="12"/>
      <c r="Y2350" s="12"/>
      <c r="Z2350" s="12"/>
      <c r="AA2350" s="12"/>
      <c r="AB2350" s="12"/>
      <c r="AC2350" s="12"/>
      <c r="AD2350" s="12"/>
    </row>
    <row r="2351" spans="1:30" ht="15.75" thickBot="1" x14ac:dyDescent="0.3">
      <c r="A2351" s="12"/>
      <c r="B2351" s="12"/>
      <c r="C2351" s="12"/>
      <c r="D2351" s="3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2"/>
      <c r="W2351" s="12"/>
      <c r="X2351" s="12"/>
      <c r="Y2351" s="12"/>
      <c r="Z2351" s="12"/>
      <c r="AA2351" s="12"/>
      <c r="AB2351" s="12"/>
      <c r="AC2351" s="12"/>
      <c r="AD2351" s="12"/>
    </row>
    <row r="2352" spans="1:30" ht="15.75" thickBot="1" x14ac:dyDescent="0.3">
      <c r="A2352" s="12"/>
      <c r="B2352" s="12"/>
      <c r="C2352" s="12"/>
      <c r="D2352" s="3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2"/>
      <c r="W2352" s="12"/>
      <c r="X2352" s="12"/>
      <c r="Y2352" s="12"/>
      <c r="Z2352" s="12"/>
      <c r="AA2352" s="12"/>
      <c r="AB2352" s="12"/>
      <c r="AC2352" s="12"/>
      <c r="AD2352" s="12"/>
    </row>
    <row r="2353" spans="1:30" ht="15.75" thickBot="1" x14ac:dyDescent="0.3">
      <c r="A2353" s="12"/>
      <c r="B2353" s="12"/>
      <c r="C2353" s="12"/>
      <c r="D2353" s="3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2"/>
      <c r="W2353" s="12"/>
      <c r="X2353" s="12"/>
      <c r="Y2353" s="12"/>
      <c r="Z2353" s="12"/>
      <c r="AA2353" s="12"/>
      <c r="AB2353" s="12"/>
      <c r="AC2353" s="12"/>
      <c r="AD2353" s="12"/>
    </row>
    <row r="2354" spans="1:30" ht="15.75" thickBot="1" x14ac:dyDescent="0.3">
      <c r="A2354" s="12"/>
      <c r="B2354" s="12"/>
      <c r="C2354" s="12"/>
      <c r="D2354" s="3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2"/>
      <c r="W2354" s="12"/>
      <c r="X2354" s="12"/>
      <c r="Y2354" s="12"/>
      <c r="Z2354" s="12"/>
      <c r="AA2354" s="12"/>
      <c r="AB2354" s="12"/>
      <c r="AC2354" s="12"/>
      <c r="AD2354" s="12"/>
    </row>
    <row r="2355" spans="1:30" ht="15.75" thickBot="1" x14ac:dyDescent="0.3">
      <c r="A2355" s="12"/>
      <c r="B2355" s="12"/>
      <c r="C2355" s="12"/>
      <c r="D2355" s="3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2"/>
      <c r="W2355" s="12"/>
      <c r="X2355" s="12"/>
      <c r="Y2355" s="12"/>
      <c r="Z2355" s="12"/>
      <c r="AA2355" s="12"/>
      <c r="AB2355" s="12"/>
      <c r="AC2355" s="12"/>
      <c r="AD2355" s="12"/>
    </row>
    <row r="2356" spans="1:30" ht="15.75" thickBot="1" x14ac:dyDescent="0.3">
      <c r="A2356" s="12"/>
      <c r="B2356" s="12"/>
      <c r="C2356" s="12"/>
      <c r="D2356" s="3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2"/>
      <c r="W2356" s="12"/>
      <c r="X2356" s="12"/>
      <c r="Y2356" s="12"/>
      <c r="Z2356" s="12"/>
      <c r="AA2356" s="12"/>
      <c r="AB2356" s="12"/>
      <c r="AC2356" s="12"/>
      <c r="AD2356" s="12"/>
    </row>
    <row r="2357" spans="1:30" ht="15.75" thickBot="1" x14ac:dyDescent="0.3">
      <c r="A2357" s="12"/>
      <c r="B2357" s="12"/>
      <c r="C2357" s="12"/>
      <c r="D2357" s="3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2"/>
      <c r="W2357" s="12"/>
      <c r="X2357" s="12"/>
      <c r="Y2357" s="12"/>
      <c r="Z2357" s="12"/>
      <c r="AA2357" s="12"/>
      <c r="AB2357" s="12"/>
      <c r="AC2357" s="12"/>
      <c r="AD2357" s="12"/>
    </row>
    <row r="2358" spans="1:30" ht="15.75" thickBot="1" x14ac:dyDescent="0.3">
      <c r="A2358" s="12"/>
      <c r="B2358" s="12"/>
      <c r="C2358" s="12"/>
      <c r="D2358" s="3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2"/>
      <c r="W2358" s="12"/>
      <c r="X2358" s="12"/>
      <c r="Y2358" s="12"/>
      <c r="Z2358" s="12"/>
      <c r="AA2358" s="12"/>
      <c r="AB2358" s="12"/>
      <c r="AC2358" s="12"/>
      <c r="AD2358" s="12"/>
    </row>
    <row r="2359" spans="1:30" ht="15.75" thickBot="1" x14ac:dyDescent="0.3">
      <c r="A2359" s="12"/>
      <c r="B2359" s="12"/>
      <c r="C2359" s="12"/>
      <c r="D2359" s="3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2"/>
      <c r="W2359" s="12"/>
      <c r="X2359" s="12"/>
      <c r="Y2359" s="12"/>
      <c r="Z2359" s="12"/>
      <c r="AA2359" s="12"/>
      <c r="AB2359" s="12"/>
      <c r="AC2359" s="12"/>
      <c r="AD2359" s="12"/>
    </row>
    <row r="2360" spans="1:30" ht="15.75" thickBot="1" x14ac:dyDescent="0.3">
      <c r="A2360" s="12"/>
      <c r="B2360" s="12"/>
      <c r="C2360" s="12"/>
      <c r="D2360" s="3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2"/>
      <c r="W2360" s="12"/>
      <c r="X2360" s="12"/>
      <c r="Y2360" s="12"/>
      <c r="Z2360" s="12"/>
      <c r="AA2360" s="12"/>
      <c r="AB2360" s="12"/>
      <c r="AC2360" s="12"/>
      <c r="AD2360" s="12"/>
    </row>
    <row r="2361" spans="1:30" ht="15.75" thickBot="1" x14ac:dyDescent="0.3">
      <c r="A2361" s="12"/>
      <c r="B2361" s="12"/>
      <c r="C2361" s="12"/>
      <c r="D2361" s="3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2"/>
      <c r="W2361" s="12"/>
      <c r="X2361" s="12"/>
      <c r="Y2361" s="12"/>
      <c r="Z2361" s="12"/>
      <c r="AA2361" s="12"/>
      <c r="AB2361" s="12"/>
      <c r="AC2361" s="12"/>
      <c r="AD2361" s="12"/>
    </row>
    <row r="2362" spans="1:30" ht="15.75" thickBot="1" x14ac:dyDescent="0.3">
      <c r="A2362" s="12"/>
      <c r="B2362" s="12"/>
      <c r="C2362" s="12"/>
      <c r="D2362" s="3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2"/>
      <c r="W2362" s="12"/>
      <c r="X2362" s="12"/>
      <c r="Y2362" s="12"/>
      <c r="Z2362" s="12"/>
      <c r="AA2362" s="12"/>
      <c r="AB2362" s="12"/>
      <c r="AC2362" s="12"/>
      <c r="AD2362" s="12"/>
    </row>
    <row r="2363" spans="1:30" ht="15.75" thickBot="1" x14ac:dyDescent="0.3">
      <c r="A2363" s="12"/>
      <c r="B2363" s="12"/>
      <c r="C2363" s="12"/>
      <c r="D2363" s="3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2"/>
      <c r="W2363" s="12"/>
      <c r="X2363" s="12"/>
      <c r="Y2363" s="12"/>
      <c r="Z2363" s="12"/>
      <c r="AA2363" s="12"/>
      <c r="AB2363" s="12"/>
      <c r="AC2363" s="12"/>
      <c r="AD2363" s="12"/>
    </row>
    <row r="2364" spans="1:30" ht="15.75" thickBot="1" x14ac:dyDescent="0.3">
      <c r="A2364" s="12"/>
      <c r="B2364" s="12"/>
      <c r="C2364" s="12"/>
      <c r="D2364" s="3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2"/>
      <c r="W2364" s="12"/>
      <c r="X2364" s="12"/>
      <c r="Y2364" s="12"/>
      <c r="Z2364" s="12"/>
      <c r="AA2364" s="12"/>
      <c r="AB2364" s="12"/>
      <c r="AC2364" s="12"/>
      <c r="AD2364" s="12"/>
    </row>
    <row r="2365" spans="1:30" ht="15.75" thickBot="1" x14ac:dyDescent="0.3">
      <c r="A2365" s="12"/>
      <c r="B2365" s="12"/>
      <c r="C2365" s="12"/>
      <c r="D2365" s="3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2"/>
      <c r="W2365" s="12"/>
      <c r="X2365" s="12"/>
      <c r="Y2365" s="12"/>
      <c r="Z2365" s="12"/>
      <c r="AA2365" s="12"/>
      <c r="AB2365" s="12"/>
      <c r="AC2365" s="12"/>
      <c r="AD2365" s="12"/>
    </row>
    <row r="2366" spans="1:30" ht="15.75" thickBot="1" x14ac:dyDescent="0.3">
      <c r="A2366" s="12"/>
      <c r="B2366" s="12"/>
      <c r="C2366" s="12"/>
      <c r="D2366" s="3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2"/>
      <c r="W2366" s="12"/>
      <c r="X2366" s="12"/>
      <c r="Y2366" s="12"/>
      <c r="Z2366" s="12"/>
      <c r="AA2366" s="12"/>
      <c r="AB2366" s="12"/>
      <c r="AC2366" s="12"/>
      <c r="AD2366" s="12"/>
    </row>
    <row r="2367" spans="1:30" ht="15.75" thickBot="1" x14ac:dyDescent="0.3">
      <c r="A2367" s="12"/>
      <c r="B2367" s="12"/>
      <c r="C2367" s="12"/>
      <c r="D2367" s="3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2"/>
      <c r="W2367" s="12"/>
      <c r="X2367" s="12"/>
      <c r="Y2367" s="12"/>
      <c r="Z2367" s="12"/>
      <c r="AA2367" s="12"/>
      <c r="AB2367" s="12"/>
      <c r="AC2367" s="12"/>
      <c r="AD2367" s="12"/>
    </row>
    <row r="2368" spans="1:30" ht="15.75" thickBot="1" x14ac:dyDescent="0.3">
      <c r="A2368" s="12"/>
      <c r="B2368" s="12"/>
      <c r="C2368" s="12"/>
      <c r="D2368" s="3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2"/>
      <c r="W2368" s="12"/>
      <c r="X2368" s="12"/>
      <c r="Y2368" s="12"/>
      <c r="Z2368" s="12"/>
      <c r="AA2368" s="12"/>
      <c r="AB2368" s="12"/>
      <c r="AC2368" s="12"/>
      <c r="AD2368" s="12"/>
    </row>
    <row r="2369" spans="1:30" ht="15.75" thickBot="1" x14ac:dyDescent="0.3">
      <c r="A2369" s="12"/>
      <c r="B2369" s="12"/>
      <c r="C2369" s="12"/>
      <c r="D2369" s="3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2"/>
      <c r="W2369" s="12"/>
      <c r="X2369" s="12"/>
      <c r="Y2369" s="12"/>
      <c r="Z2369" s="12"/>
      <c r="AA2369" s="12"/>
      <c r="AB2369" s="12"/>
      <c r="AC2369" s="12"/>
      <c r="AD2369" s="12"/>
    </row>
    <row r="2370" spans="1:30" ht="15.75" thickBot="1" x14ac:dyDescent="0.3">
      <c r="A2370" s="12"/>
      <c r="B2370" s="12"/>
      <c r="C2370" s="12"/>
      <c r="D2370" s="3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2"/>
      <c r="W2370" s="12"/>
      <c r="X2370" s="12"/>
      <c r="Y2370" s="12"/>
      <c r="Z2370" s="12"/>
      <c r="AA2370" s="12"/>
      <c r="AB2370" s="12"/>
      <c r="AC2370" s="12"/>
      <c r="AD2370" s="12"/>
    </row>
    <row r="2371" spans="1:30" ht="15.75" thickBot="1" x14ac:dyDescent="0.3">
      <c r="A2371" s="12"/>
      <c r="B2371" s="12"/>
      <c r="C2371" s="12"/>
      <c r="D2371" s="3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2"/>
      <c r="W2371" s="12"/>
      <c r="X2371" s="12"/>
      <c r="Y2371" s="12"/>
      <c r="Z2371" s="12"/>
      <c r="AA2371" s="12"/>
      <c r="AB2371" s="12"/>
      <c r="AC2371" s="12"/>
      <c r="AD2371" s="12"/>
    </row>
    <row r="2372" spans="1:30" ht="15.75" thickBot="1" x14ac:dyDescent="0.3">
      <c r="A2372" s="12"/>
      <c r="B2372" s="12"/>
      <c r="C2372" s="12"/>
      <c r="D2372" s="3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2"/>
      <c r="W2372" s="12"/>
      <c r="X2372" s="12"/>
      <c r="Y2372" s="12"/>
      <c r="Z2372" s="12"/>
      <c r="AA2372" s="12"/>
      <c r="AB2372" s="12"/>
      <c r="AC2372" s="12"/>
      <c r="AD2372" s="12"/>
    </row>
    <row r="2373" spans="1:30" ht="15.75" thickBot="1" x14ac:dyDescent="0.3">
      <c r="A2373" s="12"/>
      <c r="B2373" s="12"/>
      <c r="C2373" s="12"/>
      <c r="D2373" s="3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2"/>
      <c r="W2373" s="12"/>
      <c r="X2373" s="12"/>
      <c r="Y2373" s="12"/>
      <c r="Z2373" s="12"/>
      <c r="AA2373" s="12"/>
      <c r="AB2373" s="12"/>
      <c r="AC2373" s="12"/>
      <c r="AD2373" s="12"/>
    </row>
    <row r="2374" spans="1:30" ht="15.75" thickBot="1" x14ac:dyDescent="0.3">
      <c r="A2374" s="12"/>
      <c r="B2374" s="12"/>
      <c r="C2374" s="12"/>
      <c r="D2374" s="3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2"/>
      <c r="W2374" s="12"/>
      <c r="X2374" s="12"/>
      <c r="Y2374" s="12"/>
      <c r="Z2374" s="12"/>
      <c r="AA2374" s="12"/>
      <c r="AB2374" s="12"/>
      <c r="AC2374" s="12"/>
      <c r="AD2374" s="12"/>
    </row>
    <row r="2375" spans="1:30" ht="15.75" thickBot="1" x14ac:dyDescent="0.3">
      <c r="A2375" s="12"/>
      <c r="B2375" s="12"/>
      <c r="C2375" s="12"/>
      <c r="D2375" s="3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2"/>
      <c r="W2375" s="12"/>
      <c r="X2375" s="12"/>
      <c r="Y2375" s="12"/>
      <c r="Z2375" s="12"/>
      <c r="AA2375" s="12"/>
      <c r="AB2375" s="12"/>
      <c r="AC2375" s="12"/>
      <c r="AD2375" s="12"/>
    </row>
    <row r="2376" spans="1:30" ht="15.75" thickBot="1" x14ac:dyDescent="0.3">
      <c r="A2376" s="12"/>
      <c r="B2376" s="12"/>
      <c r="C2376" s="12"/>
      <c r="D2376" s="3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2"/>
      <c r="W2376" s="12"/>
      <c r="X2376" s="12"/>
      <c r="Y2376" s="12"/>
      <c r="Z2376" s="12"/>
      <c r="AA2376" s="12"/>
      <c r="AB2376" s="12"/>
      <c r="AC2376" s="12"/>
      <c r="AD2376" s="12"/>
    </row>
    <row r="2377" spans="1:30" ht="15.75" thickBot="1" x14ac:dyDescent="0.3">
      <c r="A2377" s="12"/>
      <c r="B2377" s="12"/>
      <c r="C2377" s="12"/>
      <c r="D2377" s="3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2"/>
      <c r="W2377" s="12"/>
      <c r="X2377" s="12"/>
      <c r="Y2377" s="12"/>
      <c r="Z2377" s="12"/>
      <c r="AA2377" s="12"/>
      <c r="AB2377" s="12"/>
      <c r="AC2377" s="12"/>
      <c r="AD2377" s="12"/>
    </row>
    <row r="2378" spans="1:30" ht="15.75" thickBot="1" x14ac:dyDescent="0.3">
      <c r="A2378" s="12"/>
      <c r="B2378" s="12"/>
      <c r="C2378" s="12"/>
      <c r="D2378" s="3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2"/>
      <c r="W2378" s="12"/>
      <c r="X2378" s="12"/>
      <c r="Y2378" s="12"/>
      <c r="Z2378" s="12"/>
      <c r="AA2378" s="12"/>
      <c r="AB2378" s="12"/>
      <c r="AC2378" s="12"/>
      <c r="AD2378" s="12"/>
    </row>
    <row r="2379" spans="1:30" ht="15.75" thickBot="1" x14ac:dyDescent="0.3">
      <c r="A2379" s="12"/>
      <c r="B2379" s="12"/>
      <c r="C2379" s="12"/>
      <c r="D2379" s="3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2"/>
      <c r="W2379" s="12"/>
      <c r="X2379" s="12"/>
      <c r="Y2379" s="12"/>
      <c r="Z2379" s="12"/>
      <c r="AA2379" s="12"/>
      <c r="AB2379" s="12"/>
      <c r="AC2379" s="12"/>
      <c r="AD2379" s="12"/>
    </row>
    <row r="2380" spans="1:30" ht="15.75" thickBot="1" x14ac:dyDescent="0.3">
      <c r="A2380" s="12"/>
      <c r="B2380" s="12"/>
      <c r="C2380" s="12"/>
      <c r="D2380" s="3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2"/>
      <c r="W2380" s="12"/>
      <c r="X2380" s="12"/>
      <c r="Y2380" s="12"/>
      <c r="Z2380" s="12"/>
      <c r="AA2380" s="12"/>
      <c r="AB2380" s="12"/>
      <c r="AC2380" s="12"/>
      <c r="AD2380" s="12"/>
    </row>
    <row r="2381" spans="1:30" ht="15.75" thickBot="1" x14ac:dyDescent="0.3">
      <c r="A2381" s="12"/>
      <c r="B2381" s="12"/>
      <c r="C2381" s="12"/>
      <c r="D2381" s="3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2"/>
      <c r="W2381" s="12"/>
      <c r="X2381" s="12"/>
      <c r="Y2381" s="12"/>
      <c r="Z2381" s="12"/>
      <c r="AA2381" s="12"/>
      <c r="AB2381" s="12"/>
      <c r="AC2381" s="12"/>
      <c r="AD2381" s="12"/>
    </row>
    <row r="2382" spans="1:30" ht="15.75" thickBot="1" x14ac:dyDescent="0.3">
      <c r="A2382" s="12"/>
      <c r="B2382" s="12"/>
      <c r="C2382" s="12"/>
      <c r="D2382" s="3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2"/>
      <c r="W2382" s="12"/>
      <c r="X2382" s="12"/>
      <c r="Y2382" s="12"/>
      <c r="Z2382" s="12"/>
      <c r="AA2382" s="12"/>
      <c r="AB2382" s="12"/>
      <c r="AC2382" s="12"/>
      <c r="AD2382" s="12"/>
    </row>
    <row r="2383" spans="1:30" ht="15.75" thickBot="1" x14ac:dyDescent="0.3">
      <c r="A2383" s="12"/>
      <c r="B2383" s="12"/>
      <c r="C2383" s="12"/>
      <c r="D2383" s="3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2"/>
      <c r="W2383" s="12"/>
      <c r="X2383" s="12"/>
      <c r="Y2383" s="12"/>
      <c r="Z2383" s="12"/>
      <c r="AA2383" s="12"/>
      <c r="AB2383" s="12"/>
      <c r="AC2383" s="12"/>
      <c r="AD2383" s="12"/>
    </row>
    <row r="2384" spans="1:30" ht="15.75" thickBot="1" x14ac:dyDescent="0.3">
      <c r="A2384" s="12"/>
      <c r="B2384" s="12"/>
      <c r="C2384" s="12"/>
      <c r="D2384" s="3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2"/>
      <c r="W2384" s="12"/>
      <c r="X2384" s="12"/>
      <c r="Y2384" s="12"/>
      <c r="Z2384" s="12"/>
      <c r="AA2384" s="12"/>
      <c r="AB2384" s="12"/>
      <c r="AC2384" s="12"/>
      <c r="AD2384" s="12"/>
    </row>
    <row r="2385" spans="1:30" ht="15.75" thickBot="1" x14ac:dyDescent="0.3">
      <c r="A2385" s="12"/>
      <c r="B2385" s="12"/>
      <c r="C2385" s="12"/>
      <c r="D2385" s="3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2"/>
      <c r="W2385" s="12"/>
      <c r="X2385" s="12"/>
      <c r="Y2385" s="12"/>
      <c r="Z2385" s="12"/>
      <c r="AA2385" s="12"/>
      <c r="AB2385" s="12"/>
      <c r="AC2385" s="12"/>
      <c r="AD2385" s="12"/>
    </row>
    <row r="2386" spans="1:30" ht="15.75" thickBot="1" x14ac:dyDescent="0.3">
      <c r="A2386" s="12"/>
      <c r="B2386" s="12"/>
      <c r="C2386" s="12"/>
      <c r="D2386" s="3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2"/>
      <c r="W2386" s="12"/>
      <c r="X2386" s="12"/>
      <c r="Y2386" s="12"/>
      <c r="Z2386" s="12"/>
      <c r="AA2386" s="12"/>
      <c r="AB2386" s="12"/>
      <c r="AC2386" s="12"/>
      <c r="AD2386" s="12"/>
    </row>
    <row r="2387" spans="1:30" ht="15.75" thickBot="1" x14ac:dyDescent="0.3">
      <c r="A2387" s="12"/>
      <c r="B2387" s="12"/>
      <c r="C2387" s="12"/>
      <c r="D2387" s="3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2"/>
      <c r="W2387" s="12"/>
      <c r="X2387" s="12"/>
      <c r="Y2387" s="12"/>
      <c r="Z2387" s="12"/>
      <c r="AA2387" s="12"/>
      <c r="AB2387" s="12"/>
      <c r="AC2387" s="12"/>
      <c r="AD2387" s="12"/>
    </row>
    <row r="2388" spans="1:30" ht="15.75" thickBot="1" x14ac:dyDescent="0.3">
      <c r="A2388" s="12"/>
      <c r="B2388" s="12"/>
      <c r="C2388" s="12"/>
      <c r="D2388" s="3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2"/>
      <c r="W2388" s="12"/>
      <c r="X2388" s="12"/>
      <c r="Y2388" s="12"/>
      <c r="Z2388" s="12"/>
      <c r="AA2388" s="12"/>
      <c r="AB2388" s="12"/>
      <c r="AC2388" s="12"/>
      <c r="AD2388" s="12"/>
    </row>
    <row r="2389" spans="1:30" ht="15.75" thickBot="1" x14ac:dyDescent="0.3">
      <c r="A2389" s="12"/>
      <c r="B2389" s="12"/>
      <c r="C2389" s="12"/>
      <c r="D2389" s="3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2"/>
      <c r="W2389" s="12"/>
      <c r="X2389" s="12"/>
      <c r="Y2389" s="12"/>
      <c r="Z2389" s="12"/>
      <c r="AA2389" s="12"/>
      <c r="AB2389" s="12"/>
      <c r="AC2389" s="12"/>
      <c r="AD2389" s="12"/>
    </row>
    <row r="2390" spans="1:30" ht="15.75" thickBot="1" x14ac:dyDescent="0.3">
      <c r="A2390" s="12"/>
      <c r="B2390" s="12"/>
      <c r="C2390" s="12"/>
      <c r="D2390" s="3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2"/>
      <c r="W2390" s="12"/>
      <c r="X2390" s="12"/>
      <c r="Y2390" s="12"/>
      <c r="Z2390" s="12"/>
      <c r="AA2390" s="12"/>
      <c r="AB2390" s="12"/>
      <c r="AC2390" s="12"/>
      <c r="AD2390" s="12"/>
    </row>
    <row r="2391" spans="1:30" ht="15.75" thickBot="1" x14ac:dyDescent="0.3">
      <c r="A2391" s="12"/>
      <c r="B2391" s="12"/>
      <c r="C2391" s="12"/>
      <c r="D2391" s="3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2"/>
      <c r="W2391" s="12"/>
      <c r="X2391" s="12"/>
      <c r="Y2391" s="12"/>
      <c r="Z2391" s="12"/>
      <c r="AA2391" s="12"/>
      <c r="AB2391" s="12"/>
      <c r="AC2391" s="12"/>
      <c r="AD2391" s="12"/>
    </row>
    <row r="2392" spans="1:30" ht="15.75" thickBot="1" x14ac:dyDescent="0.3">
      <c r="A2392" s="12"/>
      <c r="B2392" s="12"/>
      <c r="C2392" s="12"/>
      <c r="D2392" s="3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2"/>
      <c r="W2392" s="12"/>
      <c r="X2392" s="12"/>
      <c r="Y2392" s="12"/>
      <c r="Z2392" s="12"/>
      <c r="AA2392" s="12"/>
      <c r="AB2392" s="12"/>
      <c r="AC2392" s="12"/>
      <c r="AD2392" s="12"/>
    </row>
    <row r="2393" spans="1:30" ht="15.75" thickBot="1" x14ac:dyDescent="0.3">
      <c r="A2393" s="12"/>
      <c r="B2393" s="12"/>
      <c r="C2393" s="12"/>
      <c r="D2393" s="3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2"/>
      <c r="W2393" s="12"/>
      <c r="X2393" s="12"/>
      <c r="Y2393" s="12"/>
      <c r="Z2393" s="12"/>
      <c r="AA2393" s="12"/>
      <c r="AB2393" s="12"/>
      <c r="AC2393" s="12"/>
      <c r="AD2393" s="12"/>
    </row>
    <row r="2394" spans="1:30" ht="15.75" thickBot="1" x14ac:dyDescent="0.3">
      <c r="A2394" s="12"/>
      <c r="B2394" s="12"/>
      <c r="C2394" s="12"/>
      <c r="D2394" s="3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2"/>
      <c r="W2394" s="12"/>
      <c r="X2394" s="12"/>
      <c r="Y2394" s="12"/>
      <c r="Z2394" s="12"/>
      <c r="AA2394" s="12"/>
      <c r="AB2394" s="12"/>
      <c r="AC2394" s="12"/>
      <c r="AD2394" s="12"/>
    </row>
    <row r="2395" spans="1:30" ht="15.75" thickBot="1" x14ac:dyDescent="0.3">
      <c r="A2395" s="12"/>
      <c r="B2395" s="12"/>
      <c r="C2395" s="12"/>
      <c r="D2395" s="3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2"/>
      <c r="W2395" s="12"/>
      <c r="X2395" s="12"/>
      <c r="Y2395" s="12"/>
      <c r="Z2395" s="12"/>
      <c r="AA2395" s="12"/>
      <c r="AB2395" s="12"/>
      <c r="AC2395" s="12"/>
      <c r="AD2395" s="12"/>
    </row>
    <row r="2396" spans="1:30" ht="15.75" thickBot="1" x14ac:dyDescent="0.3">
      <c r="A2396" s="12"/>
      <c r="B2396" s="12"/>
      <c r="C2396" s="12"/>
      <c r="D2396" s="3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2"/>
      <c r="W2396" s="12"/>
      <c r="X2396" s="12"/>
      <c r="Y2396" s="12"/>
      <c r="Z2396" s="12"/>
      <c r="AA2396" s="12"/>
      <c r="AB2396" s="12"/>
      <c r="AC2396" s="12"/>
      <c r="AD2396" s="12"/>
    </row>
    <row r="2397" spans="1:30" ht="15.75" thickBot="1" x14ac:dyDescent="0.3">
      <c r="A2397" s="12"/>
      <c r="B2397" s="12"/>
      <c r="C2397" s="12"/>
      <c r="D2397" s="3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2"/>
      <c r="W2397" s="12"/>
      <c r="X2397" s="12"/>
      <c r="Y2397" s="12"/>
      <c r="Z2397" s="12"/>
      <c r="AA2397" s="12"/>
      <c r="AB2397" s="12"/>
      <c r="AC2397" s="12"/>
      <c r="AD2397" s="12"/>
    </row>
    <row r="2398" spans="1:30" ht="15.75" thickBot="1" x14ac:dyDescent="0.3">
      <c r="A2398" s="12"/>
      <c r="B2398" s="12"/>
      <c r="C2398" s="12"/>
      <c r="D2398" s="3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2"/>
      <c r="W2398" s="12"/>
      <c r="X2398" s="12"/>
      <c r="Y2398" s="12"/>
      <c r="Z2398" s="12"/>
      <c r="AA2398" s="12"/>
      <c r="AB2398" s="12"/>
      <c r="AC2398" s="12"/>
      <c r="AD2398" s="12"/>
    </row>
    <row r="2399" spans="1:30" ht="15.75" thickBot="1" x14ac:dyDescent="0.3">
      <c r="A2399" s="12"/>
      <c r="B2399" s="12"/>
      <c r="C2399" s="12"/>
      <c r="D2399" s="3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2"/>
      <c r="W2399" s="12"/>
      <c r="X2399" s="12"/>
      <c r="Y2399" s="12"/>
      <c r="Z2399" s="12"/>
      <c r="AA2399" s="12"/>
      <c r="AB2399" s="12"/>
      <c r="AC2399" s="12"/>
      <c r="AD2399" s="12"/>
    </row>
    <row r="2400" spans="1:30" ht="15.75" thickBot="1" x14ac:dyDescent="0.3">
      <c r="A2400" s="12"/>
      <c r="B2400" s="12"/>
      <c r="C2400" s="12"/>
      <c r="D2400" s="3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2"/>
      <c r="W2400" s="12"/>
      <c r="X2400" s="12"/>
      <c r="Y2400" s="12"/>
      <c r="Z2400" s="12"/>
      <c r="AA2400" s="12"/>
      <c r="AB2400" s="12"/>
      <c r="AC2400" s="12"/>
      <c r="AD2400" s="12"/>
    </row>
    <row r="2401" spans="1:30" ht="15.75" thickBot="1" x14ac:dyDescent="0.3">
      <c r="A2401" s="12"/>
      <c r="B2401" s="12"/>
      <c r="C2401" s="12"/>
      <c r="D2401" s="3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2"/>
      <c r="W2401" s="12"/>
      <c r="X2401" s="12"/>
      <c r="Y2401" s="12"/>
      <c r="Z2401" s="12"/>
      <c r="AA2401" s="12"/>
      <c r="AB2401" s="12"/>
      <c r="AC2401" s="12"/>
      <c r="AD2401" s="12"/>
    </row>
    <row r="2402" spans="1:30" ht="15.75" thickBot="1" x14ac:dyDescent="0.3">
      <c r="A2402" s="12"/>
      <c r="B2402" s="12"/>
      <c r="C2402" s="12"/>
      <c r="D2402" s="3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2"/>
      <c r="W2402" s="12"/>
      <c r="X2402" s="12"/>
      <c r="Y2402" s="12"/>
      <c r="Z2402" s="12"/>
      <c r="AA2402" s="12"/>
      <c r="AB2402" s="12"/>
      <c r="AC2402" s="12"/>
      <c r="AD2402" s="12"/>
    </row>
    <row r="2403" spans="1:30" ht="15.75" thickBot="1" x14ac:dyDescent="0.3">
      <c r="A2403" s="12"/>
      <c r="B2403" s="12"/>
      <c r="C2403" s="12"/>
      <c r="D2403" s="3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2"/>
      <c r="W2403" s="12"/>
      <c r="X2403" s="12"/>
      <c r="Y2403" s="12"/>
      <c r="Z2403" s="12"/>
      <c r="AA2403" s="12"/>
      <c r="AB2403" s="12"/>
      <c r="AC2403" s="12"/>
      <c r="AD2403" s="12"/>
    </row>
    <row r="2404" spans="1:30" ht="15.75" thickBot="1" x14ac:dyDescent="0.3">
      <c r="A2404" s="12"/>
      <c r="B2404" s="12"/>
      <c r="C2404" s="12"/>
      <c r="D2404" s="3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2"/>
      <c r="W2404" s="12"/>
      <c r="X2404" s="12"/>
      <c r="Y2404" s="12"/>
      <c r="Z2404" s="12"/>
      <c r="AA2404" s="12"/>
      <c r="AB2404" s="12"/>
      <c r="AC2404" s="12"/>
      <c r="AD2404" s="12"/>
    </row>
    <row r="2405" spans="1:30" ht="15.75" thickBot="1" x14ac:dyDescent="0.3">
      <c r="A2405" s="12"/>
      <c r="B2405" s="12"/>
      <c r="C2405" s="12"/>
      <c r="D2405" s="3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2"/>
      <c r="W2405" s="12"/>
      <c r="X2405" s="12"/>
      <c r="Y2405" s="12"/>
      <c r="Z2405" s="12"/>
      <c r="AA2405" s="12"/>
      <c r="AB2405" s="12"/>
      <c r="AC2405" s="12"/>
      <c r="AD2405" s="12"/>
    </row>
    <row r="2406" spans="1:30" ht="15.75" thickBot="1" x14ac:dyDescent="0.3">
      <c r="A2406" s="12"/>
      <c r="B2406" s="12"/>
      <c r="C2406" s="12"/>
      <c r="D2406" s="3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2"/>
      <c r="W2406" s="12"/>
      <c r="X2406" s="12"/>
      <c r="Y2406" s="12"/>
      <c r="Z2406" s="12"/>
      <c r="AA2406" s="12"/>
      <c r="AB2406" s="12"/>
      <c r="AC2406" s="12"/>
      <c r="AD2406" s="12"/>
    </row>
    <row r="2407" spans="1:30" ht="15.75" thickBot="1" x14ac:dyDescent="0.3">
      <c r="A2407" s="12"/>
      <c r="B2407" s="12"/>
      <c r="C2407" s="12"/>
      <c r="D2407" s="3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2"/>
      <c r="W2407" s="12"/>
      <c r="X2407" s="12"/>
      <c r="Y2407" s="12"/>
      <c r="Z2407" s="12"/>
      <c r="AA2407" s="12"/>
      <c r="AB2407" s="12"/>
      <c r="AC2407" s="12"/>
      <c r="AD2407" s="12"/>
    </row>
    <row r="2408" spans="1:30" ht="15.75" thickBot="1" x14ac:dyDescent="0.3">
      <c r="A2408" s="12"/>
      <c r="B2408" s="12"/>
      <c r="C2408" s="12"/>
      <c r="D2408" s="3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2"/>
      <c r="W2408" s="12"/>
      <c r="X2408" s="12"/>
      <c r="Y2408" s="12"/>
      <c r="Z2408" s="12"/>
      <c r="AA2408" s="12"/>
      <c r="AB2408" s="12"/>
      <c r="AC2408" s="12"/>
      <c r="AD2408" s="12"/>
    </row>
    <row r="2409" spans="1:30" ht="15.75" thickBot="1" x14ac:dyDescent="0.3">
      <c r="A2409" s="12"/>
      <c r="B2409" s="12"/>
      <c r="C2409" s="12"/>
      <c r="D2409" s="3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2"/>
      <c r="W2409" s="12"/>
      <c r="X2409" s="12"/>
      <c r="Y2409" s="12"/>
      <c r="Z2409" s="12"/>
      <c r="AA2409" s="12"/>
      <c r="AB2409" s="12"/>
      <c r="AC2409" s="12"/>
      <c r="AD2409" s="12"/>
    </row>
    <row r="2410" spans="1:30" ht="15.75" thickBot="1" x14ac:dyDescent="0.3">
      <c r="A2410" s="12"/>
      <c r="B2410" s="12"/>
      <c r="C2410" s="12"/>
      <c r="D2410" s="3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2"/>
      <c r="W2410" s="12"/>
      <c r="X2410" s="12"/>
      <c r="Y2410" s="12"/>
      <c r="Z2410" s="12"/>
      <c r="AA2410" s="12"/>
      <c r="AB2410" s="12"/>
      <c r="AC2410" s="12"/>
      <c r="AD2410" s="12"/>
    </row>
    <row r="2411" spans="1:30" ht="15.75" thickBot="1" x14ac:dyDescent="0.3">
      <c r="A2411" s="12"/>
      <c r="B2411" s="12"/>
      <c r="C2411" s="12"/>
      <c r="D2411" s="3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2"/>
      <c r="W2411" s="12"/>
      <c r="X2411" s="12"/>
      <c r="Y2411" s="12"/>
      <c r="Z2411" s="12"/>
      <c r="AA2411" s="12"/>
      <c r="AB2411" s="12"/>
      <c r="AC2411" s="12"/>
      <c r="AD2411" s="12"/>
    </row>
    <row r="2412" spans="1:30" ht="15.75" thickBot="1" x14ac:dyDescent="0.3">
      <c r="A2412" s="12"/>
      <c r="B2412" s="12"/>
      <c r="C2412" s="12"/>
      <c r="D2412" s="3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2"/>
      <c r="W2412" s="12"/>
      <c r="X2412" s="12"/>
      <c r="Y2412" s="12"/>
      <c r="Z2412" s="12"/>
      <c r="AA2412" s="12"/>
      <c r="AB2412" s="12"/>
      <c r="AC2412" s="12"/>
      <c r="AD2412" s="12"/>
    </row>
    <row r="2413" spans="1:30" ht="15.75" thickBot="1" x14ac:dyDescent="0.3">
      <c r="A2413" s="12"/>
      <c r="B2413" s="12"/>
      <c r="C2413" s="12"/>
      <c r="D2413" s="3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2"/>
      <c r="W2413" s="12"/>
      <c r="X2413" s="12"/>
      <c r="Y2413" s="12"/>
      <c r="Z2413" s="12"/>
      <c r="AA2413" s="12"/>
      <c r="AB2413" s="12"/>
      <c r="AC2413" s="12"/>
      <c r="AD2413" s="12"/>
    </row>
    <row r="2414" spans="1:30" ht="15.75" thickBot="1" x14ac:dyDescent="0.3">
      <c r="A2414" s="12"/>
      <c r="B2414" s="12"/>
      <c r="C2414" s="12"/>
      <c r="D2414" s="3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2"/>
      <c r="W2414" s="12"/>
      <c r="X2414" s="12"/>
      <c r="Y2414" s="12"/>
      <c r="Z2414" s="12"/>
      <c r="AA2414" s="12"/>
      <c r="AB2414" s="12"/>
      <c r="AC2414" s="12"/>
      <c r="AD2414" s="12"/>
    </row>
    <row r="2415" spans="1:30" ht="15.75" thickBot="1" x14ac:dyDescent="0.3">
      <c r="A2415" s="12"/>
      <c r="B2415" s="12"/>
      <c r="C2415" s="12"/>
      <c r="D2415" s="3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2"/>
      <c r="W2415" s="12"/>
      <c r="X2415" s="12"/>
      <c r="Y2415" s="12"/>
      <c r="Z2415" s="12"/>
      <c r="AA2415" s="12"/>
      <c r="AB2415" s="12"/>
      <c r="AC2415" s="12"/>
      <c r="AD2415" s="12"/>
    </row>
    <row r="2416" spans="1:30" ht="15.75" thickBot="1" x14ac:dyDescent="0.3">
      <c r="A2416" s="12"/>
      <c r="B2416" s="12"/>
      <c r="C2416" s="12"/>
      <c r="D2416" s="3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2"/>
      <c r="W2416" s="12"/>
      <c r="X2416" s="12"/>
      <c r="Y2416" s="12"/>
      <c r="Z2416" s="12"/>
      <c r="AA2416" s="12"/>
      <c r="AB2416" s="12"/>
      <c r="AC2416" s="12"/>
      <c r="AD2416" s="12"/>
    </row>
    <row r="2417" spans="1:30" ht="15.75" thickBot="1" x14ac:dyDescent="0.3">
      <c r="A2417" s="12"/>
      <c r="B2417" s="12"/>
      <c r="C2417" s="12"/>
      <c r="D2417" s="3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2"/>
      <c r="W2417" s="12"/>
      <c r="X2417" s="12"/>
      <c r="Y2417" s="12"/>
      <c r="Z2417" s="12"/>
      <c r="AA2417" s="12"/>
      <c r="AB2417" s="12"/>
      <c r="AC2417" s="12"/>
      <c r="AD2417" s="12"/>
    </row>
    <row r="2418" spans="1:30" ht="15.75" thickBot="1" x14ac:dyDescent="0.3">
      <c r="A2418" s="12"/>
      <c r="B2418" s="12"/>
      <c r="C2418" s="12"/>
      <c r="D2418" s="3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2"/>
      <c r="W2418" s="12"/>
      <c r="X2418" s="12"/>
      <c r="Y2418" s="12"/>
      <c r="Z2418" s="12"/>
      <c r="AA2418" s="12"/>
      <c r="AB2418" s="12"/>
      <c r="AC2418" s="12"/>
      <c r="AD2418" s="12"/>
    </row>
    <row r="2419" spans="1:30" ht="15.75" thickBot="1" x14ac:dyDescent="0.3">
      <c r="A2419" s="12"/>
      <c r="B2419" s="12"/>
      <c r="C2419" s="12"/>
      <c r="D2419" s="3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2"/>
      <c r="W2419" s="12"/>
      <c r="X2419" s="12"/>
      <c r="Y2419" s="12"/>
      <c r="Z2419" s="12"/>
      <c r="AA2419" s="12"/>
      <c r="AB2419" s="12"/>
      <c r="AC2419" s="12"/>
      <c r="AD2419" s="12"/>
    </row>
    <row r="2420" spans="1:30" ht="15.75" thickBot="1" x14ac:dyDescent="0.3">
      <c r="A2420" s="12"/>
      <c r="B2420" s="12"/>
      <c r="C2420" s="12"/>
      <c r="D2420" s="3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2"/>
      <c r="W2420" s="12"/>
      <c r="X2420" s="12"/>
      <c r="Y2420" s="12"/>
      <c r="Z2420" s="12"/>
      <c r="AA2420" s="12"/>
      <c r="AB2420" s="12"/>
      <c r="AC2420" s="12"/>
      <c r="AD2420" s="12"/>
    </row>
    <row r="2421" spans="1:30" ht="15.75" thickBot="1" x14ac:dyDescent="0.3">
      <c r="A2421" s="12"/>
      <c r="B2421" s="12"/>
      <c r="C2421" s="12"/>
      <c r="D2421" s="3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2"/>
      <c r="W2421" s="12"/>
      <c r="X2421" s="12"/>
      <c r="Y2421" s="12"/>
      <c r="Z2421" s="12"/>
      <c r="AA2421" s="12"/>
      <c r="AB2421" s="12"/>
      <c r="AC2421" s="12"/>
      <c r="AD2421" s="12"/>
    </row>
    <row r="2422" spans="1:30" ht="15.75" thickBot="1" x14ac:dyDescent="0.3">
      <c r="A2422" s="12"/>
      <c r="B2422" s="12"/>
      <c r="C2422" s="12"/>
      <c r="D2422" s="3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2"/>
      <c r="W2422" s="12"/>
      <c r="X2422" s="12"/>
      <c r="Y2422" s="12"/>
      <c r="Z2422" s="12"/>
      <c r="AA2422" s="12"/>
      <c r="AB2422" s="12"/>
      <c r="AC2422" s="12"/>
      <c r="AD2422" s="12"/>
    </row>
    <row r="2423" spans="1:30" ht="15.75" thickBot="1" x14ac:dyDescent="0.3">
      <c r="A2423" s="12"/>
      <c r="B2423" s="12"/>
      <c r="C2423" s="12"/>
      <c r="D2423" s="3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2"/>
      <c r="W2423" s="12"/>
      <c r="X2423" s="12"/>
      <c r="Y2423" s="12"/>
      <c r="Z2423" s="12"/>
      <c r="AA2423" s="12"/>
      <c r="AB2423" s="12"/>
      <c r="AC2423" s="12"/>
      <c r="AD2423" s="12"/>
    </row>
    <row r="2424" spans="1:30" ht="15.75" thickBot="1" x14ac:dyDescent="0.3">
      <c r="A2424" s="12"/>
      <c r="B2424" s="12"/>
      <c r="C2424" s="12"/>
      <c r="D2424" s="3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2"/>
      <c r="W2424" s="12"/>
      <c r="X2424" s="12"/>
      <c r="Y2424" s="12"/>
      <c r="Z2424" s="12"/>
      <c r="AA2424" s="12"/>
      <c r="AB2424" s="12"/>
      <c r="AC2424" s="12"/>
      <c r="AD2424" s="12"/>
    </row>
    <row r="2425" spans="1:30" ht="15.75" thickBot="1" x14ac:dyDescent="0.3">
      <c r="A2425" s="12"/>
      <c r="B2425" s="12"/>
      <c r="C2425" s="12"/>
      <c r="D2425" s="3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2"/>
      <c r="W2425" s="12"/>
      <c r="X2425" s="12"/>
      <c r="Y2425" s="12"/>
      <c r="Z2425" s="12"/>
      <c r="AA2425" s="12"/>
      <c r="AB2425" s="12"/>
      <c r="AC2425" s="12"/>
      <c r="AD2425" s="12"/>
    </row>
    <row r="2426" spans="1:30" ht="15.75" thickBot="1" x14ac:dyDescent="0.3">
      <c r="A2426" s="12"/>
      <c r="B2426" s="12"/>
      <c r="C2426" s="12"/>
      <c r="D2426" s="3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2"/>
      <c r="W2426" s="12"/>
      <c r="X2426" s="12"/>
      <c r="Y2426" s="12"/>
      <c r="Z2426" s="12"/>
      <c r="AA2426" s="12"/>
      <c r="AB2426" s="12"/>
      <c r="AC2426" s="12"/>
      <c r="AD2426" s="12"/>
    </row>
    <row r="2427" spans="1:30" ht="15.75" thickBot="1" x14ac:dyDescent="0.3">
      <c r="A2427" s="12"/>
      <c r="B2427" s="12"/>
      <c r="C2427" s="12"/>
      <c r="D2427" s="3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2"/>
      <c r="W2427" s="12"/>
      <c r="X2427" s="12"/>
      <c r="Y2427" s="12"/>
      <c r="Z2427" s="12"/>
      <c r="AA2427" s="12"/>
      <c r="AB2427" s="12"/>
      <c r="AC2427" s="12"/>
      <c r="AD2427" s="12"/>
    </row>
    <row r="2428" spans="1:30" ht="15.75" thickBot="1" x14ac:dyDescent="0.3">
      <c r="A2428" s="12"/>
      <c r="B2428" s="12"/>
      <c r="C2428" s="12"/>
      <c r="D2428" s="3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2"/>
      <c r="W2428" s="12"/>
      <c r="X2428" s="12"/>
      <c r="Y2428" s="12"/>
      <c r="Z2428" s="12"/>
      <c r="AA2428" s="12"/>
      <c r="AB2428" s="12"/>
      <c r="AC2428" s="12"/>
      <c r="AD2428" s="12"/>
    </row>
    <row r="2429" spans="1:30" ht="15.75" thickBot="1" x14ac:dyDescent="0.3">
      <c r="A2429" s="12"/>
      <c r="B2429" s="12"/>
      <c r="C2429" s="12"/>
      <c r="D2429" s="3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2"/>
      <c r="W2429" s="12"/>
      <c r="X2429" s="12"/>
      <c r="Y2429" s="12"/>
      <c r="Z2429" s="12"/>
      <c r="AA2429" s="12"/>
      <c r="AB2429" s="12"/>
      <c r="AC2429" s="12"/>
      <c r="AD2429" s="12"/>
    </row>
    <row r="2430" spans="1:30" ht="15.75" thickBot="1" x14ac:dyDescent="0.3">
      <c r="A2430" s="12"/>
      <c r="B2430" s="12"/>
      <c r="C2430" s="12"/>
      <c r="D2430" s="3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2"/>
      <c r="W2430" s="12"/>
      <c r="X2430" s="12"/>
      <c r="Y2430" s="12"/>
      <c r="Z2430" s="12"/>
      <c r="AA2430" s="12"/>
      <c r="AB2430" s="12"/>
      <c r="AC2430" s="12"/>
      <c r="AD2430" s="12"/>
    </row>
    <row r="2431" spans="1:30" ht="15.75" thickBot="1" x14ac:dyDescent="0.3">
      <c r="A2431" s="12"/>
      <c r="B2431" s="12"/>
      <c r="C2431" s="12"/>
      <c r="D2431" s="3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2"/>
      <c r="W2431" s="12"/>
      <c r="X2431" s="12"/>
      <c r="Y2431" s="12"/>
      <c r="Z2431" s="12"/>
      <c r="AA2431" s="12"/>
      <c r="AB2431" s="12"/>
      <c r="AC2431" s="12"/>
      <c r="AD2431" s="12"/>
    </row>
    <row r="2432" spans="1:30" ht="15.75" thickBot="1" x14ac:dyDescent="0.3">
      <c r="A2432" s="12"/>
      <c r="B2432" s="12"/>
      <c r="C2432" s="12"/>
      <c r="D2432" s="3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2"/>
      <c r="W2432" s="12"/>
      <c r="X2432" s="12"/>
      <c r="Y2432" s="12"/>
      <c r="Z2432" s="12"/>
      <c r="AA2432" s="12"/>
      <c r="AB2432" s="12"/>
      <c r="AC2432" s="12"/>
      <c r="AD2432" s="12"/>
    </row>
    <row r="2433" spans="1:30" ht="15.75" thickBot="1" x14ac:dyDescent="0.3">
      <c r="A2433" s="12"/>
      <c r="B2433" s="12"/>
      <c r="C2433" s="12"/>
      <c r="D2433" s="3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2"/>
      <c r="W2433" s="12"/>
      <c r="X2433" s="12"/>
      <c r="Y2433" s="12"/>
      <c r="Z2433" s="12"/>
      <c r="AA2433" s="12"/>
      <c r="AB2433" s="12"/>
      <c r="AC2433" s="12"/>
      <c r="AD2433" s="12"/>
    </row>
    <row r="2434" spans="1:30" ht="15.75" thickBot="1" x14ac:dyDescent="0.3">
      <c r="A2434" s="12"/>
      <c r="B2434" s="12"/>
      <c r="C2434" s="12"/>
      <c r="D2434" s="3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2"/>
      <c r="W2434" s="12"/>
      <c r="X2434" s="12"/>
      <c r="Y2434" s="12"/>
      <c r="Z2434" s="12"/>
      <c r="AA2434" s="12"/>
      <c r="AB2434" s="12"/>
      <c r="AC2434" s="12"/>
      <c r="AD2434" s="12"/>
    </row>
    <row r="2435" spans="1:30" ht="15.75" thickBot="1" x14ac:dyDescent="0.3">
      <c r="A2435" s="12"/>
      <c r="B2435" s="12"/>
      <c r="C2435" s="12"/>
      <c r="D2435" s="3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2"/>
      <c r="W2435" s="12"/>
      <c r="X2435" s="12"/>
      <c r="Y2435" s="12"/>
      <c r="Z2435" s="12"/>
      <c r="AA2435" s="12"/>
      <c r="AB2435" s="12"/>
      <c r="AC2435" s="12"/>
      <c r="AD2435" s="12"/>
    </row>
    <row r="2436" spans="1:30" ht="15.75" thickBot="1" x14ac:dyDescent="0.3">
      <c r="A2436" s="12"/>
      <c r="B2436" s="12"/>
      <c r="C2436" s="12"/>
      <c r="D2436" s="3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2"/>
      <c r="W2436" s="12"/>
      <c r="X2436" s="12"/>
      <c r="Y2436" s="12"/>
      <c r="Z2436" s="12"/>
      <c r="AA2436" s="12"/>
      <c r="AB2436" s="12"/>
      <c r="AC2436" s="12"/>
      <c r="AD2436" s="12"/>
    </row>
    <row r="2437" spans="1:30" ht="15.75" thickBot="1" x14ac:dyDescent="0.3">
      <c r="A2437" s="12"/>
      <c r="B2437" s="12"/>
      <c r="C2437" s="12"/>
      <c r="D2437" s="3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2"/>
      <c r="W2437" s="12"/>
      <c r="X2437" s="12"/>
      <c r="Y2437" s="12"/>
      <c r="Z2437" s="12"/>
      <c r="AA2437" s="12"/>
      <c r="AB2437" s="12"/>
      <c r="AC2437" s="12"/>
      <c r="AD2437" s="12"/>
    </row>
    <row r="2438" spans="1:30" ht="15.75" thickBot="1" x14ac:dyDescent="0.3">
      <c r="A2438" s="12"/>
      <c r="B2438" s="12"/>
      <c r="C2438" s="12"/>
      <c r="D2438" s="3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2"/>
      <c r="W2438" s="12"/>
      <c r="X2438" s="12"/>
      <c r="Y2438" s="12"/>
      <c r="Z2438" s="12"/>
      <c r="AA2438" s="12"/>
      <c r="AB2438" s="12"/>
      <c r="AC2438" s="12"/>
      <c r="AD2438" s="12"/>
    </row>
    <row r="2439" spans="1:30" ht="15.75" thickBot="1" x14ac:dyDescent="0.3">
      <c r="A2439" s="12"/>
      <c r="B2439" s="12"/>
      <c r="C2439" s="12"/>
      <c r="D2439" s="3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2"/>
      <c r="W2439" s="12"/>
      <c r="X2439" s="12"/>
      <c r="Y2439" s="12"/>
      <c r="Z2439" s="12"/>
      <c r="AA2439" s="12"/>
      <c r="AB2439" s="12"/>
      <c r="AC2439" s="12"/>
      <c r="AD2439" s="12"/>
    </row>
    <row r="2440" spans="1:30" ht="15.75" thickBot="1" x14ac:dyDescent="0.3">
      <c r="A2440" s="12"/>
      <c r="B2440" s="12"/>
      <c r="C2440" s="12"/>
      <c r="D2440" s="3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2"/>
      <c r="W2440" s="12"/>
      <c r="X2440" s="12"/>
      <c r="Y2440" s="12"/>
      <c r="Z2440" s="12"/>
      <c r="AA2440" s="12"/>
      <c r="AB2440" s="12"/>
      <c r="AC2440" s="12"/>
      <c r="AD2440" s="12"/>
    </row>
    <row r="2441" spans="1:30" ht="15.75" thickBot="1" x14ac:dyDescent="0.3">
      <c r="A2441" s="12"/>
      <c r="B2441" s="12"/>
      <c r="C2441" s="12"/>
      <c r="D2441" s="3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2"/>
      <c r="W2441" s="12"/>
      <c r="X2441" s="12"/>
      <c r="Y2441" s="12"/>
      <c r="Z2441" s="12"/>
      <c r="AA2441" s="12"/>
      <c r="AB2441" s="12"/>
      <c r="AC2441" s="12"/>
      <c r="AD2441" s="12"/>
    </row>
    <row r="2442" spans="1:30" ht="15.75" thickBot="1" x14ac:dyDescent="0.3">
      <c r="A2442" s="12"/>
      <c r="B2442" s="12"/>
      <c r="C2442" s="12"/>
      <c r="D2442" s="3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2"/>
      <c r="W2442" s="12"/>
      <c r="X2442" s="12"/>
      <c r="Y2442" s="12"/>
      <c r="Z2442" s="12"/>
      <c r="AA2442" s="12"/>
      <c r="AB2442" s="12"/>
      <c r="AC2442" s="12"/>
      <c r="AD2442" s="12"/>
    </row>
    <row r="2443" spans="1:30" ht="15.75" thickBot="1" x14ac:dyDescent="0.3">
      <c r="A2443" s="12"/>
      <c r="B2443" s="12"/>
      <c r="C2443" s="12"/>
      <c r="D2443" s="3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2"/>
      <c r="W2443" s="12"/>
      <c r="X2443" s="12"/>
      <c r="Y2443" s="12"/>
      <c r="Z2443" s="12"/>
      <c r="AA2443" s="12"/>
      <c r="AB2443" s="12"/>
      <c r="AC2443" s="12"/>
      <c r="AD2443" s="12"/>
    </row>
    <row r="2444" spans="1:30" ht="15.75" thickBot="1" x14ac:dyDescent="0.3">
      <c r="A2444" s="12"/>
      <c r="B2444" s="12"/>
      <c r="C2444" s="12"/>
      <c r="D2444" s="3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2"/>
      <c r="W2444" s="12"/>
      <c r="X2444" s="12"/>
      <c r="Y2444" s="12"/>
      <c r="Z2444" s="12"/>
      <c r="AA2444" s="12"/>
      <c r="AB2444" s="12"/>
      <c r="AC2444" s="12"/>
      <c r="AD2444" s="12"/>
    </row>
    <row r="2445" spans="1:30" ht="15.75" thickBot="1" x14ac:dyDescent="0.3">
      <c r="A2445" s="12"/>
      <c r="B2445" s="12"/>
      <c r="C2445" s="12"/>
      <c r="D2445" s="3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2"/>
      <c r="W2445" s="12"/>
      <c r="X2445" s="12"/>
      <c r="Y2445" s="12"/>
      <c r="Z2445" s="12"/>
      <c r="AA2445" s="12"/>
      <c r="AB2445" s="12"/>
      <c r="AC2445" s="12"/>
      <c r="AD2445" s="12"/>
    </row>
    <row r="2446" spans="1:30" ht="15.75" thickBot="1" x14ac:dyDescent="0.3">
      <c r="A2446" s="12"/>
      <c r="B2446" s="12"/>
      <c r="C2446" s="12"/>
      <c r="D2446" s="3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2"/>
      <c r="W2446" s="12"/>
      <c r="X2446" s="12"/>
      <c r="Y2446" s="12"/>
      <c r="Z2446" s="12"/>
      <c r="AA2446" s="12"/>
      <c r="AB2446" s="12"/>
      <c r="AC2446" s="12"/>
      <c r="AD2446" s="12"/>
    </row>
    <row r="2447" spans="1:30" ht="15.75" thickBot="1" x14ac:dyDescent="0.3">
      <c r="A2447" s="12"/>
      <c r="B2447" s="12"/>
      <c r="C2447" s="12"/>
      <c r="D2447" s="3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2"/>
      <c r="W2447" s="12"/>
      <c r="X2447" s="12"/>
      <c r="Y2447" s="12"/>
      <c r="Z2447" s="12"/>
      <c r="AA2447" s="12"/>
      <c r="AB2447" s="12"/>
      <c r="AC2447" s="12"/>
      <c r="AD2447" s="12"/>
    </row>
    <row r="2448" spans="1:30" ht="15.75" thickBot="1" x14ac:dyDescent="0.3">
      <c r="A2448" s="12"/>
      <c r="B2448" s="12"/>
      <c r="C2448" s="12"/>
      <c r="D2448" s="3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2"/>
      <c r="W2448" s="12"/>
      <c r="X2448" s="12"/>
      <c r="Y2448" s="12"/>
      <c r="Z2448" s="12"/>
      <c r="AA2448" s="12"/>
      <c r="AB2448" s="12"/>
      <c r="AC2448" s="12"/>
      <c r="AD2448" s="12"/>
    </row>
    <row r="2449" spans="1:30" ht="15.75" thickBot="1" x14ac:dyDescent="0.3">
      <c r="A2449" s="12"/>
      <c r="B2449" s="12"/>
      <c r="C2449" s="12"/>
      <c r="D2449" s="3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2"/>
      <c r="W2449" s="12"/>
      <c r="X2449" s="12"/>
      <c r="Y2449" s="12"/>
      <c r="Z2449" s="12"/>
      <c r="AA2449" s="12"/>
      <c r="AB2449" s="12"/>
      <c r="AC2449" s="12"/>
      <c r="AD2449" s="12"/>
    </row>
    <row r="2450" spans="1:30" ht="15.75" thickBot="1" x14ac:dyDescent="0.3">
      <c r="A2450" s="12"/>
      <c r="B2450" s="12"/>
      <c r="C2450" s="12"/>
      <c r="D2450" s="3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2"/>
      <c r="W2450" s="12"/>
      <c r="X2450" s="12"/>
      <c r="Y2450" s="12"/>
      <c r="Z2450" s="12"/>
      <c r="AA2450" s="12"/>
      <c r="AB2450" s="12"/>
      <c r="AC2450" s="12"/>
      <c r="AD2450" s="12"/>
    </row>
    <row r="2451" spans="1:30" ht="15.75" thickBot="1" x14ac:dyDescent="0.3">
      <c r="A2451" s="12"/>
      <c r="B2451" s="12"/>
      <c r="C2451" s="12"/>
      <c r="D2451" s="3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2"/>
      <c r="W2451" s="12"/>
      <c r="X2451" s="12"/>
      <c r="Y2451" s="12"/>
      <c r="Z2451" s="12"/>
      <c r="AA2451" s="12"/>
      <c r="AB2451" s="12"/>
      <c r="AC2451" s="12"/>
      <c r="AD2451" s="12"/>
    </row>
    <row r="2452" spans="1:30" ht="15.75" thickBot="1" x14ac:dyDescent="0.3">
      <c r="A2452" s="12"/>
      <c r="B2452" s="12"/>
      <c r="C2452" s="12"/>
      <c r="D2452" s="3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2"/>
      <c r="W2452" s="12"/>
      <c r="X2452" s="12"/>
      <c r="Y2452" s="12"/>
      <c r="Z2452" s="12"/>
      <c r="AA2452" s="12"/>
      <c r="AB2452" s="12"/>
      <c r="AC2452" s="12"/>
      <c r="AD2452" s="12"/>
    </row>
    <row r="2453" spans="1:30" ht="15.75" thickBot="1" x14ac:dyDescent="0.3">
      <c r="A2453" s="12"/>
      <c r="B2453" s="12"/>
      <c r="C2453" s="12"/>
      <c r="D2453" s="3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2"/>
      <c r="W2453" s="12"/>
      <c r="X2453" s="12"/>
      <c r="Y2453" s="12"/>
      <c r="Z2453" s="12"/>
      <c r="AA2453" s="12"/>
      <c r="AB2453" s="12"/>
      <c r="AC2453" s="12"/>
      <c r="AD2453" s="12"/>
    </row>
    <row r="2454" spans="1:30" ht="15.75" thickBot="1" x14ac:dyDescent="0.3">
      <c r="A2454" s="12"/>
      <c r="B2454" s="12"/>
      <c r="C2454" s="12"/>
      <c r="D2454" s="3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2"/>
      <c r="W2454" s="12"/>
      <c r="X2454" s="12"/>
      <c r="Y2454" s="12"/>
      <c r="Z2454" s="12"/>
      <c r="AA2454" s="12"/>
      <c r="AB2454" s="12"/>
      <c r="AC2454" s="12"/>
      <c r="AD2454" s="12"/>
    </row>
    <row r="2455" spans="1:30" ht="15.75" thickBot="1" x14ac:dyDescent="0.3">
      <c r="A2455" s="12"/>
      <c r="B2455" s="12"/>
      <c r="C2455" s="12"/>
      <c r="D2455" s="3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2"/>
      <c r="W2455" s="12"/>
      <c r="X2455" s="12"/>
      <c r="Y2455" s="12"/>
      <c r="Z2455" s="12"/>
      <c r="AA2455" s="12"/>
      <c r="AB2455" s="12"/>
      <c r="AC2455" s="12"/>
      <c r="AD2455" s="12"/>
    </row>
    <row r="2456" spans="1:30" ht="15.75" thickBot="1" x14ac:dyDescent="0.3">
      <c r="A2456" s="12"/>
      <c r="B2456" s="12"/>
      <c r="C2456" s="12"/>
      <c r="D2456" s="3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2"/>
      <c r="W2456" s="12"/>
      <c r="X2456" s="12"/>
      <c r="Y2456" s="12"/>
      <c r="Z2456" s="12"/>
      <c r="AA2456" s="12"/>
      <c r="AB2456" s="12"/>
      <c r="AC2456" s="12"/>
      <c r="AD2456" s="12"/>
    </row>
    <row r="2457" spans="1:30" ht="15.75" thickBot="1" x14ac:dyDescent="0.3">
      <c r="A2457" s="12"/>
      <c r="B2457" s="12"/>
      <c r="C2457" s="12"/>
      <c r="D2457" s="3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2"/>
      <c r="W2457" s="12"/>
      <c r="X2457" s="12"/>
      <c r="Y2457" s="12"/>
      <c r="Z2457" s="12"/>
      <c r="AA2457" s="12"/>
      <c r="AB2457" s="12"/>
      <c r="AC2457" s="12"/>
      <c r="AD2457" s="12"/>
    </row>
    <row r="2458" spans="1:30" ht="15.75" thickBot="1" x14ac:dyDescent="0.3">
      <c r="A2458" s="12"/>
      <c r="B2458" s="12"/>
      <c r="C2458" s="12"/>
      <c r="D2458" s="3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2"/>
      <c r="W2458" s="12"/>
      <c r="X2458" s="12"/>
      <c r="Y2458" s="12"/>
      <c r="Z2458" s="12"/>
      <c r="AA2458" s="12"/>
      <c r="AB2458" s="12"/>
      <c r="AC2458" s="12"/>
      <c r="AD2458" s="12"/>
    </row>
    <row r="2459" spans="1:30" ht="15.75" thickBot="1" x14ac:dyDescent="0.3">
      <c r="A2459" s="12"/>
      <c r="B2459" s="12"/>
      <c r="C2459" s="12"/>
      <c r="D2459" s="3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2"/>
      <c r="W2459" s="12"/>
      <c r="X2459" s="12"/>
      <c r="Y2459" s="12"/>
      <c r="Z2459" s="12"/>
      <c r="AA2459" s="12"/>
      <c r="AB2459" s="12"/>
      <c r="AC2459" s="12"/>
      <c r="AD2459" s="12"/>
    </row>
    <row r="2460" spans="1:30" ht="15.75" thickBot="1" x14ac:dyDescent="0.3">
      <c r="A2460" s="12"/>
      <c r="B2460" s="12"/>
      <c r="C2460" s="12"/>
      <c r="D2460" s="3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2"/>
      <c r="W2460" s="12"/>
      <c r="X2460" s="12"/>
      <c r="Y2460" s="12"/>
      <c r="Z2460" s="12"/>
      <c r="AA2460" s="12"/>
      <c r="AB2460" s="12"/>
      <c r="AC2460" s="12"/>
      <c r="AD2460" s="12"/>
    </row>
    <row r="2461" spans="1:30" ht="15.75" thickBot="1" x14ac:dyDescent="0.3">
      <c r="A2461" s="12"/>
      <c r="B2461" s="12"/>
      <c r="C2461" s="12"/>
      <c r="D2461" s="3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2"/>
      <c r="W2461" s="12"/>
      <c r="X2461" s="12"/>
      <c r="Y2461" s="12"/>
      <c r="Z2461" s="12"/>
      <c r="AA2461" s="12"/>
      <c r="AB2461" s="12"/>
      <c r="AC2461" s="12"/>
      <c r="AD2461" s="12"/>
    </row>
    <row r="2462" spans="1:30" ht="15.75" thickBot="1" x14ac:dyDescent="0.3">
      <c r="A2462" s="12"/>
      <c r="B2462" s="12"/>
      <c r="C2462" s="12"/>
      <c r="D2462" s="3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2"/>
      <c r="W2462" s="12"/>
      <c r="X2462" s="12"/>
      <c r="Y2462" s="12"/>
      <c r="Z2462" s="12"/>
      <c r="AA2462" s="12"/>
      <c r="AB2462" s="12"/>
      <c r="AC2462" s="12"/>
      <c r="AD2462" s="12"/>
    </row>
    <row r="2463" spans="1:30" ht="15.75" thickBot="1" x14ac:dyDescent="0.3">
      <c r="A2463" s="12"/>
      <c r="B2463" s="12"/>
      <c r="C2463" s="12"/>
      <c r="D2463" s="3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2"/>
      <c r="W2463" s="12"/>
      <c r="X2463" s="12"/>
      <c r="Y2463" s="12"/>
      <c r="Z2463" s="12"/>
      <c r="AA2463" s="12"/>
      <c r="AB2463" s="12"/>
      <c r="AC2463" s="12"/>
      <c r="AD2463" s="12"/>
    </row>
    <row r="2464" spans="1:30" ht="15.75" thickBot="1" x14ac:dyDescent="0.3">
      <c r="A2464" s="12"/>
      <c r="B2464" s="12"/>
      <c r="C2464" s="12"/>
      <c r="D2464" s="3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2"/>
      <c r="W2464" s="12"/>
      <c r="X2464" s="12"/>
      <c r="Y2464" s="12"/>
      <c r="Z2464" s="12"/>
      <c r="AA2464" s="12"/>
      <c r="AB2464" s="12"/>
      <c r="AC2464" s="12"/>
      <c r="AD2464" s="12"/>
    </row>
    <row r="2465" spans="1:30" ht="15.75" thickBot="1" x14ac:dyDescent="0.3">
      <c r="A2465" s="12"/>
      <c r="B2465" s="12"/>
      <c r="C2465" s="12"/>
      <c r="D2465" s="3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2"/>
      <c r="W2465" s="12"/>
      <c r="X2465" s="12"/>
      <c r="Y2465" s="12"/>
      <c r="Z2465" s="12"/>
      <c r="AA2465" s="12"/>
      <c r="AB2465" s="12"/>
      <c r="AC2465" s="12"/>
      <c r="AD2465" s="12"/>
    </row>
    <row r="2466" spans="1:30" ht="15.75" thickBot="1" x14ac:dyDescent="0.3">
      <c r="A2466" s="12"/>
      <c r="B2466" s="12"/>
      <c r="C2466" s="12"/>
      <c r="D2466" s="3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2"/>
      <c r="W2466" s="12"/>
      <c r="X2466" s="12"/>
      <c r="Y2466" s="12"/>
      <c r="Z2466" s="12"/>
      <c r="AA2466" s="12"/>
      <c r="AB2466" s="12"/>
      <c r="AC2466" s="12"/>
      <c r="AD2466" s="12"/>
    </row>
    <row r="2467" spans="1:30" ht="15.75" thickBot="1" x14ac:dyDescent="0.3">
      <c r="A2467" s="12"/>
      <c r="B2467" s="12"/>
      <c r="C2467" s="12"/>
      <c r="D2467" s="3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2"/>
      <c r="W2467" s="12"/>
      <c r="X2467" s="12"/>
      <c r="Y2467" s="12"/>
      <c r="Z2467" s="12"/>
      <c r="AA2467" s="12"/>
      <c r="AB2467" s="12"/>
      <c r="AC2467" s="12"/>
      <c r="AD2467" s="12"/>
    </row>
    <row r="2468" spans="1:30" ht="15.75" thickBot="1" x14ac:dyDescent="0.3">
      <c r="A2468" s="12"/>
      <c r="B2468" s="12"/>
      <c r="C2468" s="12"/>
      <c r="D2468" s="3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2"/>
      <c r="W2468" s="12"/>
      <c r="X2468" s="12"/>
      <c r="Y2468" s="12"/>
      <c r="Z2468" s="12"/>
      <c r="AA2468" s="12"/>
      <c r="AB2468" s="12"/>
      <c r="AC2468" s="12"/>
      <c r="AD2468" s="12"/>
    </row>
    <row r="2469" spans="1:30" ht="15.75" thickBot="1" x14ac:dyDescent="0.3">
      <c r="A2469" s="12"/>
      <c r="B2469" s="12"/>
      <c r="C2469" s="12"/>
      <c r="D2469" s="3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2"/>
      <c r="W2469" s="12"/>
      <c r="X2469" s="12"/>
      <c r="Y2469" s="12"/>
      <c r="Z2469" s="12"/>
      <c r="AA2469" s="12"/>
      <c r="AB2469" s="12"/>
      <c r="AC2469" s="12"/>
      <c r="AD2469" s="12"/>
    </row>
    <row r="2470" spans="1:30" ht="15.75" thickBot="1" x14ac:dyDescent="0.3">
      <c r="A2470" s="12"/>
      <c r="B2470" s="12"/>
      <c r="C2470" s="12"/>
      <c r="D2470" s="3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2"/>
      <c r="W2470" s="12"/>
      <c r="X2470" s="12"/>
      <c r="Y2470" s="12"/>
      <c r="Z2470" s="12"/>
      <c r="AA2470" s="12"/>
      <c r="AB2470" s="12"/>
      <c r="AC2470" s="12"/>
      <c r="AD2470" s="12"/>
    </row>
    <row r="2471" spans="1:30" ht="15.75" thickBot="1" x14ac:dyDescent="0.3">
      <c r="A2471" s="12"/>
      <c r="B2471" s="12"/>
      <c r="C2471" s="12"/>
      <c r="D2471" s="3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2"/>
      <c r="W2471" s="12"/>
      <c r="X2471" s="12"/>
      <c r="Y2471" s="12"/>
      <c r="Z2471" s="12"/>
      <c r="AA2471" s="12"/>
      <c r="AB2471" s="12"/>
      <c r="AC2471" s="12"/>
      <c r="AD2471" s="12"/>
    </row>
    <row r="2472" spans="1:30" ht="15.75" thickBot="1" x14ac:dyDescent="0.3">
      <c r="A2472" s="12"/>
      <c r="B2472" s="12"/>
      <c r="C2472" s="12"/>
      <c r="D2472" s="3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2"/>
      <c r="W2472" s="12"/>
      <c r="X2472" s="12"/>
      <c r="Y2472" s="12"/>
      <c r="Z2472" s="12"/>
      <c r="AA2472" s="12"/>
      <c r="AB2472" s="12"/>
      <c r="AC2472" s="12"/>
      <c r="AD2472" s="12"/>
    </row>
    <row r="2473" spans="1:30" ht="15.75" thickBot="1" x14ac:dyDescent="0.3">
      <c r="A2473" s="12"/>
      <c r="B2473" s="12"/>
      <c r="C2473" s="12"/>
      <c r="D2473" s="3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2"/>
      <c r="W2473" s="12"/>
      <c r="X2473" s="12"/>
      <c r="Y2473" s="12"/>
      <c r="Z2473" s="12"/>
      <c r="AA2473" s="12"/>
      <c r="AB2473" s="12"/>
      <c r="AC2473" s="12"/>
      <c r="AD2473" s="12"/>
    </row>
    <row r="2474" spans="1:30" ht="15.75" thickBot="1" x14ac:dyDescent="0.3">
      <c r="A2474" s="12"/>
      <c r="B2474" s="12"/>
      <c r="C2474" s="12"/>
      <c r="D2474" s="3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2"/>
      <c r="W2474" s="12"/>
      <c r="X2474" s="12"/>
      <c r="Y2474" s="12"/>
      <c r="Z2474" s="12"/>
      <c r="AA2474" s="12"/>
      <c r="AB2474" s="12"/>
      <c r="AC2474" s="12"/>
      <c r="AD2474" s="12"/>
    </row>
    <row r="2475" spans="1:30" ht="15.75" thickBot="1" x14ac:dyDescent="0.3">
      <c r="A2475" s="12"/>
      <c r="B2475" s="12"/>
      <c r="C2475" s="12"/>
      <c r="D2475" s="3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2"/>
      <c r="W2475" s="12"/>
      <c r="X2475" s="12"/>
      <c r="Y2475" s="12"/>
      <c r="Z2475" s="12"/>
      <c r="AA2475" s="12"/>
      <c r="AB2475" s="12"/>
      <c r="AC2475" s="12"/>
      <c r="AD2475" s="12"/>
    </row>
    <row r="2476" spans="1:30" ht="15.75" thickBot="1" x14ac:dyDescent="0.3">
      <c r="A2476" s="12"/>
      <c r="B2476" s="12"/>
      <c r="C2476" s="12"/>
      <c r="D2476" s="3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2"/>
      <c r="W2476" s="12"/>
      <c r="X2476" s="12"/>
      <c r="Y2476" s="12"/>
      <c r="Z2476" s="12"/>
      <c r="AA2476" s="12"/>
      <c r="AB2476" s="12"/>
      <c r="AC2476" s="12"/>
      <c r="AD2476" s="12"/>
    </row>
    <row r="2477" spans="1:30" ht="15.75" thickBot="1" x14ac:dyDescent="0.3">
      <c r="A2477" s="12"/>
      <c r="B2477" s="12"/>
      <c r="C2477" s="12"/>
      <c r="D2477" s="3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2"/>
      <c r="W2477" s="12"/>
      <c r="X2477" s="12"/>
      <c r="Y2477" s="12"/>
      <c r="Z2477" s="12"/>
      <c r="AA2477" s="12"/>
      <c r="AB2477" s="12"/>
      <c r="AC2477" s="12"/>
      <c r="AD2477" s="12"/>
    </row>
    <row r="2478" spans="1:30" ht="15.75" thickBot="1" x14ac:dyDescent="0.3">
      <c r="A2478" s="12"/>
      <c r="B2478" s="12"/>
      <c r="C2478" s="12"/>
      <c r="D2478" s="3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2"/>
      <c r="W2478" s="12"/>
      <c r="X2478" s="12"/>
      <c r="Y2478" s="12"/>
      <c r="Z2478" s="12"/>
      <c r="AA2478" s="12"/>
      <c r="AB2478" s="12"/>
      <c r="AC2478" s="12"/>
      <c r="AD2478" s="12"/>
    </row>
    <row r="2479" spans="1:30" ht="15.75" thickBot="1" x14ac:dyDescent="0.3">
      <c r="A2479" s="12"/>
      <c r="B2479" s="12"/>
      <c r="C2479" s="12"/>
      <c r="D2479" s="3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2"/>
      <c r="W2479" s="12"/>
      <c r="X2479" s="12"/>
      <c r="Y2479" s="12"/>
      <c r="Z2479" s="12"/>
      <c r="AA2479" s="12"/>
      <c r="AB2479" s="12"/>
      <c r="AC2479" s="12"/>
      <c r="AD2479" s="12"/>
    </row>
    <row r="2480" spans="1:30" ht="15.75" thickBot="1" x14ac:dyDescent="0.3">
      <c r="A2480" s="12"/>
      <c r="B2480" s="12"/>
      <c r="C2480" s="12"/>
      <c r="D2480" s="3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2"/>
      <c r="W2480" s="12"/>
      <c r="X2480" s="12"/>
      <c r="Y2480" s="12"/>
      <c r="Z2480" s="12"/>
      <c r="AA2480" s="12"/>
      <c r="AB2480" s="12"/>
      <c r="AC2480" s="12"/>
      <c r="AD2480" s="12"/>
    </row>
    <row r="2481" spans="1:30" ht="15.75" thickBot="1" x14ac:dyDescent="0.3">
      <c r="A2481" s="12"/>
      <c r="B2481" s="12"/>
      <c r="C2481" s="12"/>
      <c r="D2481" s="3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2"/>
      <c r="W2481" s="12"/>
      <c r="X2481" s="12"/>
      <c r="Y2481" s="12"/>
      <c r="Z2481" s="12"/>
      <c r="AA2481" s="12"/>
      <c r="AB2481" s="12"/>
      <c r="AC2481" s="12"/>
      <c r="AD2481" s="12"/>
    </row>
    <row r="2482" spans="1:30" ht="15.75" thickBot="1" x14ac:dyDescent="0.3">
      <c r="A2482" s="12"/>
      <c r="B2482" s="12"/>
      <c r="C2482" s="12"/>
      <c r="D2482" s="3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2"/>
      <c r="W2482" s="12"/>
      <c r="X2482" s="12"/>
      <c r="Y2482" s="12"/>
      <c r="Z2482" s="12"/>
      <c r="AA2482" s="12"/>
      <c r="AB2482" s="12"/>
      <c r="AC2482" s="12"/>
      <c r="AD2482" s="12"/>
    </row>
    <row r="2483" spans="1:30" ht="15.75" thickBot="1" x14ac:dyDescent="0.3">
      <c r="A2483" s="12"/>
      <c r="B2483" s="12"/>
      <c r="C2483" s="12"/>
      <c r="D2483" s="3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2"/>
      <c r="W2483" s="12"/>
      <c r="X2483" s="12"/>
      <c r="Y2483" s="12"/>
      <c r="Z2483" s="12"/>
      <c r="AA2483" s="12"/>
      <c r="AB2483" s="12"/>
      <c r="AC2483" s="12"/>
      <c r="AD2483" s="12"/>
    </row>
    <row r="2484" spans="1:30" ht="15.75" thickBot="1" x14ac:dyDescent="0.3">
      <c r="A2484" s="12"/>
      <c r="B2484" s="12"/>
      <c r="C2484" s="12"/>
      <c r="D2484" s="3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2"/>
      <c r="W2484" s="12"/>
      <c r="X2484" s="12"/>
      <c r="Y2484" s="12"/>
      <c r="Z2484" s="12"/>
      <c r="AA2484" s="12"/>
      <c r="AB2484" s="12"/>
      <c r="AC2484" s="12"/>
      <c r="AD2484" s="12"/>
    </row>
    <row r="2485" spans="1:30" ht="15.75" thickBot="1" x14ac:dyDescent="0.3">
      <c r="A2485" s="12"/>
      <c r="B2485" s="12"/>
      <c r="C2485" s="12"/>
      <c r="D2485" s="3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2"/>
      <c r="W2485" s="12"/>
      <c r="X2485" s="12"/>
      <c r="Y2485" s="12"/>
      <c r="Z2485" s="12"/>
      <c r="AA2485" s="12"/>
      <c r="AB2485" s="12"/>
      <c r="AC2485" s="12"/>
      <c r="AD2485" s="12"/>
    </row>
    <row r="2486" spans="1:30" ht="15.75" thickBot="1" x14ac:dyDescent="0.3">
      <c r="A2486" s="12"/>
      <c r="B2486" s="12"/>
      <c r="C2486" s="12"/>
      <c r="D2486" s="3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2"/>
      <c r="W2486" s="12"/>
      <c r="X2486" s="12"/>
      <c r="Y2486" s="12"/>
      <c r="Z2486" s="12"/>
      <c r="AA2486" s="12"/>
      <c r="AB2486" s="12"/>
      <c r="AC2486" s="12"/>
      <c r="AD2486" s="12"/>
    </row>
    <row r="2487" spans="1:30" ht="15.75" thickBot="1" x14ac:dyDescent="0.3">
      <c r="A2487" s="12"/>
      <c r="B2487" s="12"/>
      <c r="C2487" s="12"/>
      <c r="D2487" s="3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2"/>
      <c r="W2487" s="12"/>
      <c r="X2487" s="12"/>
      <c r="Y2487" s="12"/>
      <c r="Z2487" s="12"/>
      <c r="AA2487" s="12"/>
      <c r="AB2487" s="12"/>
      <c r="AC2487" s="12"/>
      <c r="AD2487" s="12"/>
    </row>
    <row r="2488" spans="1:30" ht="15.75" thickBot="1" x14ac:dyDescent="0.3">
      <c r="A2488" s="12"/>
      <c r="B2488" s="12"/>
      <c r="C2488" s="12"/>
      <c r="D2488" s="3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2"/>
      <c r="W2488" s="12"/>
      <c r="X2488" s="12"/>
      <c r="Y2488" s="12"/>
      <c r="Z2488" s="12"/>
      <c r="AA2488" s="12"/>
      <c r="AB2488" s="12"/>
      <c r="AC2488" s="12"/>
      <c r="AD2488" s="12"/>
    </row>
    <row r="2489" spans="1:30" ht="15.75" thickBot="1" x14ac:dyDescent="0.3">
      <c r="A2489" s="12"/>
      <c r="B2489" s="12"/>
      <c r="C2489" s="12"/>
      <c r="D2489" s="3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2"/>
      <c r="W2489" s="12"/>
      <c r="X2489" s="12"/>
      <c r="Y2489" s="12"/>
      <c r="Z2489" s="12"/>
      <c r="AA2489" s="12"/>
      <c r="AB2489" s="12"/>
      <c r="AC2489" s="12"/>
      <c r="AD2489" s="12"/>
    </row>
    <row r="2490" spans="1:30" ht="15.75" thickBot="1" x14ac:dyDescent="0.3">
      <c r="A2490" s="12"/>
      <c r="B2490" s="12"/>
      <c r="C2490" s="12"/>
      <c r="D2490" s="3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2"/>
      <c r="W2490" s="12"/>
      <c r="X2490" s="12"/>
      <c r="Y2490" s="12"/>
      <c r="Z2490" s="12"/>
      <c r="AA2490" s="12"/>
      <c r="AB2490" s="12"/>
      <c r="AC2490" s="12"/>
      <c r="AD2490" s="12"/>
    </row>
    <row r="2491" spans="1:30" ht="15.75" thickBot="1" x14ac:dyDescent="0.3">
      <c r="A2491" s="12"/>
      <c r="B2491" s="12"/>
      <c r="C2491" s="12"/>
      <c r="D2491" s="3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2"/>
      <c r="W2491" s="12"/>
      <c r="X2491" s="12"/>
      <c r="Y2491" s="12"/>
      <c r="Z2491" s="12"/>
      <c r="AA2491" s="12"/>
      <c r="AB2491" s="12"/>
      <c r="AC2491" s="12"/>
      <c r="AD2491" s="12"/>
    </row>
    <row r="2492" spans="1:30" ht="15.75" thickBot="1" x14ac:dyDescent="0.3">
      <c r="A2492" s="12"/>
      <c r="B2492" s="12"/>
      <c r="C2492" s="12"/>
      <c r="D2492" s="3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2"/>
      <c r="W2492" s="12"/>
      <c r="X2492" s="12"/>
      <c r="Y2492" s="12"/>
      <c r="Z2492" s="12"/>
      <c r="AA2492" s="12"/>
      <c r="AB2492" s="12"/>
      <c r="AC2492" s="12"/>
      <c r="AD2492" s="12"/>
    </row>
    <row r="2493" spans="1:30" ht="15.75" thickBot="1" x14ac:dyDescent="0.3">
      <c r="A2493" s="12"/>
      <c r="B2493" s="12"/>
      <c r="C2493" s="12"/>
      <c r="D2493" s="3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2"/>
      <c r="W2493" s="12"/>
      <c r="X2493" s="12"/>
      <c r="Y2493" s="12"/>
      <c r="Z2493" s="12"/>
      <c r="AA2493" s="12"/>
      <c r="AB2493" s="12"/>
      <c r="AC2493" s="12"/>
      <c r="AD2493" s="12"/>
    </row>
    <row r="2494" spans="1:30" ht="15.75" thickBot="1" x14ac:dyDescent="0.3">
      <c r="A2494" s="12"/>
      <c r="B2494" s="12"/>
      <c r="C2494" s="12"/>
      <c r="D2494" s="3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2"/>
      <c r="W2494" s="12"/>
      <c r="X2494" s="12"/>
      <c r="Y2494" s="12"/>
      <c r="Z2494" s="12"/>
      <c r="AA2494" s="12"/>
      <c r="AB2494" s="12"/>
      <c r="AC2494" s="12"/>
      <c r="AD2494" s="12"/>
    </row>
    <row r="2495" spans="1:30" ht="15.75" thickBot="1" x14ac:dyDescent="0.3">
      <c r="A2495" s="12"/>
      <c r="B2495" s="12"/>
      <c r="C2495" s="12"/>
      <c r="D2495" s="3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2"/>
      <c r="W2495" s="12"/>
      <c r="X2495" s="12"/>
      <c r="Y2495" s="12"/>
      <c r="Z2495" s="12"/>
      <c r="AA2495" s="12"/>
      <c r="AB2495" s="12"/>
      <c r="AC2495" s="12"/>
      <c r="AD2495" s="12"/>
    </row>
    <row r="2496" spans="1:30" ht="15.75" thickBot="1" x14ac:dyDescent="0.3">
      <c r="A2496" s="12"/>
      <c r="B2496" s="12"/>
      <c r="C2496" s="12"/>
      <c r="D2496" s="3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2"/>
      <c r="W2496" s="12"/>
      <c r="X2496" s="12"/>
      <c r="Y2496" s="12"/>
      <c r="Z2496" s="12"/>
      <c r="AA2496" s="12"/>
      <c r="AB2496" s="12"/>
      <c r="AC2496" s="12"/>
      <c r="AD2496" s="12"/>
    </row>
    <row r="2497" spans="1:30" ht="15.75" thickBot="1" x14ac:dyDescent="0.3">
      <c r="A2497" s="12"/>
      <c r="B2497" s="12"/>
      <c r="C2497" s="12"/>
      <c r="D2497" s="3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2"/>
      <c r="W2497" s="12"/>
      <c r="X2497" s="12"/>
      <c r="Y2497" s="12"/>
      <c r="Z2497" s="12"/>
      <c r="AA2497" s="12"/>
      <c r="AB2497" s="12"/>
      <c r="AC2497" s="12"/>
      <c r="AD2497" s="12"/>
    </row>
    <row r="2498" spans="1:30" ht="15.75" thickBot="1" x14ac:dyDescent="0.3">
      <c r="A2498" s="12"/>
      <c r="B2498" s="12"/>
      <c r="C2498" s="12"/>
      <c r="D2498" s="3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2"/>
      <c r="W2498" s="12"/>
      <c r="X2498" s="12"/>
      <c r="Y2498" s="12"/>
      <c r="Z2498" s="12"/>
      <c r="AA2498" s="12"/>
      <c r="AB2498" s="12"/>
      <c r="AC2498" s="12"/>
      <c r="AD2498" s="12"/>
    </row>
    <row r="2499" spans="1:30" ht="15.75" thickBot="1" x14ac:dyDescent="0.3">
      <c r="A2499" s="12"/>
      <c r="B2499" s="12"/>
      <c r="C2499" s="12"/>
      <c r="D2499" s="3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2"/>
      <c r="W2499" s="12"/>
      <c r="X2499" s="12"/>
      <c r="Y2499" s="12"/>
      <c r="Z2499" s="12"/>
      <c r="AA2499" s="12"/>
      <c r="AB2499" s="12"/>
      <c r="AC2499" s="12"/>
      <c r="AD2499" s="12"/>
    </row>
    <row r="2500" spans="1:30" ht="15.75" thickBot="1" x14ac:dyDescent="0.3">
      <c r="A2500" s="12"/>
      <c r="B2500" s="12"/>
      <c r="C2500" s="12"/>
      <c r="D2500" s="3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2"/>
      <c r="W2500" s="12"/>
      <c r="X2500" s="12"/>
      <c r="Y2500" s="12"/>
      <c r="Z2500" s="12"/>
      <c r="AA2500" s="12"/>
      <c r="AB2500" s="12"/>
      <c r="AC2500" s="12"/>
      <c r="AD2500" s="12"/>
    </row>
    <row r="2501" spans="1:30" ht="15.75" thickBot="1" x14ac:dyDescent="0.3">
      <c r="A2501" s="12"/>
      <c r="B2501" s="12"/>
      <c r="C2501" s="12"/>
      <c r="D2501" s="3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2"/>
      <c r="W2501" s="12"/>
      <c r="X2501" s="12"/>
      <c r="Y2501" s="12"/>
      <c r="Z2501" s="12"/>
      <c r="AA2501" s="12"/>
      <c r="AB2501" s="12"/>
      <c r="AC2501" s="12"/>
      <c r="AD2501" s="12"/>
    </row>
    <row r="2502" spans="1:30" ht="15.75" thickBot="1" x14ac:dyDescent="0.3">
      <c r="A2502" s="12"/>
      <c r="B2502" s="12"/>
      <c r="C2502" s="12"/>
      <c r="D2502" s="3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2"/>
      <c r="W2502" s="12"/>
      <c r="X2502" s="12"/>
      <c r="Y2502" s="12"/>
      <c r="Z2502" s="12"/>
      <c r="AA2502" s="12"/>
      <c r="AB2502" s="12"/>
      <c r="AC2502" s="12"/>
      <c r="AD2502" s="12"/>
    </row>
    <row r="2503" spans="1:30" ht="15.75" thickBot="1" x14ac:dyDescent="0.3">
      <c r="A2503" s="12"/>
      <c r="B2503" s="12"/>
      <c r="C2503" s="12"/>
      <c r="D2503" s="3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2"/>
      <c r="W2503" s="12"/>
      <c r="X2503" s="12"/>
      <c r="Y2503" s="12"/>
      <c r="Z2503" s="12"/>
      <c r="AA2503" s="12"/>
      <c r="AB2503" s="12"/>
      <c r="AC2503" s="12"/>
      <c r="AD2503" s="12"/>
    </row>
    <row r="2504" spans="1:30" ht="15.75" thickBot="1" x14ac:dyDescent="0.3">
      <c r="A2504" s="12"/>
      <c r="B2504" s="12"/>
      <c r="C2504" s="12"/>
      <c r="D2504" s="3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2"/>
      <c r="W2504" s="12"/>
      <c r="X2504" s="12"/>
      <c r="Y2504" s="12"/>
      <c r="Z2504" s="12"/>
      <c r="AA2504" s="12"/>
      <c r="AB2504" s="12"/>
      <c r="AC2504" s="12"/>
      <c r="AD2504" s="12"/>
    </row>
    <row r="2505" spans="1:30" ht="15.75" thickBot="1" x14ac:dyDescent="0.3">
      <c r="A2505" s="12"/>
      <c r="B2505" s="12"/>
      <c r="C2505" s="12"/>
      <c r="D2505" s="3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2"/>
      <c r="W2505" s="12"/>
      <c r="X2505" s="12"/>
      <c r="Y2505" s="12"/>
      <c r="Z2505" s="12"/>
      <c r="AA2505" s="12"/>
      <c r="AB2505" s="12"/>
      <c r="AC2505" s="12"/>
      <c r="AD2505" s="12"/>
    </row>
    <row r="2506" spans="1:30" ht="15.75" thickBot="1" x14ac:dyDescent="0.3">
      <c r="A2506" s="12"/>
      <c r="B2506" s="12"/>
      <c r="C2506" s="12"/>
      <c r="D2506" s="3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2"/>
      <c r="W2506" s="12"/>
      <c r="X2506" s="12"/>
      <c r="Y2506" s="12"/>
      <c r="Z2506" s="12"/>
      <c r="AA2506" s="12"/>
      <c r="AB2506" s="12"/>
      <c r="AC2506" s="12"/>
      <c r="AD2506" s="12"/>
    </row>
    <row r="2507" spans="1:30" ht="15.75" thickBot="1" x14ac:dyDescent="0.3">
      <c r="A2507" s="12"/>
      <c r="B2507" s="12"/>
      <c r="C2507" s="12"/>
      <c r="D2507" s="3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2"/>
      <c r="W2507" s="12"/>
      <c r="X2507" s="12"/>
      <c r="Y2507" s="12"/>
      <c r="Z2507" s="12"/>
      <c r="AA2507" s="12"/>
      <c r="AB2507" s="12"/>
      <c r="AC2507" s="12"/>
      <c r="AD2507" s="12"/>
    </row>
    <row r="2508" spans="1:30" ht="15.75" thickBot="1" x14ac:dyDescent="0.3">
      <c r="A2508" s="12"/>
      <c r="B2508" s="12"/>
      <c r="C2508" s="12"/>
      <c r="D2508" s="3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2"/>
      <c r="W2508" s="12"/>
      <c r="X2508" s="12"/>
      <c r="Y2508" s="12"/>
      <c r="Z2508" s="12"/>
      <c r="AA2508" s="12"/>
      <c r="AB2508" s="12"/>
      <c r="AC2508" s="12"/>
      <c r="AD2508" s="12"/>
    </row>
    <row r="2509" spans="1:30" ht="15.75" thickBot="1" x14ac:dyDescent="0.3">
      <c r="A2509" s="12"/>
      <c r="B2509" s="12"/>
      <c r="C2509" s="12"/>
      <c r="D2509" s="3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2"/>
      <c r="W2509" s="12"/>
      <c r="X2509" s="12"/>
      <c r="Y2509" s="12"/>
      <c r="Z2509" s="12"/>
      <c r="AA2509" s="12"/>
      <c r="AB2509" s="12"/>
      <c r="AC2509" s="12"/>
      <c r="AD2509" s="12"/>
    </row>
    <row r="2510" spans="1:30" ht="15.75" thickBot="1" x14ac:dyDescent="0.3">
      <c r="A2510" s="12"/>
      <c r="B2510" s="12"/>
      <c r="C2510" s="12"/>
      <c r="D2510" s="3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2"/>
      <c r="W2510" s="12"/>
      <c r="X2510" s="12"/>
      <c r="Y2510" s="12"/>
      <c r="Z2510" s="12"/>
      <c r="AA2510" s="12"/>
      <c r="AB2510" s="12"/>
      <c r="AC2510" s="12"/>
      <c r="AD2510" s="12"/>
    </row>
    <row r="2511" spans="1:30" ht="15.75" thickBot="1" x14ac:dyDescent="0.3">
      <c r="A2511" s="12"/>
      <c r="B2511" s="12"/>
      <c r="C2511" s="12"/>
      <c r="D2511" s="3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2"/>
      <c r="W2511" s="12"/>
      <c r="X2511" s="12"/>
      <c r="Y2511" s="12"/>
      <c r="Z2511" s="12"/>
      <c r="AA2511" s="12"/>
      <c r="AB2511" s="12"/>
      <c r="AC2511" s="12"/>
      <c r="AD2511" s="12"/>
    </row>
    <row r="2512" spans="1:30" ht="15.75" thickBot="1" x14ac:dyDescent="0.3">
      <c r="A2512" s="12"/>
      <c r="B2512" s="12"/>
      <c r="C2512" s="12"/>
      <c r="D2512" s="3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2"/>
      <c r="W2512" s="12"/>
      <c r="X2512" s="12"/>
      <c r="Y2512" s="12"/>
      <c r="Z2512" s="12"/>
      <c r="AA2512" s="12"/>
      <c r="AB2512" s="12"/>
      <c r="AC2512" s="12"/>
      <c r="AD2512" s="12"/>
    </row>
    <row r="2513" spans="1:30" ht="15.75" thickBot="1" x14ac:dyDescent="0.3">
      <c r="A2513" s="12"/>
      <c r="B2513" s="12"/>
      <c r="C2513" s="12"/>
      <c r="D2513" s="3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2"/>
      <c r="W2513" s="12"/>
      <c r="X2513" s="12"/>
      <c r="Y2513" s="12"/>
      <c r="Z2513" s="12"/>
      <c r="AA2513" s="12"/>
      <c r="AB2513" s="12"/>
      <c r="AC2513" s="12"/>
      <c r="AD2513" s="12"/>
    </row>
    <row r="2514" spans="1:30" ht="15.75" thickBot="1" x14ac:dyDescent="0.3">
      <c r="A2514" s="12"/>
      <c r="B2514" s="12"/>
      <c r="C2514" s="12"/>
      <c r="D2514" s="3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2"/>
      <c r="W2514" s="12"/>
      <c r="X2514" s="12"/>
      <c r="Y2514" s="12"/>
      <c r="Z2514" s="12"/>
      <c r="AA2514" s="12"/>
      <c r="AB2514" s="12"/>
      <c r="AC2514" s="12"/>
      <c r="AD2514" s="12"/>
    </row>
    <row r="2515" spans="1:30" ht="15.75" thickBot="1" x14ac:dyDescent="0.3">
      <c r="A2515" s="12"/>
      <c r="B2515" s="12"/>
      <c r="C2515" s="12"/>
      <c r="D2515" s="3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2"/>
      <c r="W2515" s="12"/>
      <c r="X2515" s="12"/>
      <c r="Y2515" s="12"/>
      <c r="Z2515" s="12"/>
      <c r="AA2515" s="12"/>
      <c r="AB2515" s="12"/>
      <c r="AC2515" s="12"/>
      <c r="AD2515" s="12"/>
    </row>
    <row r="2516" spans="1:30" ht="15.75" thickBot="1" x14ac:dyDescent="0.3">
      <c r="A2516" s="12"/>
      <c r="B2516" s="12"/>
      <c r="C2516" s="12"/>
      <c r="D2516" s="3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2"/>
      <c r="W2516" s="12"/>
      <c r="X2516" s="12"/>
      <c r="Y2516" s="12"/>
      <c r="Z2516" s="12"/>
      <c r="AA2516" s="12"/>
      <c r="AB2516" s="12"/>
      <c r="AC2516" s="12"/>
      <c r="AD2516" s="12"/>
    </row>
    <row r="2517" spans="1:30" ht="15.75" thickBot="1" x14ac:dyDescent="0.3">
      <c r="A2517" s="12"/>
      <c r="B2517" s="12"/>
      <c r="C2517" s="12"/>
      <c r="D2517" s="3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2"/>
      <c r="W2517" s="12"/>
      <c r="X2517" s="12"/>
      <c r="Y2517" s="12"/>
      <c r="Z2517" s="12"/>
      <c r="AA2517" s="12"/>
      <c r="AB2517" s="12"/>
      <c r="AC2517" s="12"/>
      <c r="AD2517" s="12"/>
    </row>
    <row r="2518" spans="1:30" ht="15.75" thickBot="1" x14ac:dyDescent="0.3">
      <c r="A2518" s="12"/>
      <c r="B2518" s="12"/>
      <c r="C2518" s="12"/>
      <c r="D2518" s="3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2"/>
      <c r="W2518" s="12"/>
      <c r="X2518" s="12"/>
      <c r="Y2518" s="12"/>
      <c r="Z2518" s="12"/>
      <c r="AA2518" s="12"/>
      <c r="AB2518" s="12"/>
      <c r="AC2518" s="12"/>
      <c r="AD2518" s="12"/>
    </row>
    <row r="2519" spans="1:30" ht="15.75" thickBot="1" x14ac:dyDescent="0.3">
      <c r="A2519" s="12"/>
      <c r="B2519" s="12"/>
      <c r="C2519" s="12"/>
      <c r="D2519" s="3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2"/>
      <c r="W2519" s="12"/>
      <c r="X2519" s="12"/>
      <c r="Y2519" s="12"/>
      <c r="Z2519" s="12"/>
      <c r="AA2519" s="12"/>
      <c r="AB2519" s="12"/>
      <c r="AC2519" s="12"/>
      <c r="AD2519" s="12"/>
    </row>
    <row r="2520" spans="1:30" ht="15.75" thickBot="1" x14ac:dyDescent="0.3">
      <c r="A2520" s="12"/>
      <c r="B2520" s="12"/>
      <c r="C2520" s="12"/>
      <c r="D2520" s="3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2"/>
      <c r="W2520" s="12"/>
      <c r="X2520" s="12"/>
      <c r="Y2520" s="12"/>
      <c r="Z2520" s="12"/>
      <c r="AA2520" s="12"/>
      <c r="AB2520" s="12"/>
      <c r="AC2520" s="12"/>
      <c r="AD2520" s="12"/>
    </row>
    <row r="2521" spans="1:30" ht="15.75" thickBot="1" x14ac:dyDescent="0.3">
      <c r="A2521" s="12"/>
      <c r="B2521" s="12"/>
      <c r="C2521" s="12"/>
      <c r="D2521" s="3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2"/>
      <c r="W2521" s="12"/>
      <c r="X2521" s="12"/>
      <c r="Y2521" s="12"/>
      <c r="Z2521" s="12"/>
      <c r="AA2521" s="12"/>
      <c r="AB2521" s="12"/>
      <c r="AC2521" s="12"/>
      <c r="AD2521" s="12"/>
    </row>
    <row r="2522" spans="1:30" ht="15.75" thickBot="1" x14ac:dyDescent="0.3">
      <c r="A2522" s="12"/>
      <c r="B2522" s="12"/>
      <c r="C2522" s="12"/>
      <c r="D2522" s="3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2"/>
      <c r="W2522" s="12"/>
      <c r="X2522" s="12"/>
      <c r="Y2522" s="12"/>
      <c r="Z2522" s="12"/>
      <c r="AA2522" s="12"/>
      <c r="AB2522" s="12"/>
      <c r="AC2522" s="12"/>
      <c r="AD2522" s="12"/>
    </row>
    <row r="2523" spans="1:30" ht="15.75" thickBot="1" x14ac:dyDescent="0.3">
      <c r="A2523" s="12"/>
      <c r="B2523" s="12"/>
      <c r="C2523" s="12"/>
      <c r="D2523" s="3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2"/>
      <c r="W2523" s="12"/>
      <c r="X2523" s="12"/>
      <c r="Y2523" s="12"/>
      <c r="Z2523" s="12"/>
      <c r="AA2523" s="12"/>
      <c r="AB2523" s="12"/>
      <c r="AC2523" s="12"/>
      <c r="AD2523" s="12"/>
    </row>
    <row r="2524" spans="1:30" ht="15.75" thickBot="1" x14ac:dyDescent="0.3">
      <c r="A2524" s="12"/>
      <c r="B2524" s="12"/>
      <c r="C2524" s="12"/>
      <c r="D2524" s="3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2"/>
      <c r="W2524" s="12"/>
      <c r="X2524" s="12"/>
      <c r="Y2524" s="12"/>
      <c r="Z2524" s="12"/>
      <c r="AA2524" s="12"/>
      <c r="AB2524" s="12"/>
      <c r="AC2524" s="12"/>
      <c r="AD2524" s="12"/>
    </row>
    <row r="2525" spans="1:30" ht="15.75" thickBot="1" x14ac:dyDescent="0.3">
      <c r="A2525" s="12"/>
      <c r="B2525" s="12"/>
      <c r="C2525" s="12"/>
      <c r="D2525" s="3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2"/>
      <c r="W2525" s="12"/>
      <c r="X2525" s="12"/>
      <c r="Y2525" s="12"/>
      <c r="Z2525" s="12"/>
      <c r="AA2525" s="12"/>
      <c r="AB2525" s="12"/>
      <c r="AC2525" s="12"/>
      <c r="AD2525" s="12"/>
    </row>
    <row r="2526" spans="1:30" ht="15.75" thickBot="1" x14ac:dyDescent="0.3">
      <c r="A2526" s="12"/>
      <c r="B2526" s="12"/>
      <c r="C2526" s="12"/>
      <c r="D2526" s="3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2"/>
      <c r="W2526" s="12"/>
      <c r="X2526" s="12"/>
      <c r="Y2526" s="12"/>
      <c r="Z2526" s="12"/>
      <c r="AA2526" s="12"/>
      <c r="AB2526" s="12"/>
      <c r="AC2526" s="12"/>
      <c r="AD2526" s="12"/>
    </row>
    <row r="2527" spans="1:30" ht="15.75" thickBot="1" x14ac:dyDescent="0.3">
      <c r="A2527" s="12"/>
      <c r="B2527" s="12"/>
      <c r="C2527" s="12"/>
      <c r="D2527" s="3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2"/>
      <c r="W2527" s="12"/>
      <c r="X2527" s="12"/>
      <c r="Y2527" s="12"/>
      <c r="Z2527" s="12"/>
      <c r="AA2527" s="12"/>
      <c r="AB2527" s="12"/>
      <c r="AC2527" s="12"/>
      <c r="AD2527" s="12"/>
    </row>
    <row r="2528" spans="1:30" ht="15.75" thickBot="1" x14ac:dyDescent="0.3">
      <c r="A2528" s="12"/>
      <c r="B2528" s="12"/>
      <c r="C2528" s="12"/>
      <c r="D2528" s="3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2"/>
      <c r="W2528" s="12"/>
      <c r="X2528" s="12"/>
      <c r="Y2528" s="12"/>
      <c r="Z2528" s="12"/>
      <c r="AA2528" s="12"/>
      <c r="AB2528" s="12"/>
      <c r="AC2528" s="12"/>
      <c r="AD2528" s="12"/>
    </row>
    <row r="2529" spans="1:30" ht="15.75" thickBot="1" x14ac:dyDescent="0.3">
      <c r="A2529" s="12"/>
      <c r="B2529" s="12"/>
      <c r="C2529" s="12"/>
      <c r="D2529" s="3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2"/>
      <c r="W2529" s="12"/>
      <c r="X2529" s="12"/>
      <c r="Y2529" s="12"/>
      <c r="Z2529" s="12"/>
      <c r="AA2529" s="12"/>
      <c r="AB2529" s="12"/>
      <c r="AC2529" s="12"/>
      <c r="AD2529" s="12"/>
    </row>
    <row r="2530" spans="1:30" ht="15.75" thickBot="1" x14ac:dyDescent="0.3">
      <c r="A2530" s="12"/>
      <c r="B2530" s="12"/>
      <c r="C2530" s="12"/>
      <c r="D2530" s="3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2"/>
      <c r="W2530" s="12"/>
      <c r="X2530" s="12"/>
      <c r="Y2530" s="12"/>
      <c r="Z2530" s="12"/>
      <c r="AA2530" s="12"/>
      <c r="AB2530" s="12"/>
      <c r="AC2530" s="12"/>
      <c r="AD2530" s="12"/>
    </row>
    <row r="2531" spans="1:30" ht="15.75" thickBot="1" x14ac:dyDescent="0.3">
      <c r="A2531" s="12"/>
      <c r="B2531" s="12"/>
      <c r="C2531" s="12"/>
      <c r="D2531" s="3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2"/>
      <c r="W2531" s="12"/>
      <c r="X2531" s="12"/>
      <c r="Y2531" s="12"/>
      <c r="Z2531" s="12"/>
      <c r="AA2531" s="12"/>
      <c r="AB2531" s="12"/>
      <c r="AC2531" s="12"/>
      <c r="AD2531" s="12"/>
    </row>
    <row r="2532" spans="1:30" ht="15.75" thickBot="1" x14ac:dyDescent="0.3">
      <c r="A2532" s="12"/>
      <c r="B2532" s="12"/>
      <c r="C2532" s="12"/>
      <c r="D2532" s="3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2"/>
      <c r="W2532" s="12"/>
      <c r="X2532" s="12"/>
      <c r="Y2532" s="12"/>
      <c r="Z2532" s="12"/>
      <c r="AA2532" s="12"/>
      <c r="AB2532" s="12"/>
      <c r="AC2532" s="12"/>
      <c r="AD2532" s="12"/>
    </row>
    <row r="2533" spans="1:30" ht="15.75" thickBot="1" x14ac:dyDescent="0.3">
      <c r="A2533" s="12"/>
      <c r="B2533" s="12"/>
      <c r="C2533" s="12"/>
      <c r="D2533" s="3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2"/>
      <c r="W2533" s="12"/>
      <c r="X2533" s="12"/>
      <c r="Y2533" s="12"/>
      <c r="Z2533" s="12"/>
      <c r="AA2533" s="12"/>
      <c r="AB2533" s="12"/>
      <c r="AC2533" s="12"/>
      <c r="AD2533" s="12"/>
    </row>
    <row r="2534" spans="1:30" ht="15.75" thickBot="1" x14ac:dyDescent="0.3">
      <c r="A2534" s="12"/>
      <c r="B2534" s="12"/>
      <c r="C2534" s="12"/>
      <c r="D2534" s="3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2"/>
      <c r="W2534" s="12"/>
      <c r="X2534" s="12"/>
      <c r="Y2534" s="12"/>
      <c r="Z2534" s="12"/>
      <c r="AA2534" s="12"/>
      <c r="AB2534" s="12"/>
      <c r="AC2534" s="12"/>
      <c r="AD2534" s="12"/>
    </row>
    <row r="2535" spans="1:30" ht="15.75" thickBot="1" x14ac:dyDescent="0.3">
      <c r="A2535" s="12"/>
      <c r="B2535" s="12"/>
      <c r="C2535" s="12"/>
      <c r="D2535" s="3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2"/>
      <c r="W2535" s="12"/>
      <c r="X2535" s="12"/>
      <c r="Y2535" s="12"/>
      <c r="Z2535" s="12"/>
      <c r="AA2535" s="12"/>
      <c r="AB2535" s="12"/>
      <c r="AC2535" s="12"/>
      <c r="AD2535" s="12"/>
    </row>
    <row r="2536" spans="1:30" ht="15.75" thickBot="1" x14ac:dyDescent="0.3">
      <c r="A2536" s="12"/>
      <c r="B2536" s="12"/>
      <c r="C2536" s="12"/>
      <c r="D2536" s="3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2"/>
      <c r="W2536" s="12"/>
      <c r="X2536" s="12"/>
      <c r="Y2536" s="12"/>
      <c r="Z2536" s="12"/>
      <c r="AA2536" s="12"/>
      <c r="AB2536" s="12"/>
      <c r="AC2536" s="12"/>
      <c r="AD2536" s="12"/>
    </row>
    <row r="2537" spans="1:30" ht="15.75" thickBot="1" x14ac:dyDescent="0.3">
      <c r="A2537" s="12"/>
      <c r="B2537" s="12"/>
      <c r="C2537" s="12"/>
      <c r="D2537" s="3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2"/>
      <c r="W2537" s="12"/>
      <c r="X2537" s="12"/>
      <c r="Y2537" s="12"/>
      <c r="Z2537" s="12"/>
      <c r="AA2537" s="12"/>
      <c r="AB2537" s="12"/>
      <c r="AC2537" s="12"/>
      <c r="AD2537" s="12"/>
    </row>
    <row r="2538" spans="1:30" ht="15.75" thickBot="1" x14ac:dyDescent="0.3">
      <c r="A2538" s="12"/>
      <c r="B2538" s="12"/>
      <c r="C2538" s="12"/>
      <c r="D2538" s="3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2"/>
      <c r="W2538" s="12"/>
      <c r="X2538" s="12"/>
      <c r="Y2538" s="12"/>
      <c r="Z2538" s="12"/>
      <c r="AA2538" s="12"/>
      <c r="AB2538" s="12"/>
      <c r="AC2538" s="12"/>
      <c r="AD2538" s="12"/>
    </row>
    <row r="2539" spans="1:30" ht="15.75" thickBot="1" x14ac:dyDescent="0.3">
      <c r="A2539" s="12"/>
      <c r="B2539" s="12"/>
      <c r="C2539" s="12"/>
      <c r="D2539" s="3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2"/>
      <c r="W2539" s="12"/>
      <c r="X2539" s="12"/>
      <c r="Y2539" s="12"/>
      <c r="Z2539" s="12"/>
      <c r="AA2539" s="12"/>
      <c r="AB2539" s="12"/>
      <c r="AC2539" s="12"/>
      <c r="AD2539" s="12"/>
    </row>
    <row r="2540" spans="1:30" ht="15.75" thickBot="1" x14ac:dyDescent="0.3">
      <c r="A2540" s="12"/>
      <c r="B2540" s="12"/>
      <c r="C2540" s="12"/>
      <c r="D2540" s="3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2"/>
      <c r="W2540" s="12"/>
      <c r="X2540" s="12"/>
      <c r="Y2540" s="12"/>
      <c r="Z2540" s="12"/>
      <c r="AA2540" s="12"/>
      <c r="AB2540" s="12"/>
      <c r="AC2540" s="12"/>
      <c r="AD2540" s="12"/>
    </row>
    <row r="2541" spans="1:30" ht="15.75" thickBot="1" x14ac:dyDescent="0.3">
      <c r="A2541" s="12"/>
      <c r="B2541" s="12"/>
      <c r="C2541" s="12"/>
      <c r="D2541" s="3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2"/>
      <c r="W2541" s="12"/>
      <c r="X2541" s="12"/>
      <c r="Y2541" s="12"/>
      <c r="Z2541" s="12"/>
      <c r="AA2541" s="12"/>
      <c r="AB2541" s="12"/>
      <c r="AC2541" s="12"/>
      <c r="AD2541" s="12"/>
    </row>
    <row r="2542" spans="1:30" ht="15.75" thickBot="1" x14ac:dyDescent="0.3">
      <c r="A2542" s="12"/>
      <c r="B2542" s="12"/>
      <c r="C2542" s="12"/>
      <c r="D2542" s="3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2"/>
      <c r="W2542" s="12"/>
      <c r="X2542" s="12"/>
      <c r="Y2542" s="12"/>
      <c r="Z2542" s="12"/>
      <c r="AA2542" s="12"/>
      <c r="AB2542" s="12"/>
      <c r="AC2542" s="12"/>
      <c r="AD2542" s="12"/>
    </row>
    <row r="2543" spans="1:30" ht="15.75" thickBot="1" x14ac:dyDescent="0.3">
      <c r="A2543" s="12"/>
      <c r="B2543" s="12"/>
      <c r="C2543" s="12"/>
      <c r="D2543" s="3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2"/>
      <c r="W2543" s="12"/>
      <c r="X2543" s="12"/>
      <c r="Y2543" s="12"/>
      <c r="Z2543" s="12"/>
      <c r="AA2543" s="12"/>
      <c r="AB2543" s="12"/>
      <c r="AC2543" s="12"/>
      <c r="AD2543" s="12"/>
    </row>
    <row r="2544" spans="1:30" ht="15.75" thickBot="1" x14ac:dyDescent="0.3">
      <c r="A2544" s="12"/>
      <c r="B2544" s="12"/>
      <c r="C2544" s="12"/>
      <c r="D2544" s="3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2"/>
      <c r="W2544" s="12"/>
      <c r="X2544" s="12"/>
      <c r="Y2544" s="12"/>
      <c r="Z2544" s="12"/>
      <c r="AA2544" s="12"/>
      <c r="AB2544" s="12"/>
      <c r="AC2544" s="12"/>
      <c r="AD2544" s="12"/>
    </row>
    <row r="2545" spans="1:30" ht="15.75" thickBot="1" x14ac:dyDescent="0.3">
      <c r="A2545" s="12"/>
      <c r="B2545" s="12"/>
      <c r="C2545" s="12"/>
      <c r="D2545" s="3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2"/>
      <c r="W2545" s="12"/>
      <c r="X2545" s="12"/>
      <c r="Y2545" s="12"/>
      <c r="Z2545" s="12"/>
      <c r="AA2545" s="12"/>
      <c r="AB2545" s="12"/>
      <c r="AC2545" s="12"/>
      <c r="AD2545" s="12"/>
    </row>
    <row r="2546" spans="1:30" ht="15.75" thickBot="1" x14ac:dyDescent="0.3">
      <c r="A2546" s="12"/>
      <c r="B2546" s="12"/>
      <c r="C2546" s="12"/>
      <c r="D2546" s="3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2"/>
      <c r="W2546" s="12"/>
      <c r="X2546" s="12"/>
      <c r="Y2546" s="12"/>
      <c r="Z2546" s="12"/>
      <c r="AA2546" s="12"/>
      <c r="AB2546" s="12"/>
      <c r="AC2546" s="12"/>
      <c r="AD2546" s="12"/>
    </row>
    <row r="2547" spans="1:30" ht="15.75" thickBot="1" x14ac:dyDescent="0.3">
      <c r="A2547" s="12"/>
      <c r="B2547" s="12"/>
      <c r="C2547" s="12"/>
      <c r="D2547" s="3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2"/>
      <c r="W2547" s="12"/>
      <c r="X2547" s="12"/>
      <c r="Y2547" s="12"/>
      <c r="Z2547" s="12"/>
      <c r="AA2547" s="12"/>
      <c r="AB2547" s="12"/>
      <c r="AC2547" s="12"/>
      <c r="AD2547" s="12"/>
    </row>
    <row r="2548" spans="1:30" ht="15.75" thickBot="1" x14ac:dyDescent="0.3">
      <c r="A2548" s="12"/>
      <c r="B2548" s="12"/>
      <c r="C2548" s="12"/>
      <c r="D2548" s="3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2"/>
      <c r="W2548" s="12"/>
      <c r="X2548" s="12"/>
      <c r="Y2548" s="12"/>
      <c r="Z2548" s="12"/>
      <c r="AA2548" s="12"/>
      <c r="AB2548" s="12"/>
      <c r="AC2548" s="12"/>
      <c r="AD2548" s="12"/>
    </row>
    <row r="2549" spans="1:30" ht="15.75" thickBot="1" x14ac:dyDescent="0.3">
      <c r="A2549" s="12"/>
      <c r="B2549" s="12"/>
      <c r="C2549" s="12"/>
      <c r="D2549" s="3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2"/>
      <c r="W2549" s="12"/>
      <c r="X2549" s="12"/>
      <c r="Y2549" s="12"/>
      <c r="Z2549" s="12"/>
      <c r="AA2549" s="12"/>
      <c r="AB2549" s="12"/>
      <c r="AC2549" s="12"/>
      <c r="AD2549" s="12"/>
    </row>
    <row r="2550" spans="1:30" ht="15.75" thickBot="1" x14ac:dyDescent="0.3">
      <c r="A2550" s="12"/>
      <c r="B2550" s="12"/>
      <c r="C2550" s="12"/>
      <c r="D2550" s="3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2"/>
      <c r="W2550" s="12"/>
      <c r="X2550" s="12"/>
      <c r="Y2550" s="12"/>
      <c r="Z2550" s="12"/>
      <c r="AA2550" s="12"/>
      <c r="AB2550" s="12"/>
      <c r="AC2550" s="12"/>
      <c r="AD2550" s="12"/>
    </row>
    <row r="2551" spans="1:30" ht="15.75" thickBot="1" x14ac:dyDescent="0.3">
      <c r="A2551" s="12"/>
      <c r="B2551" s="12"/>
      <c r="C2551" s="12"/>
      <c r="D2551" s="3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2"/>
      <c r="W2551" s="12"/>
      <c r="X2551" s="12"/>
      <c r="Y2551" s="12"/>
      <c r="Z2551" s="12"/>
      <c r="AA2551" s="12"/>
      <c r="AB2551" s="12"/>
      <c r="AC2551" s="12"/>
      <c r="AD2551" s="12"/>
    </row>
    <row r="2552" spans="1:30" ht="15.75" thickBot="1" x14ac:dyDescent="0.3">
      <c r="A2552" s="12"/>
      <c r="B2552" s="12"/>
      <c r="C2552" s="12"/>
      <c r="D2552" s="3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2"/>
      <c r="W2552" s="12"/>
      <c r="X2552" s="12"/>
      <c r="Y2552" s="12"/>
      <c r="Z2552" s="12"/>
      <c r="AA2552" s="12"/>
      <c r="AB2552" s="12"/>
      <c r="AC2552" s="12"/>
      <c r="AD2552" s="12"/>
    </row>
    <row r="2553" spans="1:30" ht="15.75" thickBot="1" x14ac:dyDescent="0.3">
      <c r="A2553" s="12"/>
      <c r="B2553" s="12"/>
      <c r="C2553" s="12"/>
      <c r="D2553" s="3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2"/>
      <c r="W2553" s="12"/>
      <c r="X2553" s="12"/>
      <c r="Y2553" s="12"/>
      <c r="Z2553" s="12"/>
      <c r="AA2553" s="12"/>
      <c r="AB2553" s="12"/>
      <c r="AC2553" s="12"/>
      <c r="AD2553" s="12"/>
    </row>
    <row r="2554" spans="1:30" ht="15.75" thickBot="1" x14ac:dyDescent="0.3">
      <c r="A2554" s="12"/>
      <c r="B2554" s="12"/>
      <c r="C2554" s="12"/>
      <c r="D2554" s="3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2"/>
      <c r="W2554" s="12"/>
      <c r="X2554" s="12"/>
      <c r="Y2554" s="12"/>
      <c r="Z2554" s="12"/>
      <c r="AA2554" s="12"/>
      <c r="AB2554" s="12"/>
      <c r="AC2554" s="12"/>
      <c r="AD2554" s="12"/>
    </row>
    <row r="2555" spans="1:30" ht="15.75" thickBot="1" x14ac:dyDescent="0.3">
      <c r="A2555" s="12"/>
      <c r="B2555" s="12"/>
      <c r="C2555" s="12"/>
      <c r="D2555" s="3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2"/>
      <c r="W2555" s="12"/>
      <c r="X2555" s="12"/>
      <c r="Y2555" s="12"/>
      <c r="Z2555" s="12"/>
      <c r="AA2555" s="12"/>
      <c r="AB2555" s="12"/>
      <c r="AC2555" s="12"/>
      <c r="AD2555" s="12"/>
    </row>
    <row r="2556" spans="1:30" ht="15.75" thickBot="1" x14ac:dyDescent="0.3">
      <c r="A2556" s="12"/>
      <c r="B2556" s="12"/>
      <c r="C2556" s="12"/>
      <c r="D2556" s="3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2"/>
      <c r="W2556" s="12"/>
      <c r="X2556" s="12"/>
      <c r="Y2556" s="12"/>
      <c r="Z2556" s="12"/>
      <c r="AA2556" s="12"/>
      <c r="AB2556" s="12"/>
      <c r="AC2556" s="12"/>
      <c r="AD2556" s="12"/>
    </row>
    <row r="2557" spans="1:30" ht="15.75" thickBot="1" x14ac:dyDescent="0.3">
      <c r="A2557" s="12"/>
      <c r="B2557" s="12"/>
      <c r="C2557" s="12"/>
      <c r="D2557" s="3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2"/>
      <c r="W2557" s="12"/>
      <c r="X2557" s="12"/>
      <c r="Y2557" s="12"/>
      <c r="Z2557" s="12"/>
      <c r="AA2557" s="12"/>
      <c r="AB2557" s="12"/>
      <c r="AC2557" s="12"/>
      <c r="AD2557" s="12"/>
    </row>
    <row r="2558" spans="1:30" ht="15.75" thickBot="1" x14ac:dyDescent="0.3">
      <c r="A2558" s="12"/>
      <c r="B2558" s="12"/>
      <c r="C2558" s="12"/>
      <c r="D2558" s="3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2"/>
      <c r="W2558" s="12"/>
      <c r="X2558" s="12"/>
      <c r="Y2558" s="12"/>
      <c r="Z2558" s="12"/>
      <c r="AA2558" s="12"/>
      <c r="AB2558" s="12"/>
      <c r="AC2558" s="12"/>
      <c r="AD2558" s="12"/>
    </row>
    <row r="2559" spans="1:30" ht="15.75" thickBot="1" x14ac:dyDescent="0.3">
      <c r="A2559" s="12"/>
      <c r="B2559" s="12"/>
      <c r="C2559" s="12"/>
      <c r="D2559" s="3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2"/>
      <c r="W2559" s="12"/>
      <c r="X2559" s="12"/>
      <c r="Y2559" s="12"/>
      <c r="Z2559" s="12"/>
      <c r="AA2559" s="12"/>
      <c r="AB2559" s="12"/>
      <c r="AC2559" s="12"/>
      <c r="AD2559" s="12"/>
    </row>
    <row r="2560" spans="1:30" ht="15.75" thickBot="1" x14ac:dyDescent="0.3">
      <c r="A2560" s="12"/>
      <c r="B2560" s="12"/>
      <c r="C2560" s="12"/>
      <c r="D2560" s="3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2"/>
      <c r="W2560" s="12"/>
      <c r="X2560" s="12"/>
      <c r="Y2560" s="12"/>
      <c r="Z2560" s="12"/>
      <c r="AA2560" s="12"/>
      <c r="AB2560" s="12"/>
      <c r="AC2560" s="12"/>
      <c r="AD2560" s="12"/>
    </row>
    <row r="2561" spans="1:30" ht="15.75" thickBot="1" x14ac:dyDescent="0.3">
      <c r="A2561" s="12"/>
      <c r="B2561" s="12"/>
      <c r="C2561" s="12"/>
      <c r="D2561" s="3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2"/>
      <c r="W2561" s="12"/>
      <c r="X2561" s="12"/>
      <c r="Y2561" s="12"/>
      <c r="Z2561" s="12"/>
      <c r="AA2561" s="12"/>
      <c r="AB2561" s="12"/>
      <c r="AC2561" s="12"/>
      <c r="AD2561" s="12"/>
    </row>
    <row r="2562" spans="1:30" ht="15.75" thickBot="1" x14ac:dyDescent="0.3">
      <c r="A2562" s="12"/>
      <c r="B2562" s="12"/>
      <c r="C2562" s="12"/>
      <c r="D2562" s="3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2"/>
      <c r="W2562" s="12"/>
      <c r="X2562" s="12"/>
      <c r="Y2562" s="12"/>
      <c r="Z2562" s="12"/>
      <c r="AA2562" s="12"/>
      <c r="AB2562" s="12"/>
      <c r="AC2562" s="12"/>
      <c r="AD2562" s="12"/>
    </row>
    <row r="2563" spans="1:30" ht="15.75" thickBot="1" x14ac:dyDescent="0.3">
      <c r="A2563" s="12"/>
      <c r="B2563" s="12"/>
      <c r="C2563" s="12"/>
      <c r="D2563" s="3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2"/>
      <c r="W2563" s="12"/>
      <c r="X2563" s="12"/>
      <c r="Y2563" s="12"/>
      <c r="Z2563" s="12"/>
      <c r="AA2563" s="12"/>
      <c r="AB2563" s="12"/>
      <c r="AC2563" s="12"/>
      <c r="AD2563" s="12"/>
    </row>
    <row r="2564" spans="1:30" ht="15.75" thickBot="1" x14ac:dyDescent="0.3">
      <c r="A2564" s="12"/>
      <c r="B2564" s="12"/>
      <c r="C2564" s="12"/>
      <c r="D2564" s="3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2"/>
      <c r="W2564" s="12"/>
      <c r="X2564" s="12"/>
      <c r="Y2564" s="12"/>
      <c r="Z2564" s="12"/>
      <c r="AA2564" s="12"/>
      <c r="AB2564" s="12"/>
      <c r="AC2564" s="12"/>
      <c r="AD2564" s="12"/>
    </row>
    <row r="2565" spans="1:30" ht="15.75" thickBot="1" x14ac:dyDescent="0.3">
      <c r="A2565" s="12"/>
      <c r="B2565" s="12"/>
      <c r="C2565" s="12"/>
      <c r="D2565" s="3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2"/>
      <c r="W2565" s="12"/>
      <c r="X2565" s="12"/>
      <c r="Y2565" s="12"/>
      <c r="Z2565" s="12"/>
      <c r="AA2565" s="12"/>
      <c r="AB2565" s="12"/>
      <c r="AC2565" s="12"/>
      <c r="AD2565" s="12"/>
    </row>
    <row r="2566" spans="1:30" ht="15.75" thickBot="1" x14ac:dyDescent="0.3">
      <c r="A2566" s="12"/>
      <c r="B2566" s="12"/>
      <c r="C2566" s="12"/>
      <c r="D2566" s="3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2"/>
      <c r="W2566" s="12"/>
      <c r="X2566" s="12"/>
      <c r="Y2566" s="12"/>
      <c r="Z2566" s="12"/>
      <c r="AA2566" s="12"/>
      <c r="AB2566" s="12"/>
      <c r="AC2566" s="12"/>
      <c r="AD2566" s="12"/>
    </row>
    <row r="2567" spans="1:30" ht="15.75" thickBot="1" x14ac:dyDescent="0.3">
      <c r="A2567" s="12"/>
      <c r="B2567" s="12"/>
      <c r="C2567" s="12"/>
      <c r="D2567" s="3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2"/>
      <c r="W2567" s="12"/>
      <c r="X2567" s="12"/>
      <c r="Y2567" s="12"/>
      <c r="Z2567" s="12"/>
      <c r="AA2567" s="12"/>
      <c r="AB2567" s="12"/>
      <c r="AC2567" s="12"/>
      <c r="AD2567" s="12"/>
    </row>
    <row r="2568" spans="1:30" ht="15.75" thickBot="1" x14ac:dyDescent="0.3">
      <c r="A2568" s="12"/>
      <c r="B2568" s="12"/>
      <c r="C2568" s="12"/>
      <c r="D2568" s="3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2"/>
      <c r="W2568" s="12"/>
      <c r="X2568" s="12"/>
      <c r="Y2568" s="12"/>
      <c r="Z2568" s="12"/>
      <c r="AA2568" s="12"/>
      <c r="AB2568" s="12"/>
      <c r="AC2568" s="12"/>
      <c r="AD2568" s="12"/>
    </row>
    <row r="2569" spans="1:30" ht="15.75" thickBot="1" x14ac:dyDescent="0.3">
      <c r="A2569" s="12"/>
      <c r="B2569" s="12"/>
      <c r="C2569" s="12"/>
      <c r="D2569" s="3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2"/>
      <c r="W2569" s="12"/>
      <c r="X2569" s="12"/>
      <c r="Y2569" s="12"/>
      <c r="Z2569" s="12"/>
      <c r="AA2569" s="12"/>
      <c r="AB2569" s="12"/>
      <c r="AC2569" s="12"/>
      <c r="AD2569" s="12"/>
    </row>
    <row r="2570" spans="1:30" ht="15.75" thickBot="1" x14ac:dyDescent="0.3">
      <c r="A2570" s="12"/>
      <c r="B2570" s="12"/>
      <c r="C2570" s="12"/>
      <c r="D2570" s="3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2"/>
      <c r="W2570" s="12"/>
      <c r="X2570" s="12"/>
      <c r="Y2570" s="12"/>
      <c r="Z2570" s="12"/>
      <c r="AA2570" s="12"/>
      <c r="AB2570" s="12"/>
      <c r="AC2570" s="12"/>
      <c r="AD2570" s="12"/>
    </row>
    <row r="2571" spans="1:30" ht="15.75" thickBot="1" x14ac:dyDescent="0.3">
      <c r="A2571" s="12"/>
      <c r="B2571" s="12"/>
      <c r="C2571" s="12"/>
      <c r="D2571" s="3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2"/>
      <c r="W2571" s="12"/>
      <c r="X2571" s="12"/>
      <c r="Y2571" s="12"/>
      <c r="Z2571" s="12"/>
      <c r="AA2571" s="12"/>
      <c r="AB2571" s="12"/>
      <c r="AC2571" s="12"/>
      <c r="AD2571" s="12"/>
    </row>
    <row r="2572" spans="1:30" ht="15.75" thickBot="1" x14ac:dyDescent="0.3">
      <c r="A2572" s="12"/>
      <c r="B2572" s="12"/>
      <c r="C2572" s="12"/>
      <c r="D2572" s="3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2"/>
      <c r="W2572" s="12"/>
      <c r="X2572" s="12"/>
      <c r="Y2572" s="12"/>
      <c r="Z2572" s="12"/>
      <c r="AA2572" s="12"/>
      <c r="AB2572" s="12"/>
      <c r="AC2572" s="12"/>
      <c r="AD2572" s="12"/>
    </row>
    <row r="2573" spans="1:30" ht="15.75" thickBot="1" x14ac:dyDescent="0.3">
      <c r="A2573" s="12"/>
      <c r="B2573" s="12"/>
      <c r="C2573" s="12"/>
      <c r="D2573" s="3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2"/>
      <c r="W2573" s="12"/>
      <c r="X2573" s="12"/>
      <c r="Y2573" s="12"/>
      <c r="Z2573" s="12"/>
      <c r="AA2573" s="12"/>
      <c r="AB2573" s="12"/>
      <c r="AC2573" s="12"/>
      <c r="AD2573" s="12"/>
    </row>
    <row r="2574" spans="1:30" ht="15.75" thickBot="1" x14ac:dyDescent="0.3">
      <c r="A2574" s="12"/>
      <c r="B2574" s="12"/>
      <c r="C2574" s="12"/>
      <c r="D2574" s="3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2"/>
      <c r="W2574" s="12"/>
      <c r="X2574" s="12"/>
      <c r="Y2574" s="12"/>
      <c r="Z2574" s="12"/>
      <c r="AA2574" s="12"/>
      <c r="AB2574" s="12"/>
      <c r="AC2574" s="12"/>
      <c r="AD2574" s="12"/>
    </row>
    <row r="2575" spans="1:30" ht="15.75" thickBot="1" x14ac:dyDescent="0.3">
      <c r="A2575" s="12"/>
      <c r="B2575" s="12"/>
      <c r="C2575" s="12"/>
      <c r="D2575" s="3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2"/>
      <c r="W2575" s="12"/>
      <c r="X2575" s="12"/>
      <c r="Y2575" s="12"/>
      <c r="Z2575" s="12"/>
      <c r="AA2575" s="12"/>
      <c r="AB2575" s="12"/>
      <c r="AC2575" s="12"/>
      <c r="AD2575" s="12"/>
    </row>
    <row r="2576" spans="1:30" ht="15.75" thickBot="1" x14ac:dyDescent="0.3">
      <c r="A2576" s="12"/>
      <c r="B2576" s="12"/>
      <c r="C2576" s="12"/>
      <c r="D2576" s="3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2"/>
      <c r="W2576" s="12"/>
      <c r="X2576" s="12"/>
      <c r="Y2576" s="12"/>
      <c r="Z2576" s="12"/>
      <c r="AA2576" s="12"/>
      <c r="AB2576" s="12"/>
      <c r="AC2576" s="12"/>
      <c r="AD2576" s="12"/>
    </row>
    <row r="2577" spans="1:30" ht="15.75" thickBot="1" x14ac:dyDescent="0.3">
      <c r="A2577" s="12"/>
      <c r="B2577" s="12"/>
      <c r="C2577" s="12"/>
      <c r="D2577" s="3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2"/>
      <c r="W2577" s="12"/>
      <c r="X2577" s="12"/>
      <c r="Y2577" s="12"/>
      <c r="Z2577" s="12"/>
      <c r="AA2577" s="12"/>
      <c r="AB2577" s="12"/>
      <c r="AC2577" s="12"/>
      <c r="AD2577" s="12"/>
    </row>
    <row r="2578" spans="1:30" ht="15.75" thickBot="1" x14ac:dyDescent="0.3">
      <c r="A2578" s="12"/>
      <c r="B2578" s="12"/>
      <c r="C2578" s="12"/>
      <c r="D2578" s="3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2"/>
      <c r="W2578" s="12"/>
      <c r="X2578" s="12"/>
      <c r="Y2578" s="12"/>
      <c r="Z2578" s="12"/>
      <c r="AA2578" s="12"/>
      <c r="AB2578" s="12"/>
      <c r="AC2578" s="12"/>
      <c r="AD2578" s="12"/>
    </row>
    <row r="2579" spans="1:30" ht="15.75" thickBot="1" x14ac:dyDescent="0.3">
      <c r="A2579" s="12"/>
      <c r="B2579" s="12"/>
      <c r="C2579" s="12"/>
      <c r="D2579" s="3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2"/>
      <c r="W2579" s="12"/>
      <c r="X2579" s="12"/>
      <c r="Y2579" s="12"/>
      <c r="Z2579" s="12"/>
      <c r="AA2579" s="12"/>
      <c r="AB2579" s="12"/>
      <c r="AC2579" s="12"/>
      <c r="AD2579" s="12"/>
    </row>
    <row r="2580" spans="1:30" ht="15.75" thickBot="1" x14ac:dyDescent="0.3">
      <c r="A2580" s="12"/>
      <c r="B2580" s="12"/>
      <c r="C2580" s="12"/>
      <c r="D2580" s="3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2"/>
      <c r="W2580" s="12"/>
      <c r="X2580" s="12"/>
      <c r="Y2580" s="12"/>
      <c r="Z2580" s="12"/>
      <c r="AA2580" s="12"/>
      <c r="AB2580" s="12"/>
      <c r="AC2580" s="12"/>
      <c r="AD2580" s="12"/>
    </row>
    <row r="2581" spans="1:30" ht="15.75" thickBot="1" x14ac:dyDescent="0.3">
      <c r="A2581" s="12"/>
      <c r="B2581" s="12"/>
      <c r="C2581" s="12"/>
      <c r="D2581" s="3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2"/>
      <c r="W2581" s="12"/>
      <c r="X2581" s="12"/>
      <c r="Y2581" s="12"/>
      <c r="Z2581" s="12"/>
      <c r="AA2581" s="12"/>
      <c r="AB2581" s="12"/>
      <c r="AC2581" s="12"/>
      <c r="AD2581" s="12"/>
    </row>
    <row r="2582" spans="1:30" ht="15.75" thickBot="1" x14ac:dyDescent="0.3">
      <c r="A2582" s="12"/>
      <c r="B2582" s="12"/>
      <c r="C2582" s="12"/>
      <c r="D2582" s="3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2"/>
      <c r="W2582" s="12"/>
      <c r="X2582" s="12"/>
      <c r="Y2582" s="12"/>
      <c r="Z2582" s="12"/>
      <c r="AA2582" s="12"/>
      <c r="AB2582" s="12"/>
      <c r="AC2582" s="12"/>
      <c r="AD2582" s="12"/>
    </row>
    <row r="2583" spans="1:30" ht="15.75" thickBot="1" x14ac:dyDescent="0.3">
      <c r="A2583" s="12"/>
      <c r="B2583" s="12"/>
      <c r="C2583" s="12"/>
      <c r="D2583" s="3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2"/>
      <c r="W2583" s="12"/>
      <c r="X2583" s="12"/>
      <c r="Y2583" s="12"/>
      <c r="Z2583" s="12"/>
      <c r="AA2583" s="12"/>
      <c r="AB2583" s="12"/>
      <c r="AC2583" s="12"/>
      <c r="AD2583" s="12"/>
    </row>
    <row r="2584" spans="1:30" ht="15.75" thickBot="1" x14ac:dyDescent="0.3">
      <c r="A2584" s="12"/>
      <c r="B2584" s="12"/>
      <c r="C2584" s="12"/>
      <c r="D2584" s="3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2"/>
      <c r="W2584" s="12"/>
      <c r="X2584" s="12"/>
      <c r="Y2584" s="12"/>
      <c r="Z2584" s="12"/>
      <c r="AA2584" s="12"/>
      <c r="AB2584" s="12"/>
      <c r="AC2584" s="12"/>
      <c r="AD2584" s="12"/>
    </row>
    <row r="2585" spans="1:30" ht="15.75" thickBot="1" x14ac:dyDescent="0.3">
      <c r="A2585" s="12"/>
      <c r="B2585" s="12"/>
      <c r="C2585" s="12"/>
      <c r="D2585" s="3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2"/>
      <c r="W2585" s="12"/>
      <c r="X2585" s="12"/>
      <c r="Y2585" s="12"/>
      <c r="Z2585" s="12"/>
      <c r="AA2585" s="12"/>
      <c r="AB2585" s="12"/>
      <c r="AC2585" s="12"/>
      <c r="AD2585" s="12"/>
    </row>
    <row r="2586" spans="1:30" ht="15.75" thickBot="1" x14ac:dyDescent="0.3">
      <c r="A2586" s="12"/>
      <c r="B2586" s="12"/>
      <c r="C2586" s="12"/>
      <c r="D2586" s="3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2"/>
      <c r="W2586" s="12"/>
      <c r="X2586" s="12"/>
      <c r="Y2586" s="12"/>
      <c r="Z2586" s="12"/>
      <c r="AA2586" s="12"/>
      <c r="AB2586" s="12"/>
      <c r="AC2586" s="12"/>
      <c r="AD2586" s="12"/>
    </row>
    <row r="2587" spans="1:30" ht="15.75" thickBot="1" x14ac:dyDescent="0.3">
      <c r="A2587" s="12"/>
      <c r="B2587" s="12"/>
      <c r="C2587" s="12"/>
      <c r="D2587" s="3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2"/>
      <c r="W2587" s="12"/>
      <c r="X2587" s="12"/>
      <c r="Y2587" s="12"/>
      <c r="Z2587" s="12"/>
      <c r="AA2587" s="12"/>
      <c r="AB2587" s="12"/>
      <c r="AC2587" s="12"/>
      <c r="AD2587" s="12"/>
    </row>
    <row r="2588" spans="1:30" ht="15.75" thickBot="1" x14ac:dyDescent="0.3">
      <c r="A2588" s="12"/>
      <c r="B2588" s="12"/>
      <c r="C2588" s="12"/>
      <c r="D2588" s="3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2"/>
      <c r="W2588" s="12"/>
      <c r="X2588" s="12"/>
      <c r="Y2588" s="12"/>
      <c r="Z2588" s="12"/>
      <c r="AA2588" s="12"/>
      <c r="AB2588" s="12"/>
      <c r="AC2588" s="12"/>
      <c r="AD2588" s="12"/>
    </row>
    <row r="2589" spans="1:30" ht="15.75" thickBot="1" x14ac:dyDescent="0.3">
      <c r="A2589" s="12"/>
      <c r="B2589" s="12"/>
      <c r="C2589" s="12"/>
      <c r="D2589" s="3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2"/>
      <c r="W2589" s="12"/>
      <c r="X2589" s="12"/>
      <c r="Y2589" s="12"/>
      <c r="Z2589" s="12"/>
      <c r="AA2589" s="12"/>
      <c r="AB2589" s="12"/>
      <c r="AC2589" s="12"/>
      <c r="AD2589" s="12"/>
    </row>
    <row r="2590" spans="1:30" ht="15.75" thickBot="1" x14ac:dyDescent="0.3">
      <c r="A2590" s="12"/>
      <c r="B2590" s="12"/>
      <c r="C2590" s="12"/>
      <c r="D2590" s="3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2"/>
      <c r="W2590" s="12"/>
      <c r="X2590" s="12"/>
      <c r="Y2590" s="12"/>
      <c r="Z2590" s="12"/>
      <c r="AA2590" s="12"/>
      <c r="AB2590" s="12"/>
      <c r="AC2590" s="12"/>
      <c r="AD2590" s="12"/>
    </row>
    <row r="2591" spans="1:30" ht="15.75" thickBot="1" x14ac:dyDescent="0.3">
      <c r="A2591" s="12"/>
      <c r="B2591" s="12"/>
      <c r="C2591" s="12"/>
      <c r="D2591" s="3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2"/>
      <c r="W2591" s="12"/>
      <c r="X2591" s="12"/>
      <c r="Y2591" s="12"/>
      <c r="Z2591" s="12"/>
      <c r="AA2591" s="12"/>
      <c r="AB2591" s="12"/>
      <c r="AC2591" s="12"/>
      <c r="AD2591" s="12"/>
    </row>
    <row r="2592" spans="1:30" ht="15.75" thickBot="1" x14ac:dyDescent="0.3">
      <c r="A2592" s="12"/>
      <c r="B2592" s="12"/>
      <c r="C2592" s="12"/>
      <c r="D2592" s="3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2"/>
      <c r="W2592" s="12"/>
      <c r="X2592" s="12"/>
      <c r="Y2592" s="12"/>
      <c r="Z2592" s="12"/>
      <c r="AA2592" s="12"/>
      <c r="AB2592" s="12"/>
      <c r="AC2592" s="12"/>
      <c r="AD2592" s="12"/>
    </row>
    <row r="2593" spans="1:30" ht="15.75" thickBot="1" x14ac:dyDescent="0.3">
      <c r="A2593" s="12"/>
      <c r="B2593" s="12"/>
      <c r="C2593" s="12"/>
      <c r="D2593" s="3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2"/>
      <c r="W2593" s="12"/>
      <c r="X2593" s="12"/>
      <c r="Y2593" s="12"/>
      <c r="Z2593" s="12"/>
      <c r="AA2593" s="12"/>
      <c r="AB2593" s="12"/>
      <c r="AC2593" s="12"/>
      <c r="AD2593" s="12"/>
    </row>
    <row r="2594" spans="1:30" ht="15.75" thickBot="1" x14ac:dyDescent="0.3">
      <c r="A2594" s="12"/>
      <c r="B2594" s="12"/>
      <c r="C2594" s="12"/>
      <c r="D2594" s="3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2"/>
      <c r="W2594" s="12"/>
      <c r="X2594" s="12"/>
      <c r="Y2594" s="12"/>
      <c r="Z2594" s="12"/>
      <c r="AA2594" s="12"/>
      <c r="AB2594" s="12"/>
      <c r="AC2594" s="12"/>
      <c r="AD2594" s="12"/>
    </row>
    <row r="2595" spans="1:30" ht="15.75" thickBot="1" x14ac:dyDescent="0.3">
      <c r="A2595" s="12"/>
      <c r="B2595" s="12"/>
      <c r="C2595" s="12"/>
      <c r="D2595" s="3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2"/>
      <c r="W2595" s="12"/>
      <c r="X2595" s="12"/>
      <c r="Y2595" s="12"/>
      <c r="Z2595" s="12"/>
      <c r="AA2595" s="12"/>
      <c r="AB2595" s="12"/>
      <c r="AC2595" s="12"/>
      <c r="AD2595" s="12"/>
    </row>
    <row r="2596" spans="1:30" ht="15.75" thickBot="1" x14ac:dyDescent="0.3">
      <c r="A2596" s="12"/>
      <c r="B2596" s="12"/>
      <c r="C2596" s="12"/>
      <c r="D2596" s="3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2"/>
      <c r="W2596" s="12"/>
      <c r="X2596" s="12"/>
      <c r="Y2596" s="12"/>
      <c r="Z2596" s="12"/>
      <c r="AA2596" s="12"/>
      <c r="AB2596" s="12"/>
      <c r="AC2596" s="12"/>
      <c r="AD2596" s="12"/>
    </row>
    <row r="2597" spans="1:30" ht="15.75" thickBot="1" x14ac:dyDescent="0.3">
      <c r="A2597" s="12"/>
      <c r="B2597" s="12"/>
      <c r="C2597" s="12"/>
      <c r="D2597" s="3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2"/>
      <c r="W2597" s="12"/>
      <c r="X2597" s="12"/>
      <c r="Y2597" s="12"/>
      <c r="Z2597" s="12"/>
      <c r="AA2597" s="12"/>
      <c r="AB2597" s="12"/>
      <c r="AC2597" s="12"/>
      <c r="AD2597" s="12"/>
    </row>
    <row r="2598" spans="1:30" ht="15.75" thickBot="1" x14ac:dyDescent="0.3">
      <c r="A2598" s="12"/>
      <c r="B2598" s="12"/>
      <c r="C2598" s="12"/>
      <c r="D2598" s="3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2"/>
      <c r="W2598" s="12"/>
      <c r="X2598" s="12"/>
      <c r="Y2598" s="12"/>
      <c r="Z2598" s="12"/>
      <c r="AA2598" s="12"/>
      <c r="AB2598" s="12"/>
      <c r="AC2598" s="12"/>
      <c r="AD2598" s="12"/>
    </row>
    <row r="2599" spans="1:30" ht="15.75" thickBot="1" x14ac:dyDescent="0.3">
      <c r="A2599" s="12"/>
      <c r="B2599" s="12"/>
      <c r="C2599" s="12"/>
      <c r="D2599" s="3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2"/>
      <c r="W2599" s="12"/>
      <c r="X2599" s="12"/>
      <c r="Y2599" s="12"/>
      <c r="Z2599" s="12"/>
      <c r="AA2599" s="12"/>
      <c r="AB2599" s="12"/>
      <c r="AC2599" s="12"/>
      <c r="AD2599" s="12"/>
    </row>
    <row r="2600" spans="1:30" ht="15.75" thickBot="1" x14ac:dyDescent="0.3">
      <c r="A2600" s="12"/>
      <c r="B2600" s="12"/>
      <c r="C2600" s="12"/>
      <c r="D2600" s="3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2"/>
      <c r="W2600" s="12"/>
      <c r="X2600" s="12"/>
      <c r="Y2600" s="12"/>
      <c r="Z2600" s="12"/>
      <c r="AA2600" s="12"/>
      <c r="AB2600" s="12"/>
      <c r="AC2600" s="12"/>
      <c r="AD2600" s="12"/>
    </row>
    <row r="2601" spans="1:30" ht="15.75" thickBot="1" x14ac:dyDescent="0.3">
      <c r="A2601" s="12"/>
      <c r="B2601" s="12"/>
      <c r="C2601" s="12"/>
      <c r="D2601" s="3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2"/>
      <c r="W2601" s="12"/>
      <c r="X2601" s="12"/>
      <c r="Y2601" s="12"/>
      <c r="Z2601" s="12"/>
      <c r="AA2601" s="12"/>
      <c r="AB2601" s="12"/>
      <c r="AC2601" s="12"/>
      <c r="AD2601" s="12"/>
    </row>
    <row r="2602" spans="1:30" ht="15.75" thickBot="1" x14ac:dyDescent="0.3">
      <c r="A2602" s="12"/>
      <c r="B2602" s="12"/>
      <c r="C2602" s="12"/>
      <c r="D2602" s="3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2"/>
      <c r="W2602" s="12"/>
      <c r="X2602" s="12"/>
      <c r="Y2602" s="12"/>
      <c r="Z2602" s="12"/>
      <c r="AA2602" s="12"/>
      <c r="AB2602" s="12"/>
      <c r="AC2602" s="12"/>
      <c r="AD2602" s="12"/>
    </row>
    <row r="2603" spans="1:30" ht="15.75" thickBot="1" x14ac:dyDescent="0.3">
      <c r="A2603" s="12"/>
      <c r="B2603" s="12"/>
      <c r="C2603" s="12"/>
      <c r="D2603" s="3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2"/>
      <c r="W2603" s="12"/>
      <c r="X2603" s="12"/>
      <c r="Y2603" s="12"/>
      <c r="Z2603" s="12"/>
      <c r="AA2603" s="12"/>
      <c r="AB2603" s="12"/>
      <c r="AC2603" s="12"/>
      <c r="AD2603" s="12"/>
    </row>
    <row r="2604" spans="1:30" ht="15.75" thickBot="1" x14ac:dyDescent="0.3">
      <c r="A2604" s="12"/>
      <c r="B2604" s="12"/>
      <c r="C2604" s="12"/>
      <c r="D2604" s="3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2"/>
      <c r="W2604" s="12"/>
      <c r="X2604" s="12"/>
      <c r="Y2604" s="12"/>
      <c r="Z2604" s="12"/>
      <c r="AA2604" s="12"/>
      <c r="AB2604" s="12"/>
      <c r="AC2604" s="12"/>
      <c r="AD2604" s="12"/>
    </row>
    <row r="2605" spans="1:30" ht="15.75" thickBot="1" x14ac:dyDescent="0.3">
      <c r="A2605" s="12"/>
      <c r="B2605" s="12"/>
      <c r="C2605" s="12"/>
      <c r="D2605" s="3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2"/>
      <c r="W2605" s="12"/>
      <c r="X2605" s="12"/>
      <c r="Y2605" s="12"/>
      <c r="Z2605" s="12"/>
      <c r="AA2605" s="12"/>
      <c r="AB2605" s="12"/>
      <c r="AC2605" s="12"/>
      <c r="AD2605" s="12"/>
    </row>
    <row r="2606" spans="1:30" ht="15.75" thickBot="1" x14ac:dyDescent="0.3">
      <c r="A2606" s="12"/>
      <c r="B2606" s="12"/>
      <c r="C2606" s="12"/>
      <c r="D2606" s="3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2"/>
      <c r="W2606" s="12"/>
      <c r="X2606" s="12"/>
      <c r="Y2606" s="12"/>
      <c r="Z2606" s="12"/>
      <c r="AA2606" s="12"/>
      <c r="AB2606" s="12"/>
      <c r="AC2606" s="12"/>
      <c r="AD2606" s="12"/>
    </row>
    <row r="2607" spans="1:30" ht="15.75" thickBot="1" x14ac:dyDescent="0.3">
      <c r="A2607" s="12"/>
      <c r="B2607" s="12"/>
      <c r="C2607" s="12"/>
      <c r="D2607" s="3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2"/>
      <c r="W2607" s="12"/>
      <c r="X2607" s="12"/>
      <c r="Y2607" s="12"/>
      <c r="Z2607" s="12"/>
      <c r="AA2607" s="12"/>
      <c r="AB2607" s="12"/>
      <c r="AC2607" s="12"/>
      <c r="AD2607" s="12"/>
    </row>
    <row r="2608" spans="1:30" ht="15.75" thickBot="1" x14ac:dyDescent="0.3">
      <c r="A2608" s="12"/>
      <c r="B2608" s="12"/>
      <c r="C2608" s="12"/>
      <c r="D2608" s="3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2"/>
      <c r="W2608" s="12"/>
      <c r="X2608" s="12"/>
      <c r="Y2608" s="12"/>
      <c r="Z2608" s="12"/>
      <c r="AA2608" s="12"/>
      <c r="AB2608" s="12"/>
      <c r="AC2608" s="12"/>
      <c r="AD2608" s="12"/>
    </row>
    <row r="2609" spans="1:30" ht="15.75" thickBot="1" x14ac:dyDescent="0.3">
      <c r="A2609" s="12"/>
      <c r="B2609" s="12"/>
      <c r="C2609" s="12"/>
      <c r="D2609" s="3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2"/>
      <c r="W2609" s="12"/>
      <c r="X2609" s="12"/>
      <c r="Y2609" s="12"/>
      <c r="Z2609" s="12"/>
      <c r="AA2609" s="12"/>
      <c r="AB2609" s="12"/>
      <c r="AC2609" s="12"/>
      <c r="AD2609" s="12"/>
    </row>
    <row r="2610" spans="1:30" ht="15.75" thickBot="1" x14ac:dyDescent="0.3">
      <c r="A2610" s="12"/>
      <c r="B2610" s="12"/>
      <c r="C2610" s="12"/>
      <c r="D2610" s="3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2"/>
      <c r="W2610" s="12"/>
      <c r="X2610" s="12"/>
      <c r="Y2610" s="12"/>
      <c r="Z2610" s="12"/>
      <c r="AA2610" s="12"/>
      <c r="AB2610" s="12"/>
      <c r="AC2610" s="12"/>
      <c r="AD2610" s="12"/>
    </row>
    <row r="2611" spans="1:30" ht="15.75" thickBot="1" x14ac:dyDescent="0.3">
      <c r="A2611" s="12"/>
      <c r="B2611" s="12"/>
      <c r="C2611" s="12"/>
      <c r="D2611" s="3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2"/>
      <c r="W2611" s="12"/>
      <c r="X2611" s="12"/>
      <c r="Y2611" s="12"/>
      <c r="Z2611" s="12"/>
      <c r="AA2611" s="12"/>
      <c r="AB2611" s="12"/>
      <c r="AC2611" s="12"/>
      <c r="AD2611" s="12"/>
    </row>
    <row r="2612" spans="1:30" ht="15.75" thickBot="1" x14ac:dyDescent="0.3">
      <c r="A2612" s="12"/>
      <c r="B2612" s="12"/>
      <c r="C2612" s="12"/>
      <c r="D2612" s="3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2"/>
      <c r="W2612" s="12"/>
      <c r="X2612" s="12"/>
      <c r="Y2612" s="12"/>
      <c r="Z2612" s="12"/>
      <c r="AA2612" s="12"/>
      <c r="AB2612" s="12"/>
      <c r="AC2612" s="12"/>
      <c r="AD2612" s="12"/>
    </row>
    <row r="2613" spans="1:30" ht="15.75" thickBot="1" x14ac:dyDescent="0.3">
      <c r="A2613" s="12"/>
      <c r="B2613" s="12"/>
      <c r="C2613" s="12"/>
      <c r="D2613" s="3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2"/>
      <c r="W2613" s="12"/>
      <c r="X2613" s="12"/>
      <c r="Y2613" s="12"/>
      <c r="Z2613" s="12"/>
      <c r="AA2613" s="12"/>
      <c r="AB2613" s="12"/>
      <c r="AC2613" s="12"/>
      <c r="AD2613" s="12"/>
    </row>
    <row r="2614" spans="1:30" ht="15.75" thickBot="1" x14ac:dyDescent="0.3">
      <c r="A2614" s="12"/>
      <c r="B2614" s="12"/>
      <c r="C2614" s="12"/>
      <c r="D2614" s="3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2"/>
      <c r="W2614" s="12"/>
      <c r="X2614" s="12"/>
      <c r="Y2614" s="12"/>
      <c r="Z2614" s="12"/>
      <c r="AA2614" s="12"/>
      <c r="AB2614" s="12"/>
      <c r="AC2614" s="12"/>
      <c r="AD2614" s="12"/>
    </row>
    <row r="2615" spans="1:30" ht="15.75" thickBot="1" x14ac:dyDescent="0.3">
      <c r="A2615" s="12"/>
      <c r="B2615" s="12"/>
      <c r="C2615" s="12"/>
      <c r="D2615" s="3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2"/>
      <c r="W2615" s="12"/>
      <c r="X2615" s="12"/>
      <c r="Y2615" s="12"/>
      <c r="Z2615" s="12"/>
      <c r="AA2615" s="12"/>
      <c r="AB2615" s="12"/>
      <c r="AC2615" s="12"/>
      <c r="AD2615" s="12"/>
    </row>
    <row r="2616" spans="1:30" ht="15.75" thickBot="1" x14ac:dyDescent="0.3">
      <c r="A2616" s="12"/>
      <c r="B2616" s="12"/>
      <c r="C2616" s="12"/>
      <c r="D2616" s="3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2"/>
      <c r="W2616" s="12"/>
      <c r="X2616" s="12"/>
      <c r="Y2616" s="12"/>
      <c r="Z2616" s="12"/>
      <c r="AA2616" s="12"/>
      <c r="AB2616" s="12"/>
      <c r="AC2616" s="12"/>
      <c r="AD2616" s="12"/>
    </row>
    <row r="2617" spans="1:30" ht="15.75" thickBot="1" x14ac:dyDescent="0.3">
      <c r="A2617" s="12"/>
      <c r="B2617" s="12"/>
      <c r="C2617" s="12"/>
      <c r="D2617" s="3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2"/>
      <c r="W2617" s="12"/>
      <c r="X2617" s="12"/>
      <c r="Y2617" s="12"/>
      <c r="Z2617" s="12"/>
      <c r="AA2617" s="12"/>
      <c r="AB2617" s="12"/>
      <c r="AC2617" s="12"/>
      <c r="AD2617" s="12"/>
    </row>
    <row r="2618" spans="1:30" ht="15.75" thickBot="1" x14ac:dyDescent="0.3">
      <c r="A2618" s="12"/>
      <c r="B2618" s="12"/>
      <c r="C2618" s="12"/>
      <c r="D2618" s="3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2"/>
      <c r="W2618" s="12"/>
      <c r="X2618" s="12"/>
      <c r="Y2618" s="12"/>
      <c r="Z2618" s="12"/>
      <c r="AA2618" s="12"/>
      <c r="AB2618" s="12"/>
      <c r="AC2618" s="12"/>
      <c r="AD2618" s="12"/>
    </row>
    <row r="2619" spans="1:30" ht="15.75" thickBot="1" x14ac:dyDescent="0.3">
      <c r="A2619" s="12"/>
      <c r="B2619" s="12"/>
      <c r="C2619" s="12"/>
      <c r="D2619" s="3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2"/>
      <c r="W2619" s="12"/>
      <c r="X2619" s="12"/>
      <c r="Y2619" s="12"/>
      <c r="Z2619" s="12"/>
      <c r="AA2619" s="12"/>
      <c r="AB2619" s="12"/>
      <c r="AC2619" s="12"/>
      <c r="AD2619" s="12"/>
    </row>
    <row r="2620" spans="1:30" ht="15.75" thickBot="1" x14ac:dyDescent="0.3">
      <c r="A2620" s="12"/>
      <c r="B2620" s="12"/>
      <c r="C2620" s="12"/>
      <c r="D2620" s="3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2"/>
      <c r="W2620" s="12"/>
      <c r="X2620" s="12"/>
      <c r="Y2620" s="12"/>
      <c r="Z2620" s="12"/>
      <c r="AA2620" s="12"/>
      <c r="AB2620" s="12"/>
      <c r="AC2620" s="12"/>
      <c r="AD2620" s="12"/>
    </row>
    <row r="2621" spans="1:30" ht="15.75" thickBot="1" x14ac:dyDescent="0.3">
      <c r="A2621" s="12"/>
      <c r="B2621" s="12"/>
      <c r="C2621" s="12"/>
      <c r="D2621" s="3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2"/>
      <c r="W2621" s="12"/>
      <c r="X2621" s="12"/>
      <c r="Y2621" s="12"/>
      <c r="Z2621" s="12"/>
      <c r="AA2621" s="12"/>
      <c r="AB2621" s="12"/>
      <c r="AC2621" s="12"/>
      <c r="AD2621" s="12"/>
    </row>
    <row r="2622" spans="1:30" ht="15.75" thickBot="1" x14ac:dyDescent="0.3">
      <c r="A2622" s="12"/>
      <c r="B2622" s="12"/>
      <c r="C2622" s="12"/>
      <c r="D2622" s="3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2"/>
      <c r="W2622" s="12"/>
      <c r="X2622" s="12"/>
      <c r="Y2622" s="12"/>
      <c r="Z2622" s="12"/>
      <c r="AA2622" s="12"/>
      <c r="AB2622" s="12"/>
      <c r="AC2622" s="12"/>
      <c r="AD2622" s="12"/>
    </row>
    <row r="2623" spans="1:30" ht="15.75" thickBot="1" x14ac:dyDescent="0.3">
      <c r="A2623" s="12"/>
      <c r="B2623" s="12"/>
      <c r="C2623" s="12"/>
      <c r="D2623" s="3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2"/>
      <c r="W2623" s="12"/>
      <c r="X2623" s="12"/>
      <c r="Y2623" s="12"/>
      <c r="Z2623" s="12"/>
      <c r="AA2623" s="12"/>
      <c r="AB2623" s="12"/>
      <c r="AC2623" s="12"/>
      <c r="AD2623" s="12"/>
    </row>
    <row r="2624" spans="1:30" ht="15.75" thickBot="1" x14ac:dyDescent="0.3">
      <c r="A2624" s="12"/>
      <c r="B2624" s="12"/>
      <c r="C2624" s="12"/>
      <c r="D2624" s="3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2"/>
      <c r="W2624" s="12"/>
      <c r="X2624" s="12"/>
      <c r="Y2624" s="12"/>
      <c r="Z2624" s="12"/>
      <c r="AA2624" s="12"/>
      <c r="AB2624" s="12"/>
      <c r="AC2624" s="12"/>
      <c r="AD2624" s="12"/>
    </row>
    <row r="2625" spans="1:30" ht="15.75" thickBot="1" x14ac:dyDescent="0.3">
      <c r="A2625" s="12"/>
      <c r="B2625" s="12"/>
      <c r="C2625" s="12"/>
      <c r="D2625" s="3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2"/>
      <c r="W2625" s="12"/>
      <c r="X2625" s="12"/>
      <c r="Y2625" s="12"/>
      <c r="Z2625" s="12"/>
      <c r="AA2625" s="12"/>
      <c r="AB2625" s="12"/>
      <c r="AC2625" s="12"/>
      <c r="AD2625" s="12"/>
    </row>
    <row r="2626" spans="1:30" ht="15.75" thickBot="1" x14ac:dyDescent="0.3">
      <c r="A2626" s="12"/>
      <c r="B2626" s="12"/>
      <c r="C2626" s="12"/>
      <c r="D2626" s="3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2"/>
      <c r="W2626" s="12"/>
      <c r="X2626" s="12"/>
      <c r="Y2626" s="12"/>
      <c r="Z2626" s="12"/>
      <c r="AA2626" s="12"/>
      <c r="AB2626" s="12"/>
      <c r="AC2626" s="12"/>
      <c r="AD2626" s="12"/>
    </row>
    <row r="2627" spans="1:30" ht="15.75" thickBot="1" x14ac:dyDescent="0.3">
      <c r="A2627" s="12"/>
      <c r="B2627" s="12"/>
      <c r="C2627" s="12"/>
      <c r="D2627" s="3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2"/>
      <c r="W2627" s="12"/>
      <c r="X2627" s="12"/>
      <c r="Y2627" s="12"/>
      <c r="Z2627" s="12"/>
      <c r="AA2627" s="12"/>
      <c r="AB2627" s="12"/>
      <c r="AC2627" s="12"/>
      <c r="AD2627" s="12"/>
    </row>
    <row r="2628" spans="1:30" ht="15.75" thickBot="1" x14ac:dyDescent="0.3">
      <c r="A2628" s="12"/>
      <c r="B2628" s="12"/>
      <c r="C2628" s="12"/>
      <c r="D2628" s="3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2"/>
      <c r="W2628" s="12"/>
      <c r="X2628" s="12"/>
      <c r="Y2628" s="12"/>
      <c r="Z2628" s="12"/>
      <c r="AA2628" s="12"/>
      <c r="AB2628" s="12"/>
      <c r="AC2628" s="12"/>
      <c r="AD2628" s="12"/>
    </row>
    <row r="2629" spans="1:30" ht="15.75" thickBot="1" x14ac:dyDescent="0.3">
      <c r="A2629" s="12"/>
      <c r="B2629" s="12"/>
      <c r="C2629" s="12"/>
      <c r="D2629" s="3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2"/>
      <c r="W2629" s="12"/>
      <c r="X2629" s="12"/>
      <c r="Y2629" s="12"/>
      <c r="Z2629" s="12"/>
      <c r="AA2629" s="12"/>
      <c r="AB2629" s="12"/>
      <c r="AC2629" s="12"/>
      <c r="AD2629" s="12"/>
    </row>
    <row r="2630" spans="1:30" ht="15.75" thickBot="1" x14ac:dyDescent="0.3">
      <c r="A2630" s="12"/>
      <c r="B2630" s="12"/>
      <c r="C2630" s="12"/>
      <c r="D2630" s="3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2"/>
      <c r="W2630" s="12"/>
      <c r="X2630" s="12"/>
      <c r="Y2630" s="12"/>
      <c r="Z2630" s="12"/>
      <c r="AA2630" s="12"/>
      <c r="AB2630" s="12"/>
      <c r="AC2630" s="12"/>
      <c r="AD2630" s="12"/>
    </row>
    <row r="2631" spans="1:30" ht="15.75" thickBot="1" x14ac:dyDescent="0.3">
      <c r="A2631" s="12"/>
      <c r="B2631" s="12"/>
      <c r="C2631" s="12"/>
      <c r="D2631" s="3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2"/>
      <c r="W2631" s="12"/>
      <c r="X2631" s="12"/>
      <c r="Y2631" s="12"/>
      <c r="Z2631" s="12"/>
      <c r="AA2631" s="12"/>
      <c r="AB2631" s="12"/>
      <c r="AC2631" s="12"/>
      <c r="AD2631" s="12"/>
    </row>
    <row r="2632" spans="1:30" ht="15.75" thickBot="1" x14ac:dyDescent="0.3">
      <c r="A2632" s="12"/>
      <c r="B2632" s="12"/>
      <c r="C2632" s="12"/>
      <c r="D2632" s="3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2"/>
      <c r="W2632" s="12"/>
      <c r="X2632" s="12"/>
      <c r="Y2632" s="12"/>
      <c r="Z2632" s="12"/>
      <c r="AA2632" s="12"/>
      <c r="AB2632" s="12"/>
      <c r="AC2632" s="12"/>
      <c r="AD2632" s="12"/>
    </row>
    <row r="2633" spans="1:30" ht="15.75" thickBot="1" x14ac:dyDescent="0.3">
      <c r="A2633" s="12"/>
      <c r="B2633" s="12"/>
      <c r="C2633" s="12"/>
      <c r="D2633" s="3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2"/>
      <c r="W2633" s="12"/>
      <c r="X2633" s="12"/>
      <c r="Y2633" s="12"/>
      <c r="Z2633" s="12"/>
      <c r="AA2633" s="12"/>
      <c r="AB2633" s="12"/>
      <c r="AC2633" s="12"/>
      <c r="AD2633" s="12"/>
    </row>
    <row r="2634" spans="1:30" ht="15.75" thickBot="1" x14ac:dyDescent="0.3">
      <c r="A2634" s="12"/>
      <c r="B2634" s="12"/>
      <c r="C2634" s="12"/>
      <c r="D2634" s="3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2"/>
      <c r="W2634" s="12"/>
      <c r="X2634" s="12"/>
      <c r="Y2634" s="12"/>
      <c r="Z2634" s="12"/>
      <c r="AA2634" s="12"/>
      <c r="AB2634" s="12"/>
      <c r="AC2634" s="12"/>
      <c r="AD2634" s="12"/>
    </row>
    <row r="2635" spans="1:30" ht="15.75" thickBot="1" x14ac:dyDescent="0.3">
      <c r="A2635" s="12"/>
      <c r="B2635" s="12"/>
      <c r="C2635" s="12"/>
      <c r="D2635" s="3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2"/>
      <c r="W2635" s="12"/>
      <c r="X2635" s="12"/>
      <c r="Y2635" s="12"/>
      <c r="Z2635" s="12"/>
      <c r="AA2635" s="12"/>
      <c r="AB2635" s="12"/>
      <c r="AC2635" s="12"/>
      <c r="AD2635" s="12"/>
    </row>
    <row r="2636" spans="1:30" ht="15.75" thickBot="1" x14ac:dyDescent="0.3">
      <c r="A2636" s="12"/>
      <c r="B2636" s="12"/>
      <c r="C2636" s="12"/>
      <c r="D2636" s="3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2"/>
      <c r="W2636" s="12"/>
      <c r="X2636" s="12"/>
      <c r="Y2636" s="12"/>
      <c r="Z2636" s="12"/>
      <c r="AA2636" s="12"/>
      <c r="AB2636" s="12"/>
      <c r="AC2636" s="12"/>
      <c r="AD2636" s="12"/>
    </row>
    <row r="2637" spans="1:30" ht="15.75" thickBot="1" x14ac:dyDescent="0.3">
      <c r="A2637" s="12"/>
      <c r="B2637" s="12"/>
      <c r="C2637" s="12"/>
      <c r="D2637" s="3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2"/>
      <c r="W2637" s="12"/>
      <c r="X2637" s="12"/>
      <c r="Y2637" s="12"/>
      <c r="Z2637" s="12"/>
      <c r="AA2637" s="12"/>
      <c r="AB2637" s="12"/>
      <c r="AC2637" s="12"/>
      <c r="AD2637" s="12"/>
    </row>
    <row r="2638" spans="1:30" ht="15.75" thickBot="1" x14ac:dyDescent="0.3">
      <c r="A2638" s="12"/>
      <c r="B2638" s="12"/>
      <c r="C2638" s="12"/>
      <c r="D2638" s="3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2"/>
      <c r="W2638" s="12"/>
      <c r="X2638" s="12"/>
      <c r="Y2638" s="12"/>
      <c r="Z2638" s="12"/>
      <c r="AA2638" s="12"/>
      <c r="AB2638" s="12"/>
      <c r="AC2638" s="12"/>
      <c r="AD2638" s="12"/>
    </row>
    <row r="2639" spans="1:30" ht="15.75" thickBot="1" x14ac:dyDescent="0.3">
      <c r="A2639" s="12"/>
      <c r="B2639" s="12"/>
      <c r="C2639" s="12"/>
      <c r="D2639" s="3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2"/>
      <c r="W2639" s="12"/>
      <c r="X2639" s="12"/>
      <c r="Y2639" s="12"/>
      <c r="Z2639" s="12"/>
      <c r="AA2639" s="12"/>
      <c r="AB2639" s="12"/>
      <c r="AC2639" s="12"/>
      <c r="AD2639" s="12"/>
    </row>
    <row r="2640" spans="1:30" ht="15.75" thickBot="1" x14ac:dyDescent="0.3">
      <c r="A2640" s="12"/>
      <c r="B2640" s="12"/>
      <c r="C2640" s="12"/>
      <c r="D2640" s="3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2"/>
      <c r="W2640" s="12"/>
      <c r="X2640" s="12"/>
      <c r="Y2640" s="12"/>
      <c r="Z2640" s="12"/>
      <c r="AA2640" s="12"/>
      <c r="AB2640" s="12"/>
      <c r="AC2640" s="12"/>
      <c r="AD2640" s="12"/>
    </row>
    <row r="2641" spans="1:30" ht="15.75" thickBot="1" x14ac:dyDescent="0.3">
      <c r="A2641" s="12"/>
      <c r="B2641" s="12"/>
      <c r="C2641" s="12"/>
      <c r="D2641" s="3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2"/>
      <c r="W2641" s="12"/>
      <c r="X2641" s="12"/>
      <c r="Y2641" s="12"/>
      <c r="Z2641" s="12"/>
      <c r="AA2641" s="12"/>
      <c r="AB2641" s="12"/>
      <c r="AC2641" s="12"/>
      <c r="AD2641" s="12"/>
    </row>
    <row r="2642" spans="1:30" ht="15.75" thickBot="1" x14ac:dyDescent="0.3">
      <c r="A2642" s="12"/>
      <c r="B2642" s="12"/>
      <c r="C2642" s="12"/>
      <c r="D2642" s="3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2"/>
      <c r="W2642" s="12"/>
      <c r="X2642" s="12"/>
      <c r="Y2642" s="12"/>
      <c r="Z2642" s="12"/>
      <c r="AA2642" s="12"/>
      <c r="AB2642" s="12"/>
      <c r="AC2642" s="12"/>
      <c r="AD2642" s="12"/>
    </row>
    <row r="2643" spans="1:30" ht="15.75" thickBot="1" x14ac:dyDescent="0.3">
      <c r="A2643" s="12"/>
      <c r="B2643" s="12"/>
      <c r="C2643" s="12"/>
      <c r="D2643" s="3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2"/>
      <c r="W2643" s="12"/>
      <c r="X2643" s="12"/>
      <c r="Y2643" s="12"/>
      <c r="Z2643" s="12"/>
      <c r="AA2643" s="12"/>
      <c r="AB2643" s="12"/>
      <c r="AC2643" s="12"/>
      <c r="AD2643" s="12"/>
    </row>
    <row r="2644" spans="1:30" ht="15.75" thickBot="1" x14ac:dyDescent="0.3">
      <c r="A2644" s="12"/>
      <c r="B2644" s="12"/>
      <c r="C2644" s="12"/>
      <c r="D2644" s="3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2"/>
      <c r="W2644" s="12"/>
      <c r="X2644" s="12"/>
      <c r="Y2644" s="12"/>
      <c r="Z2644" s="12"/>
      <c r="AA2644" s="12"/>
      <c r="AB2644" s="12"/>
      <c r="AC2644" s="12"/>
      <c r="AD2644" s="12"/>
    </row>
    <row r="2645" spans="1:30" ht="15.75" thickBot="1" x14ac:dyDescent="0.3">
      <c r="A2645" s="12"/>
      <c r="B2645" s="12"/>
      <c r="C2645" s="12"/>
      <c r="D2645" s="3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2"/>
      <c r="W2645" s="12"/>
      <c r="X2645" s="12"/>
      <c r="Y2645" s="12"/>
      <c r="Z2645" s="12"/>
      <c r="AA2645" s="12"/>
      <c r="AB2645" s="12"/>
      <c r="AC2645" s="12"/>
      <c r="AD2645" s="12"/>
    </row>
    <row r="2646" spans="1:30" ht="15.75" thickBot="1" x14ac:dyDescent="0.3">
      <c r="A2646" s="12"/>
      <c r="B2646" s="12"/>
      <c r="C2646" s="12"/>
      <c r="D2646" s="3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2"/>
      <c r="W2646" s="12"/>
      <c r="X2646" s="12"/>
      <c r="Y2646" s="12"/>
      <c r="Z2646" s="12"/>
      <c r="AA2646" s="12"/>
      <c r="AB2646" s="12"/>
      <c r="AC2646" s="12"/>
      <c r="AD2646" s="12"/>
    </row>
    <row r="2647" spans="1:30" ht="15.75" thickBot="1" x14ac:dyDescent="0.3">
      <c r="A2647" s="12"/>
      <c r="B2647" s="12"/>
      <c r="C2647" s="12"/>
      <c r="D2647" s="3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2"/>
      <c r="W2647" s="12"/>
      <c r="X2647" s="12"/>
      <c r="Y2647" s="12"/>
      <c r="Z2647" s="12"/>
      <c r="AA2647" s="12"/>
      <c r="AB2647" s="12"/>
      <c r="AC2647" s="12"/>
      <c r="AD2647" s="12"/>
    </row>
    <row r="2648" spans="1:30" ht="15.75" thickBot="1" x14ac:dyDescent="0.3">
      <c r="A2648" s="12"/>
      <c r="B2648" s="12"/>
      <c r="C2648" s="12"/>
      <c r="D2648" s="3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2"/>
      <c r="W2648" s="12"/>
      <c r="X2648" s="12"/>
      <c r="Y2648" s="12"/>
      <c r="Z2648" s="12"/>
      <c r="AA2648" s="12"/>
      <c r="AB2648" s="12"/>
      <c r="AC2648" s="12"/>
      <c r="AD2648" s="12"/>
    </row>
    <row r="2649" spans="1:30" ht="15.75" thickBot="1" x14ac:dyDescent="0.3">
      <c r="A2649" s="12"/>
      <c r="B2649" s="12"/>
      <c r="C2649" s="12"/>
      <c r="D2649" s="3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2"/>
      <c r="W2649" s="12"/>
      <c r="X2649" s="12"/>
      <c r="Y2649" s="12"/>
      <c r="Z2649" s="12"/>
      <c r="AA2649" s="12"/>
      <c r="AB2649" s="12"/>
      <c r="AC2649" s="12"/>
      <c r="AD2649" s="12"/>
    </row>
    <row r="2650" spans="1:30" ht="15.75" thickBot="1" x14ac:dyDescent="0.3">
      <c r="A2650" s="12"/>
      <c r="B2650" s="12"/>
      <c r="C2650" s="12"/>
      <c r="D2650" s="3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2"/>
      <c r="W2650" s="12"/>
      <c r="X2650" s="12"/>
      <c r="Y2650" s="12"/>
      <c r="Z2650" s="12"/>
      <c r="AA2650" s="12"/>
      <c r="AB2650" s="12"/>
      <c r="AC2650" s="12"/>
      <c r="AD2650" s="12"/>
    </row>
    <row r="2651" spans="1:30" ht="15.75" thickBot="1" x14ac:dyDescent="0.3">
      <c r="A2651" s="12"/>
      <c r="B2651" s="12"/>
      <c r="C2651" s="12"/>
      <c r="D2651" s="3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2"/>
      <c r="W2651" s="12"/>
      <c r="X2651" s="12"/>
      <c r="Y2651" s="12"/>
      <c r="Z2651" s="12"/>
      <c r="AA2651" s="12"/>
      <c r="AB2651" s="12"/>
      <c r="AC2651" s="12"/>
      <c r="AD2651" s="12"/>
    </row>
    <row r="2652" spans="1:30" ht="15.75" thickBot="1" x14ac:dyDescent="0.3">
      <c r="A2652" s="12"/>
      <c r="B2652" s="12"/>
      <c r="C2652" s="12"/>
      <c r="D2652" s="3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2"/>
      <c r="W2652" s="12"/>
      <c r="X2652" s="12"/>
      <c r="Y2652" s="12"/>
      <c r="Z2652" s="12"/>
      <c r="AA2652" s="12"/>
      <c r="AB2652" s="12"/>
      <c r="AC2652" s="12"/>
      <c r="AD2652" s="12"/>
    </row>
    <row r="2653" spans="1:30" ht="15.75" thickBot="1" x14ac:dyDescent="0.3">
      <c r="A2653" s="12"/>
      <c r="B2653" s="12"/>
      <c r="C2653" s="12"/>
      <c r="D2653" s="3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2"/>
      <c r="W2653" s="12"/>
      <c r="X2653" s="12"/>
      <c r="Y2653" s="12"/>
      <c r="Z2653" s="12"/>
      <c r="AA2653" s="12"/>
      <c r="AB2653" s="12"/>
      <c r="AC2653" s="12"/>
      <c r="AD2653" s="12"/>
    </row>
    <row r="2654" spans="1:30" ht="15.75" thickBot="1" x14ac:dyDescent="0.3">
      <c r="A2654" s="12"/>
      <c r="B2654" s="12"/>
      <c r="C2654" s="12"/>
      <c r="D2654" s="3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2"/>
      <c r="W2654" s="12"/>
      <c r="X2654" s="12"/>
      <c r="Y2654" s="12"/>
      <c r="Z2654" s="12"/>
      <c r="AA2654" s="12"/>
      <c r="AB2654" s="12"/>
      <c r="AC2654" s="12"/>
      <c r="AD2654" s="12"/>
    </row>
    <row r="2655" spans="1:30" ht="15.75" thickBot="1" x14ac:dyDescent="0.3">
      <c r="A2655" s="12"/>
      <c r="B2655" s="12"/>
      <c r="C2655" s="12"/>
      <c r="D2655" s="3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2"/>
      <c r="W2655" s="12"/>
      <c r="X2655" s="12"/>
      <c r="Y2655" s="12"/>
      <c r="Z2655" s="12"/>
      <c r="AA2655" s="12"/>
      <c r="AB2655" s="12"/>
      <c r="AC2655" s="12"/>
      <c r="AD2655" s="12"/>
    </row>
    <row r="2656" spans="1:30" ht="15.75" thickBot="1" x14ac:dyDescent="0.3">
      <c r="A2656" s="12"/>
      <c r="B2656" s="12"/>
      <c r="C2656" s="12"/>
      <c r="D2656" s="3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2"/>
      <c r="W2656" s="12"/>
      <c r="X2656" s="12"/>
      <c r="Y2656" s="12"/>
      <c r="Z2656" s="12"/>
      <c r="AA2656" s="12"/>
      <c r="AB2656" s="12"/>
      <c r="AC2656" s="12"/>
      <c r="AD2656" s="12"/>
    </row>
    <row r="2657" spans="1:30" ht="15.75" thickBot="1" x14ac:dyDescent="0.3">
      <c r="A2657" s="12"/>
      <c r="B2657" s="12"/>
      <c r="C2657" s="12"/>
      <c r="D2657" s="3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2"/>
      <c r="W2657" s="12"/>
      <c r="X2657" s="12"/>
      <c r="Y2657" s="12"/>
      <c r="Z2657" s="12"/>
      <c r="AA2657" s="12"/>
      <c r="AB2657" s="12"/>
      <c r="AC2657" s="12"/>
      <c r="AD2657" s="12"/>
    </row>
    <row r="2658" spans="1:30" ht="15.75" thickBot="1" x14ac:dyDescent="0.3">
      <c r="A2658" s="12"/>
      <c r="B2658" s="12"/>
      <c r="C2658" s="12"/>
      <c r="D2658" s="3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2"/>
      <c r="W2658" s="12"/>
      <c r="X2658" s="12"/>
      <c r="Y2658" s="12"/>
      <c r="Z2658" s="12"/>
      <c r="AA2658" s="12"/>
      <c r="AB2658" s="12"/>
      <c r="AC2658" s="12"/>
      <c r="AD2658" s="12"/>
    </row>
    <row r="2659" spans="1:30" ht="15.75" thickBot="1" x14ac:dyDescent="0.3">
      <c r="A2659" s="12"/>
      <c r="B2659" s="12"/>
      <c r="C2659" s="12"/>
      <c r="D2659" s="3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2"/>
      <c r="W2659" s="12"/>
      <c r="X2659" s="12"/>
      <c r="Y2659" s="12"/>
      <c r="Z2659" s="12"/>
      <c r="AA2659" s="12"/>
      <c r="AB2659" s="12"/>
      <c r="AC2659" s="12"/>
      <c r="AD2659" s="12"/>
    </row>
    <row r="2660" spans="1:30" ht="15.75" thickBot="1" x14ac:dyDescent="0.3">
      <c r="A2660" s="12"/>
      <c r="B2660" s="12"/>
      <c r="C2660" s="12"/>
      <c r="D2660" s="3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2"/>
      <c r="W2660" s="12"/>
      <c r="X2660" s="12"/>
      <c r="Y2660" s="12"/>
      <c r="Z2660" s="12"/>
      <c r="AA2660" s="12"/>
      <c r="AB2660" s="12"/>
      <c r="AC2660" s="12"/>
      <c r="AD2660" s="12"/>
    </row>
    <row r="2661" spans="1:30" ht="15.75" thickBot="1" x14ac:dyDescent="0.3">
      <c r="A2661" s="12"/>
      <c r="B2661" s="12"/>
      <c r="C2661" s="12"/>
      <c r="D2661" s="3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2"/>
      <c r="W2661" s="12"/>
      <c r="X2661" s="12"/>
      <c r="Y2661" s="12"/>
      <c r="Z2661" s="12"/>
      <c r="AA2661" s="12"/>
      <c r="AB2661" s="12"/>
      <c r="AC2661" s="12"/>
      <c r="AD2661" s="12"/>
    </row>
    <row r="2662" spans="1:30" ht="15.75" thickBot="1" x14ac:dyDescent="0.3">
      <c r="A2662" s="12"/>
      <c r="B2662" s="12"/>
      <c r="C2662" s="12"/>
      <c r="D2662" s="3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2"/>
      <c r="W2662" s="12"/>
      <c r="X2662" s="12"/>
      <c r="Y2662" s="12"/>
      <c r="Z2662" s="12"/>
      <c r="AA2662" s="12"/>
      <c r="AB2662" s="12"/>
      <c r="AC2662" s="12"/>
      <c r="AD2662" s="12"/>
    </row>
    <row r="2663" spans="1:30" ht="15.75" thickBot="1" x14ac:dyDescent="0.3">
      <c r="A2663" s="12"/>
      <c r="B2663" s="12"/>
      <c r="C2663" s="12"/>
      <c r="D2663" s="3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2"/>
      <c r="W2663" s="12"/>
      <c r="X2663" s="12"/>
      <c r="Y2663" s="12"/>
      <c r="Z2663" s="12"/>
      <c r="AA2663" s="12"/>
      <c r="AB2663" s="12"/>
      <c r="AC2663" s="12"/>
      <c r="AD2663" s="12"/>
    </row>
    <row r="2664" spans="1:30" ht="15.75" thickBot="1" x14ac:dyDescent="0.3">
      <c r="A2664" s="12"/>
      <c r="B2664" s="12"/>
      <c r="C2664" s="12"/>
      <c r="D2664" s="3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2"/>
      <c r="W2664" s="12"/>
      <c r="X2664" s="12"/>
      <c r="Y2664" s="12"/>
      <c r="Z2664" s="12"/>
      <c r="AA2664" s="12"/>
      <c r="AB2664" s="12"/>
      <c r="AC2664" s="12"/>
      <c r="AD2664" s="12"/>
    </row>
    <row r="2665" spans="1:30" ht="15.75" thickBot="1" x14ac:dyDescent="0.3">
      <c r="A2665" s="12"/>
      <c r="B2665" s="12"/>
      <c r="C2665" s="12"/>
      <c r="D2665" s="3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2"/>
      <c r="W2665" s="12"/>
      <c r="X2665" s="12"/>
      <c r="Y2665" s="12"/>
      <c r="Z2665" s="12"/>
      <c r="AA2665" s="12"/>
      <c r="AB2665" s="12"/>
      <c r="AC2665" s="12"/>
      <c r="AD2665" s="12"/>
    </row>
    <row r="2666" spans="1:30" ht="15.75" thickBot="1" x14ac:dyDescent="0.3">
      <c r="A2666" s="12"/>
      <c r="B2666" s="12"/>
      <c r="C2666" s="12"/>
      <c r="D2666" s="3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2"/>
      <c r="W2666" s="12"/>
      <c r="X2666" s="12"/>
      <c r="Y2666" s="12"/>
      <c r="Z2666" s="12"/>
      <c r="AA2666" s="12"/>
      <c r="AB2666" s="12"/>
      <c r="AC2666" s="12"/>
      <c r="AD2666" s="12"/>
    </row>
    <row r="2667" spans="1:30" ht="15.75" thickBot="1" x14ac:dyDescent="0.3">
      <c r="A2667" s="12"/>
      <c r="B2667" s="12"/>
      <c r="C2667" s="12"/>
      <c r="D2667" s="3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2"/>
      <c r="W2667" s="12"/>
      <c r="X2667" s="12"/>
      <c r="Y2667" s="12"/>
      <c r="Z2667" s="12"/>
      <c r="AA2667" s="12"/>
      <c r="AB2667" s="12"/>
      <c r="AC2667" s="12"/>
      <c r="AD2667" s="12"/>
    </row>
    <row r="2668" spans="1:30" ht="15.75" thickBot="1" x14ac:dyDescent="0.3">
      <c r="A2668" s="12"/>
      <c r="B2668" s="12"/>
      <c r="C2668" s="12"/>
      <c r="D2668" s="3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2"/>
      <c r="W2668" s="12"/>
      <c r="X2668" s="12"/>
      <c r="Y2668" s="12"/>
      <c r="Z2668" s="12"/>
      <c r="AA2668" s="12"/>
      <c r="AB2668" s="12"/>
      <c r="AC2668" s="12"/>
      <c r="AD2668" s="12"/>
    </row>
    <row r="2669" spans="1:30" ht="15.75" thickBot="1" x14ac:dyDescent="0.3">
      <c r="A2669" s="12"/>
      <c r="B2669" s="12"/>
      <c r="C2669" s="12"/>
      <c r="D2669" s="3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2"/>
      <c r="W2669" s="12"/>
      <c r="X2669" s="12"/>
      <c r="Y2669" s="12"/>
      <c r="Z2669" s="12"/>
      <c r="AA2669" s="12"/>
      <c r="AB2669" s="12"/>
      <c r="AC2669" s="12"/>
      <c r="AD2669" s="12"/>
    </row>
    <row r="2670" spans="1:30" ht="15.75" thickBot="1" x14ac:dyDescent="0.3">
      <c r="A2670" s="12"/>
      <c r="B2670" s="12"/>
      <c r="C2670" s="12"/>
      <c r="D2670" s="3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2"/>
      <c r="W2670" s="12"/>
      <c r="X2670" s="12"/>
      <c r="Y2670" s="12"/>
      <c r="Z2670" s="12"/>
      <c r="AA2670" s="12"/>
      <c r="AB2670" s="12"/>
      <c r="AC2670" s="12"/>
      <c r="AD2670" s="12"/>
    </row>
    <row r="2671" spans="1:30" ht="15.75" thickBot="1" x14ac:dyDescent="0.3">
      <c r="A2671" s="12"/>
      <c r="B2671" s="12"/>
      <c r="C2671" s="12"/>
      <c r="D2671" s="3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2"/>
      <c r="W2671" s="12"/>
      <c r="X2671" s="12"/>
      <c r="Y2671" s="12"/>
      <c r="Z2671" s="12"/>
      <c r="AA2671" s="12"/>
      <c r="AB2671" s="12"/>
      <c r="AC2671" s="12"/>
      <c r="AD2671" s="12"/>
    </row>
    <row r="2672" spans="1:30" ht="15.75" thickBot="1" x14ac:dyDescent="0.3">
      <c r="A2672" s="12"/>
      <c r="B2672" s="12"/>
      <c r="C2672" s="12"/>
      <c r="D2672" s="3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2"/>
      <c r="W2672" s="12"/>
      <c r="X2672" s="12"/>
      <c r="Y2672" s="12"/>
      <c r="Z2672" s="12"/>
      <c r="AA2672" s="12"/>
      <c r="AB2672" s="12"/>
      <c r="AC2672" s="12"/>
      <c r="AD2672" s="12"/>
    </row>
    <row r="2673" spans="1:30" ht="15.75" thickBot="1" x14ac:dyDescent="0.3">
      <c r="A2673" s="12"/>
      <c r="B2673" s="12"/>
      <c r="C2673" s="12"/>
      <c r="D2673" s="3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2"/>
      <c r="W2673" s="12"/>
      <c r="X2673" s="12"/>
      <c r="Y2673" s="12"/>
      <c r="Z2673" s="12"/>
      <c r="AA2673" s="12"/>
      <c r="AB2673" s="12"/>
      <c r="AC2673" s="12"/>
      <c r="AD2673" s="12"/>
    </row>
    <row r="2674" spans="1:30" ht="15.75" thickBot="1" x14ac:dyDescent="0.3">
      <c r="A2674" s="12"/>
      <c r="B2674" s="12"/>
      <c r="C2674" s="12"/>
      <c r="D2674" s="3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2"/>
      <c r="W2674" s="12"/>
      <c r="X2674" s="12"/>
      <c r="Y2674" s="12"/>
      <c r="Z2674" s="12"/>
      <c r="AA2674" s="12"/>
      <c r="AB2674" s="12"/>
      <c r="AC2674" s="12"/>
      <c r="AD2674" s="12"/>
    </row>
    <row r="2675" spans="1:30" ht="15.75" thickBot="1" x14ac:dyDescent="0.3">
      <c r="A2675" s="12"/>
      <c r="B2675" s="12"/>
      <c r="C2675" s="12"/>
      <c r="D2675" s="3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2"/>
      <c r="W2675" s="12"/>
      <c r="X2675" s="12"/>
      <c r="Y2675" s="12"/>
      <c r="Z2675" s="12"/>
      <c r="AA2675" s="12"/>
      <c r="AB2675" s="12"/>
      <c r="AC2675" s="12"/>
      <c r="AD2675" s="12"/>
    </row>
    <row r="2676" spans="1:30" ht="15.75" thickBot="1" x14ac:dyDescent="0.3">
      <c r="A2676" s="12"/>
      <c r="B2676" s="12"/>
      <c r="C2676" s="12"/>
      <c r="D2676" s="3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2"/>
      <c r="W2676" s="12"/>
      <c r="X2676" s="12"/>
      <c r="Y2676" s="12"/>
      <c r="Z2676" s="12"/>
      <c r="AA2676" s="12"/>
      <c r="AB2676" s="12"/>
      <c r="AC2676" s="12"/>
      <c r="AD2676" s="12"/>
    </row>
    <row r="2677" spans="1:30" ht="15.75" thickBot="1" x14ac:dyDescent="0.3">
      <c r="A2677" s="12"/>
      <c r="B2677" s="12"/>
      <c r="C2677" s="12"/>
      <c r="D2677" s="3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2"/>
      <c r="W2677" s="12"/>
      <c r="X2677" s="12"/>
      <c r="Y2677" s="12"/>
      <c r="Z2677" s="12"/>
      <c r="AA2677" s="12"/>
      <c r="AB2677" s="12"/>
      <c r="AC2677" s="12"/>
      <c r="AD2677" s="12"/>
    </row>
    <row r="2678" spans="1:30" ht="15.75" thickBot="1" x14ac:dyDescent="0.3">
      <c r="A2678" s="12"/>
      <c r="B2678" s="12"/>
      <c r="C2678" s="12"/>
      <c r="D2678" s="3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2"/>
      <c r="W2678" s="12"/>
      <c r="X2678" s="12"/>
      <c r="Y2678" s="12"/>
      <c r="Z2678" s="12"/>
      <c r="AA2678" s="12"/>
      <c r="AB2678" s="12"/>
      <c r="AC2678" s="12"/>
      <c r="AD2678" s="12"/>
    </row>
    <row r="2679" spans="1:30" ht="15.75" thickBot="1" x14ac:dyDescent="0.3">
      <c r="A2679" s="12"/>
      <c r="B2679" s="12"/>
      <c r="C2679" s="12"/>
      <c r="D2679" s="3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2"/>
      <c r="W2679" s="12"/>
      <c r="X2679" s="12"/>
      <c r="Y2679" s="12"/>
      <c r="Z2679" s="12"/>
      <c r="AA2679" s="12"/>
      <c r="AB2679" s="12"/>
      <c r="AC2679" s="12"/>
      <c r="AD2679" s="12"/>
    </row>
    <row r="2680" spans="1:30" ht="15.75" thickBot="1" x14ac:dyDescent="0.3">
      <c r="A2680" s="12"/>
      <c r="B2680" s="12"/>
      <c r="C2680" s="12"/>
      <c r="D2680" s="3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2"/>
      <c r="W2680" s="12"/>
      <c r="X2680" s="12"/>
      <c r="Y2680" s="12"/>
      <c r="Z2680" s="12"/>
      <c r="AA2680" s="12"/>
      <c r="AB2680" s="12"/>
      <c r="AC2680" s="12"/>
      <c r="AD2680" s="12"/>
    </row>
    <row r="2681" spans="1:30" ht="15.75" thickBot="1" x14ac:dyDescent="0.3">
      <c r="A2681" s="12"/>
      <c r="B2681" s="12"/>
      <c r="C2681" s="12"/>
      <c r="D2681" s="3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2"/>
      <c r="W2681" s="12"/>
      <c r="X2681" s="12"/>
      <c r="Y2681" s="12"/>
      <c r="Z2681" s="12"/>
      <c r="AA2681" s="12"/>
      <c r="AB2681" s="12"/>
      <c r="AC2681" s="12"/>
      <c r="AD2681" s="12"/>
    </row>
    <row r="2682" spans="1:30" ht="15.75" thickBot="1" x14ac:dyDescent="0.3">
      <c r="A2682" s="12"/>
      <c r="B2682" s="12"/>
      <c r="C2682" s="12"/>
      <c r="D2682" s="3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2"/>
      <c r="W2682" s="12"/>
      <c r="X2682" s="12"/>
      <c r="Y2682" s="12"/>
      <c r="Z2682" s="12"/>
      <c r="AA2682" s="12"/>
      <c r="AB2682" s="12"/>
      <c r="AC2682" s="12"/>
      <c r="AD2682" s="12"/>
    </row>
    <row r="2683" spans="1:30" ht="15.75" thickBot="1" x14ac:dyDescent="0.3">
      <c r="A2683" s="12"/>
      <c r="B2683" s="12"/>
      <c r="C2683" s="12"/>
      <c r="D2683" s="3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2"/>
      <c r="W2683" s="12"/>
      <c r="X2683" s="12"/>
      <c r="Y2683" s="12"/>
      <c r="Z2683" s="12"/>
      <c r="AA2683" s="12"/>
      <c r="AB2683" s="12"/>
      <c r="AC2683" s="12"/>
      <c r="AD2683" s="12"/>
    </row>
    <row r="2684" spans="1:30" ht="15.75" thickBot="1" x14ac:dyDescent="0.3">
      <c r="A2684" s="12"/>
      <c r="B2684" s="12"/>
      <c r="C2684" s="12"/>
      <c r="D2684" s="3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2"/>
      <c r="W2684" s="12"/>
      <c r="X2684" s="12"/>
      <c r="Y2684" s="12"/>
      <c r="Z2684" s="12"/>
      <c r="AA2684" s="12"/>
      <c r="AB2684" s="12"/>
      <c r="AC2684" s="12"/>
      <c r="AD2684" s="12"/>
    </row>
    <row r="2685" spans="1:30" ht="15.75" thickBot="1" x14ac:dyDescent="0.3">
      <c r="A2685" s="12"/>
      <c r="B2685" s="12"/>
      <c r="C2685" s="12"/>
      <c r="D2685" s="3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2"/>
      <c r="W2685" s="12"/>
      <c r="X2685" s="12"/>
      <c r="Y2685" s="12"/>
      <c r="Z2685" s="12"/>
      <c r="AA2685" s="12"/>
      <c r="AB2685" s="12"/>
      <c r="AC2685" s="12"/>
      <c r="AD2685" s="12"/>
    </row>
    <row r="2686" spans="1:30" ht="15.75" thickBot="1" x14ac:dyDescent="0.3">
      <c r="A2686" s="12"/>
      <c r="B2686" s="12"/>
      <c r="C2686" s="12"/>
      <c r="D2686" s="3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2"/>
      <c r="W2686" s="12"/>
      <c r="X2686" s="12"/>
      <c r="Y2686" s="12"/>
      <c r="Z2686" s="12"/>
      <c r="AA2686" s="12"/>
      <c r="AB2686" s="12"/>
      <c r="AC2686" s="12"/>
      <c r="AD2686" s="12"/>
    </row>
    <row r="2687" spans="1:30" ht="15.75" thickBot="1" x14ac:dyDescent="0.3">
      <c r="A2687" s="12"/>
      <c r="B2687" s="12"/>
      <c r="C2687" s="12"/>
      <c r="D2687" s="3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2"/>
      <c r="W2687" s="12"/>
      <c r="X2687" s="12"/>
      <c r="Y2687" s="12"/>
      <c r="Z2687" s="12"/>
      <c r="AA2687" s="12"/>
      <c r="AB2687" s="12"/>
      <c r="AC2687" s="12"/>
      <c r="AD2687" s="12"/>
    </row>
    <row r="2688" spans="1:30" ht="15.75" thickBot="1" x14ac:dyDescent="0.3">
      <c r="A2688" s="12"/>
      <c r="B2688" s="12"/>
      <c r="C2688" s="12"/>
      <c r="D2688" s="3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2"/>
      <c r="W2688" s="12"/>
      <c r="X2688" s="12"/>
      <c r="Y2688" s="12"/>
      <c r="Z2688" s="12"/>
      <c r="AA2688" s="12"/>
      <c r="AB2688" s="12"/>
      <c r="AC2688" s="12"/>
      <c r="AD2688" s="12"/>
    </row>
    <row r="2689" spans="1:30" ht="15.75" thickBot="1" x14ac:dyDescent="0.3">
      <c r="A2689" s="12"/>
      <c r="B2689" s="12"/>
      <c r="C2689" s="12"/>
      <c r="D2689" s="3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2"/>
      <c r="W2689" s="12"/>
      <c r="X2689" s="12"/>
      <c r="Y2689" s="12"/>
      <c r="Z2689" s="12"/>
      <c r="AA2689" s="12"/>
      <c r="AB2689" s="12"/>
      <c r="AC2689" s="12"/>
      <c r="AD2689" s="12"/>
    </row>
    <row r="2690" spans="1:30" ht="15.75" thickBot="1" x14ac:dyDescent="0.3">
      <c r="A2690" s="12"/>
      <c r="B2690" s="12"/>
      <c r="C2690" s="12"/>
      <c r="D2690" s="3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2"/>
      <c r="W2690" s="12"/>
      <c r="X2690" s="12"/>
      <c r="Y2690" s="12"/>
      <c r="Z2690" s="12"/>
      <c r="AA2690" s="12"/>
      <c r="AB2690" s="12"/>
      <c r="AC2690" s="12"/>
      <c r="AD2690" s="12"/>
    </row>
    <row r="2691" spans="1:30" ht="15.75" thickBot="1" x14ac:dyDescent="0.3">
      <c r="A2691" s="12"/>
      <c r="B2691" s="12"/>
      <c r="C2691" s="12"/>
      <c r="D2691" s="3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2"/>
      <c r="W2691" s="12"/>
      <c r="X2691" s="12"/>
      <c r="Y2691" s="12"/>
      <c r="Z2691" s="12"/>
      <c r="AA2691" s="12"/>
      <c r="AB2691" s="12"/>
      <c r="AC2691" s="12"/>
      <c r="AD2691" s="12"/>
    </row>
    <row r="2692" spans="1:30" ht="15.75" thickBot="1" x14ac:dyDescent="0.3">
      <c r="A2692" s="12"/>
      <c r="B2692" s="12"/>
      <c r="C2692" s="12"/>
      <c r="D2692" s="3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2"/>
      <c r="W2692" s="12"/>
      <c r="X2692" s="12"/>
      <c r="Y2692" s="12"/>
      <c r="Z2692" s="12"/>
      <c r="AA2692" s="12"/>
      <c r="AB2692" s="12"/>
      <c r="AC2692" s="12"/>
      <c r="AD2692" s="12"/>
    </row>
    <row r="2693" spans="1:30" ht="15.75" thickBot="1" x14ac:dyDescent="0.3">
      <c r="A2693" s="12"/>
      <c r="B2693" s="12"/>
      <c r="C2693" s="12"/>
      <c r="D2693" s="3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2"/>
      <c r="W2693" s="12"/>
      <c r="X2693" s="12"/>
      <c r="Y2693" s="12"/>
      <c r="Z2693" s="12"/>
      <c r="AA2693" s="12"/>
      <c r="AB2693" s="12"/>
      <c r="AC2693" s="12"/>
      <c r="AD2693" s="12"/>
    </row>
    <row r="2694" spans="1:30" ht="15.75" thickBot="1" x14ac:dyDescent="0.3">
      <c r="A2694" s="12"/>
      <c r="B2694" s="12"/>
      <c r="C2694" s="12"/>
      <c r="D2694" s="3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2"/>
      <c r="W2694" s="12"/>
      <c r="X2694" s="12"/>
      <c r="Y2694" s="12"/>
      <c r="Z2694" s="12"/>
      <c r="AA2694" s="12"/>
      <c r="AB2694" s="12"/>
      <c r="AC2694" s="12"/>
      <c r="AD2694" s="12"/>
    </row>
    <row r="2695" spans="1:30" ht="15.75" thickBot="1" x14ac:dyDescent="0.3">
      <c r="A2695" s="12"/>
      <c r="B2695" s="12"/>
      <c r="C2695" s="12"/>
      <c r="D2695" s="3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2"/>
      <c r="W2695" s="12"/>
      <c r="X2695" s="12"/>
      <c r="Y2695" s="12"/>
      <c r="Z2695" s="12"/>
      <c r="AA2695" s="12"/>
      <c r="AB2695" s="12"/>
      <c r="AC2695" s="12"/>
      <c r="AD2695" s="12"/>
    </row>
    <row r="2696" spans="1:30" ht="15.75" thickBot="1" x14ac:dyDescent="0.3">
      <c r="A2696" s="12"/>
      <c r="B2696" s="12"/>
      <c r="C2696" s="12"/>
      <c r="D2696" s="3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2"/>
      <c r="W2696" s="12"/>
      <c r="X2696" s="12"/>
      <c r="Y2696" s="12"/>
      <c r="Z2696" s="12"/>
      <c r="AA2696" s="12"/>
      <c r="AB2696" s="12"/>
      <c r="AC2696" s="12"/>
      <c r="AD2696" s="12"/>
    </row>
    <row r="2697" spans="1:30" ht="15.75" thickBot="1" x14ac:dyDescent="0.3">
      <c r="A2697" s="12"/>
      <c r="B2697" s="12"/>
      <c r="C2697" s="12"/>
      <c r="D2697" s="3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2"/>
      <c r="W2697" s="12"/>
      <c r="X2697" s="12"/>
      <c r="Y2697" s="12"/>
      <c r="Z2697" s="12"/>
      <c r="AA2697" s="12"/>
      <c r="AB2697" s="12"/>
      <c r="AC2697" s="12"/>
      <c r="AD2697" s="12"/>
    </row>
    <row r="2698" spans="1:30" ht="15.75" thickBot="1" x14ac:dyDescent="0.3">
      <c r="A2698" s="12"/>
      <c r="B2698" s="12"/>
      <c r="C2698" s="12"/>
      <c r="D2698" s="3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2"/>
      <c r="W2698" s="12"/>
      <c r="X2698" s="12"/>
      <c r="Y2698" s="12"/>
      <c r="Z2698" s="12"/>
      <c r="AA2698" s="12"/>
      <c r="AB2698" s="12"/>
      <c r="AC2698" s="12"/>
      <c r="AD2698" s="12"/>
    </row>
    <row r="2699" spans="1:30" ht="15.75" thickBot="1" x14ac:dyDescent="0.3">
      <c r="A2699" s="12"/>
      <c r="B2699" s="12"/>
      <c r="C2699" s="12"/>
      <c r="D2699" s="3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2"/>
      <c r="W2699" s="12"/>
      <c r="X2699" s="12"/>
      <c r="Y2699" s="12"/>
      <c r="Z2699" s="12"/>
      <c r="AA2699" s="12"/>
      <c r="AB2699" s="12"/>
      <c r="AC2699" s="12"/>
      <c r="AD2699" s="12"/>
    </row>
    <row r="2700" spans="1:30" ht="15.75" thickBot="1" x14ac:dyDescent="0.3">
      <c r="A2700" s="12"/>
      <c r="B2700" s="12"/>
      <c r="C2700" s="12"/>
      <c r="D2700" s="3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2"/>
      <c r="W2700" s="12"/>
      <c r="X2700" s="12"/>
      <c r="Y2700" s="12"/>
      <c r="Z2700" s="12"/>
      <c r="AA2700" s="12"/>
      <c r="AB2700" s="12"/>
      <c r="AC2700" s="12"/>
      <c r="AD2700" s="12"/>
    </row>
    <row r="2701" spans="1:30" ht="15.75" thickBot="1" x14ac:dyDescent="0.3">
      <c r="A2701" s="12"/>
      <c r="B2701" s="12"/>
      <c r="C2701" s="12"/>
      <c r="D2701" s="3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2"/>
      <c r="W2701" s="12"/>
      <c r="X2701" s="12"/>
      <c r="Y2701" s="12"/>
      <c r="Z2701" s="12"/>
      <c r="AA2701" s="12"/>
      <c r="AB2701" s="12"/>
      <c r="AC2701" s="12"/>
      <c r="AD2701" s="12"/>
    </row>
    <row r="2702" spans="1:30" ht="15.75" thickBot="1" x14ac:dyDescent="0.3">
      <c r="A2702" s="12"/>
      <c r="B2702" s="12"/>
      <c r="C2702" s="12"/>
      <c r="D2702" s="3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2"/>
      <c r="W2702" s="12"/>
      <c r="X2702" s="12"/>
      <c r="Y2702" s="12"/>
      <c r="Z2702" s="12"/>
      <c r="AA2702" s="12"/>
      <c r="AB2702" s="12"/>
      <c r="AC2702" s="12"/>
      <c r="AD2702" s="12"/>
    </row>
    <row r="2703" spans="1:30" ht="15.75" thickBot="1" x14ac:dyDescent="0.3">
      <c r="A2703" s="12"/>
      <c r="B2703" s="12"/>
      <c r="C2703" s="12"/>
      <c r="D2703" s="3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2"/>
      <c r="W2703" s="12"/>
      <c r="X2703" s="12"/>
      <c r="Y2703" s="12"/>
      <c r="Z2703" s="12"/>
      <c r="AA2703" s="12"/>
      <c r="AB2703" s="12"/>
      <c r="AC2703" s="12"/>
      <c r="AD2703" s="12"/>
    </row>
    <row r="2704" spans="1:30" ht="15.75" thickBot="1" x14ac:dyDescent="0.3">
      <c r="A2704" s="12"/>
      <c r="B2704" s="12"/>
      <c r="C2704" s="12"/>
      <c r="D2704" s="3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2"/>
      <c r="W2704" s="12"/>
      <c r="X2704" s="12"/>
      <c r="Y2704" s="12"/>
      <c r="Z2704" s="12"/>
      <c r="AA2704" s="12"/>
      <c r="AB2704" s="12"/>
      <c r="AC2704" s="12"/>
      <c r="AD2704" s="12"/>
    </row>
    <row r="2705" spans="1:30" ht="15.75" thickBot="1" x14ac:dyDescent="0.3">
      <c r="A2705" s="12"/>
      <c r="B2705" s="12"/>
      <c r="C2705" s="12"/>
      <c r="D2705" s="3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2"/>
      <c r="W2705" s="12"/>
      <c r="X2705" s="12"/>
      <c r="Y2705" s="12"/>
      <c r="Z2705" s="12"/>
      <c r="AA2705" s="12"/>
      <c r="AB2705" s="12"/>
      <c r="AC2705" s="12"/>
      <c r="AD2705" s="12"/>
    </row>
    <row r="2706" spans="1:30" ht="15.75" thickBot="1" x14ac:dyDescent="0.3">
      <c r="A2706" s="12"/>
      <c r="B2706" s="12"/>
      <c r="C2706" s="12"/>
      <c r="D2706" s="3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2"/>
      <c r="W2706" s="12"/>
      <c r="X2706" s="12"/>
      <c r="Y2706" s="12"/>
      <c r="Z2706" s="12"/>
      <c r="AA2706" s="12"/>
      <c r="AB2706" s="12"/>
      <c r="AC2706" s="12"/>
      <c r="AD2706" s="12"/>
    </row>
    <row r="2707" spans="1:30" ht="15.75" thickBot="1" x14ac:dyDescent="0.3">
      <c r="A2707" s="12"/>
      <c r="B2707" s="12"/>
      <c r="C2707" s="12"/>
      <c r="D2707" s="3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2"/>
      <c r="W2707" s="12"/>
      <c r="X2707" s="12"/>
      <c r="Y2707" s="12"/>
      <c r="Z2707" s="12"/>
      <c r="AA2707" s="12"/>
      <c r="AB2707" s="12"/>
      <c r="AC2707" s="12"/>
      <c r="AD2707" s="12"/>
    </row>
    <row r="2708" spans="1:30" ht="15.75" thickBot="1" x14ac:dyDescent="0.3">
      <c r="A2708" s="12"/>
      <c r="B2708" s="12"/>
      <c r="C2708" s="12"/>
      <c r="D2708" s="3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2"/>
      <c r="W2708" s="12"/>
      <c r="X2708" s="12"/>
      <c r="Y2708" s="12"/>
      <c r="Z2708" s="12"/>
      <c r="AA2708" s="12"/>
      <c r="AB2708" s="12"/>
      <c r="AC2708" s="12"/>
      <c r="AD2708" s="12"/>
    </row>
    <row r="2709" spans="1:30" ht="15.75" thickBot="1" x14ac:dyDescent="0.3">
      <c r="A2709" s="12"/>
      <c r="B2709" s="12"/>
      <c r="C2709" s="12"/>
      <c r="D2709" s="3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2"/>
      <c r="W2709" s="12"/>
      <c r="X2709" s="12"/>
      <c r="Y2709" s="12"/>
      <c r="Z2709" s="12"/>
      <c r="AA2709" s="12"/>
      <c r="AB2709" s="12"/>
      <c r="AC2709" s="12"/>
      <c r="AD2709" s="12"/>
    </row>
    <row r="2710" spans="1:30" ht="15.75" thickBot="1" x14ac:dyDescent="0.3">
      <c r="A2710" s="12"/>
      <c r="B2710" s="12"/>
      <c r="C2710" s="12"/>
      <c r="D2710" s="3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2"/>
      <c r="W2710" s="12"/>
      <c r="X2710" s="12"/>
      <c r="Y2710" s="12"/>
      <c r="Z2710" s="12"/>
      <c r="AA2710" s="12"/>
      <c r="AB2710" s="12"/>
      <c r="AC2710" s="12"/>
      <c r="AD2710" s="12"/>
    </row>
    <row r="2711" spans="1:30" ht="15.75" thickBot="1" x14ac:dyDescent="0.3">
      <c r="A2711" s="12"/>
      <c r="B2711" s="12"/>
      <c r="C2711" s="12"/>
      <c r="D2711" s="3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2"/>
      <c r="W2711" s="12"/>
      <c r="X2711" s="12"/>
      <c r="Y2711" s="12"/>
      <c r="Z2711" s="12"/>
      <c r="AA2711" s="12"/>
      <c r="AB2711" s="12"/>
      <c r="AC2711" s="12"/>
      <c r="AD2711" s="12"/>
    </row>
    <row r="2712" spans="1:30" ht="15.75" thickBot="1" x14ac:dyDescent="0.3">
      <c r="A2712" s="12"/>
      <c r="B2712" s="12"/>
      <c r="C2712" s="12"/>
      <c r="D2712" s="3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2"/>
      <c r="W2712" s="12"/>
      <c r="X2712" s="12"/>
      <c r="Y2712" s="12"/>
      <c r="Z2712" s="12"/>
      <c r="AA2712" s="12"/>
      <c r="AB2712" s="12"/>
      <c r="AC2712" s="12"/>
      <c r="AD2712" s="12"/>
    </row>
    <row r="2713" spans="1:30" ht="15.75" thickBot="1" x14ac:dyDescent="0.3">
      <c r="A2713" s="12"/>
      <c r="B2713" s="12"/>
      <c r="C2713" s="12"/>
      <c r="D2713" s="3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2"/>
      <c r="W2713" s="12"/>
      <c r="X2713" s="12"/>
      <c r="Y2713" s="12"/>
      <c r="Z2713" s="12"/>
      <c r="AA2713" s="12"/>
      <c r="AB2713" s="12"/>
      <c r="AC2713" s="12"/>
      <c r="AD2713" s="12"/>
    </row>
    <row r="2714" spans="1:30" ht="15.75" thickBot="1" x14ac:dyDescent="0.3">
      <c r="A2714" s="12"/>
      <c r="B2714" s="12"/>
      <c r="C2714" s="12"/>
      <c r="D2714" s="3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2"/>
      <c r="W2714" s="12"/>
      <c r="X2714" s="12"/>
      <c r="Y2714" s="12"/>
      <c r="Z2714" s="12"/>
      <c r="AA2714" s="12"/>
      <c r="AB2714" s="12"/>
      <c r="AC2714" s="12"/>
      <c r="AD2714" s="12"/>
    </row>
    <row r="2715" spans="1:30" ht="15.75" thickBot="1" x14ac:dyDescent="0.3">
      <c r="A2715" s="12"/>
      <c r="B2715" s="12"/>
      <c r="C2715" s="12"/>
      <c r="D2715" s="3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2"/>
      <c r="W2715" s="12"/>
      <c r="X2715" s="12"/>
      <c r="Y2715" s="12"/>
      <c r="Z2715" s="12"/>
      <c r="AA2715" s="12"/>
      <c r="AB2715" s="12"/>
      <c r="AC2715" s="12"/>
      <c r="AD2715" s="12"/>
    </row>
    <row r="2716" spans="1:30" ht="15.75" thickBot="1" x14ac:dyDescent="0.3">
      <c r="A2716" s="12"/>
      <c r="B2716" s="12"/>
      <c r="C2716" s="12"/>
      <c r="D2716" s="3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2"/>
      <c r="W2716" s="12"/>
      <c r="X2716" s="12"/>
      <c r="Y2716" s="12"/>
      <c r="Z2716" s="12"/>
      <c r="AA2716" s="12"/>
      <c r="AB2716" s="12"/>
      <c r="AC2716" s="12"/>
      <c r="AD2716" s="12"/>
    </row>
    <row r="2717" spans="1:30" ht="15.75" thickBot="1" x14ac:dyDescent="0.3">
      <c r="A2717" s="12"/>
      <c r="B2717" s="12"/>
      <c r="C2717" s="12"/>
      <c r="D2717" s="3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2"/>
      <c r="W2717" s="12"/>
      <c r="X2717" s="12"/>
      <c r="Y2717" s="12"/>
      <c r="Z2717" s="12"/>
      <c r="AA2717" s="12"/>
      <c r="AB2717" s="12"/>
      <c r="AC2717" s="12"/>
      <c r="AD2717" s="12"/>
    </row>
    <row r="2718" spans="1:30" ht="15.75" thickBot="1" x14ac:dyDescent="0.3">
      <c r="A2718" s="12"/>
      <c r="B2718" s="12"/>
      <c r="C2718" s="12"/>
      <c r="D2718" s="3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2"/>
      <c r="W2718" s="12"/>
      <c r="X2718" s="12"/>
      <c r="Y2718" s="12"/>
      <c r="Z2718" s="12"/>
      <c r="AA2718" s="12"/>
      <c r="AB2718" s="12"/>
      <c r="AC2718" s="12"/>
      <c r="AD2718" s="12"/>
    </row>
    <row r="2719" spans="1:30" ht="15.75" thickBot="1" x14ac:dyDescent="0.3">
      <c r="A2719" s="12"/>
      <c r="B2719" s="12"/>
      <c r="C2719" s="12"/>
      <c r="D2719" s="3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2"/>
      <c r="W2719" s="12"/>
      <c r="X2719" s="12"/>
      <c r="Y2719" s="12"/>
      <c r="Z2719" s="12"/>
      <c r="AA2719" s="12"/>
      <c r="AB2719" s="12"/>
      <c r="AC2719" s="12"/>
      <c r="AD2719" s="12"/>
    </row>
    <row r="2720" spans="1:30" ht="15.75" thickBot="1" x14ac:dyDescent="0.3">
      <c r="A2720" s="12"/>
      <c r="B2720" s="12"/>
      <c r="C2720" s="12"/>
      <c r="D2720" s="3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2"/>
      <c r="W2720" s="12"/>
      <c r="X2720" s="12"/>
      <c r="Y2720" s="12"/>
      <c r="Z2720" s="12"/>
      <c r="AA2720" s="12"/>
      <c r="AB2720" s="12"/>
      <c r="AC2720" s="12"/>
      <c r="AD2720" s="12"/>
    </row>
    <row r="2721" spans="1:30" ht="15.75" thickBot="1" x14ac:dyDescent="0.3">
      <c r="A2721" s="12"/>
      <c r="B2721" s="12"/>
      <c r="C2721" s="12"/>
      <c r="D2721" s="3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2"/>
      <c r="W2721" s="12"/>
      <c r="X2721" s="12"/>
      <c r="Y2721" s="12"/>
      <c r="Z2721" s="12"/>
      <c r="AA2721" s="12"/>
      <c r="AB2721" s="12"/>
      <c r="AC2721" s="12"/>
      <c r="AD2721" s="12"/>
    </row>
    <row r="2722" spans="1:30" ht="15.75" thickBot="1" x14ac:dyDescent="0.3">
      <c r="A2722" s="12"/>
      <c r="B2722" s="12"/>
      <c r="C2722" s="12"/>
      <c r="D2722" s="3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2"/>
      <c r="W2722" s="12"/>
      <c r="X2722" s="12"/>
      <c r="Y2722" s="12"/>
      <c r="Z2722" s="12"/>
      <c r="AA2722" s="12"/>
      <c r="AB2722" s="12"/>
      <c r="AC2722" s="12"/>
      <c r="AD2722" s="12"/>
    </row>
    <row r="2723" spans="1:30" ht="15.75" thickBot="1" x14ac:dyDescent="0.3">
      <c r="A2723" s="12"/>
      <c r="B2723" s="12"/>
      <c r="C2723" s="12"/>
      <c r="D2723" s="3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2"/>
      <c r="W2723" s="12"/>
      <c r="X2723" s="12"/>
      <c r="Y2723" s="12"/>
      <c r="Z2723" s="12"/>
      <c r="AA2723" s="12"/>
      <c r="AB2723" s="12"/>
      <c r="AC2723" s="12"/>
      <c r="AD2723" s="12"/>
    </row>
    <row r="2724" spans="1:30" ht="15.75" thickBot="1" x14ac:dyDescent="0.3">
      <c r="A2724" s="12"/>
      <c r="B2724" s="12"/>
      <c r="C2724" s="12"/>
      <c r="D2724" s="3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2"/>
      <c r="W2724" s="12"/>
      <c r="X2724" s="12"/>
      <c r="Y2724" s="12"/>
      <c r="Z2724" s="12"/>
      <c r="AA2724" s="12"/>
      <c r="AB2724" s="12"/>
      <c r="AC2724" s="12"/>
      <c r="AD2724" s="12"/>
    </row>
    <row r="2725" spans="1:30" ht="15.75" thickBot="1" x14ac:dyDescent="0.3">
      <c r="A2725" s="12"/>
      <c r="B2725" s="12"/>
      <c r="C2725" s="12"/>
      <c r="D2725" s="3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2"/>
      <c r="W2725" s="12"/>
      <c r="X2725" s="12"/>
      <c r="Y2725" s="12"/>
      <c r="Z2725" s="12"/>
      <c r="AA2725" s="12"/>
      <c r="AB2725" s="12"/>
      <c r="AC2725" s="12"/>
      <c r="AD2725" s="12"/>
    </row>
    <row r="2726" spans="1:30" ht="15.75" thickBot="1" x14ac:dyDescent="0.3">
      <c r="A2726" s="12"/>
      <c r="B2726" s="12"/>
      <c r="C2726" s="12"/>
      <c r="D2726" s="3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2"/>
      <c r="W2726" s="12"/>
      <c r="X2726" s="12"/>
      <c r="Y2726" s="12"/>
      <c r="Z2726" s="12"/>
      <c r="AA2726" s="12"/>
      <c r="AB2726" s="12"/>
      <c r="AC2726" s="12"/>
      <c r="AD2726" s="12"/>
    </row>
    <row r="2727" spans="1:30" ht="15.75" thickBot="1" x14ac:dyDescent="0.3">
      <c r="A2727" s="12"/>
      <c r="B2727" s="12"/>
      <c r="C2727" s="12"/>
      <c r="D2727" s="3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2"/>
      <c r="W2727" s="12"/>
      <c r="X2727" s="12"/>
      <c r="Y2727" s="12"/>
      <c r="Z2727" s="12"/>
      <c r="AA2727" s="12"/>
      <c r="AB2727" s="12"/>
      <c r="AC2727" s="12"/>
      <c r="AD2727" s="12"/>
    </row>
    <row r="2728" spans="1:30" ht="15.75" thickBot="1" x14ac:dyDescent="0.3">
      <c r="A2728" s="12"/>
      <c r="B2728" s="12"/>
      <c r="C2728" s="12"/>
      <c r="D2728" s="3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2"/>
      <c r="W2728" s="12"/>
      <c r="X2728" s="12"/>
      <c r="Y2728" s="12"/>
      <c r="Z2728" s="12"/>
      <c r="AA2728" s="12"/>
      <c r="AB2728" s="12"/>
      <c r="AC2728" s="12"/>
      <c r="AD2728" s="12"/>
    </row>
    <row r="2729" spans="1:30" ht="15.75" thickBot="1" x14ac:dyDescent="0.3">
      <c r="A2729" s="12"/>
      <c r="B2729" s="12"/>
      <c r="C2729" s="12"/>
      <c r="D2729" s="3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2"/>
      <c r="W2729" s="12"/>
      <c r="X2729" s="12"/>
      <c r="Y2729" s="12"/>
      <c r="Z2729" s="12"/>
      <c r="AA2729" s="12"/>
      <c r="AB2729" s="12"/>
      <c r="AC2729" s="12"/>
      <c r="AD2729" s="12"/>
    </row>
    <row r="2730" spans="1:30" ht="15.75" thickBot="1" x14ac:dyDescent="0.3">
      <c r="A2730" s="12"/>
      <c r="B2730" s="12"/>
      <c r="C2730" s="12"/>
      <c r="D2730" s="3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2"/>
      <c r="W2730" s="12"/>
      <c r="X2730" s="12"/>
      <c r="Y2730" s="12"/>
      <c r="Z2730" s="12"/>
      <c r="AA2730" s="12"/>
      <c r="AB2730" s="12"/>
      <c r="AC2730" s="12"/>
      <c r="AD2730" s="12"/>
    </row>
    <row r="2731" spans="1:30" ht="15.75" thickBot="1" x14ac:dyDescent="0.3">
      <c r="A2731" s="12"/>
      <c r="B2731" s="12"/>
      <c r="C2731" s="12"/>
      <c r="D2731" s="3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2"/>
      <c r="W2731" s="12"/>
      <c r="X2731" s="12"/>
      <c r="Y2731" s="12"/>
      <c r="Z2731" s="12"/>
      <c r="AA2731" s="12"/>
      <c r="AB2731" s="12"/>
      <c r="AC2731" s="12"/>
      <c r="AD2731" s="12"/>
    </row>
    <row r="2732" spans="1:30" ht="15.75" thickBot="1" x14ac:dyDescent="0.3">
      <c r="A2732" s="12"/>
      <c r="B2732" s="12"/>
      <c r="C2732" s="12"/>
      <c r="D2732" s="3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2"/>
      <c r="W2732" s="12"/>
      <c r="X2732" s="12"/>
      <c r="Y2732" s="12"/>
      <c r="Z2732" s="12"/>
      <c r="AA2732" s="12"/>
      <c r="AB2732" s="12"/>
      <c r="AC2732" s="12"/>
      <c r="AD2732" s="12"/>
    </row>
    <row r="2733" spans="1:30" ht="15.75" thickBot="1" x14ac:dyDescent="0.3">
      <c r="A2733" s="12"/>
      <c r="B2733" s="12"/>
      <c r="C2733" s="12"/>
      <c r="D2733" s="3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2"/>
      <c r="W2733" s="12"/>
      <c r="X2733" s="12"/>
      <c r="Y2733" s="12"/>
      <c r="Z2733" s="12"/>
      <c r="AA2733" s="12"/>
      <c r="AB2733" s="12"/>
      <c r="AC2733" s="12"/>
      <c r="AD2733" s="12"/>
    </row>
    <row r="2734" spans="1:30" ht="15.75" thickBot="1" x14ac:dyDescent="0.3">
      <c r="A2734" s="12"/>
      <c r="B2734" s="12"/>
      <c r="C2734" s="12"/>
      <c r="D2734" s="3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2"/>
      <c r="W2734" s="12"/>
      <c r="X2734" s="12"/>
      <c r="Y2734" s="12"/>
      <c r="Z2734" s="12"/>
      <c r="AA2734" s="12"/>
      <c r="AB2734" s="12"/>
      <c r="AC2734" s="12"/>
      <c r="AD2734" s="12"/>
    </row>
    <row r="2735" spans="1:30" ht="15.75" thickBot="1" x14ac:dyDescent="0.3">
      <c r="A2735" s="12"/>
      <c r="B2735" s="12"/>
      <c r="C2735" s="12"/>
      <c r="D2735" s="3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2"/>
      <c r="W2735" s="12"/>
      <c r="X2735" s="12"/>
      <c r="Y2735" s="12"/>
      <c r="Z2735" s="12"/>
      <c r="AA2735" s="12"/>
      <c r="AB2735" s="12"/>
      <c r="AC2735" s="12"/>
      <c r="AD2735" s="12"/>
    </row>
    <row r="2736" spans="1:30" ht="15.75" thickBot="1" x14ac:dyDescent="0.3">
      <c r="A2736" s="12"/>
      <c r="B2736" s="12"/>
      <c r="C2736" s="12"/>
      <c r="D2736" s="3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2"/>
      <c r="W2736" s="12"/>
      <c r="X2736" s="12"/>
      <c r="Y2736" s="12"/>
      <c r="Z2736" s="12"/>
      <c r="AA2736" s="12"/>
      <c r="AB2736" s="12"/>
      <c r="AC2736" s="12"/>
      <c r="AD2736" s="12"/>
    </row>
    <row r="2737" spans="1:30" ht="15.75" thickBot="1" x14ac:dyDescent="0.3">
      <c r="A2737" s="12"/>
      <c r="B2737" s="12"/>
      <c r="C2737" s="12"/>
      <c r="D2737" s="3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2"/>
      <c r="W2737" s="12"/>
      <c r="X2737" s="12"/>
      <c r="Y2737" s="12"/>
      <c r="Z2737" s="12"/>
      <c r="AA2737" s="12"/>
      <c r="AB2737" s="12"/>
      <c r="AC2737" s="12"/>
      <c r="AD2737" s="12"/>
    </row>
    <row r="2738" spans="1:30" ht="15.75" thickBot="1" x14ac:dyDescent="0.3">
      <c r="A2738" s="12"/>
      <c r="B2738" s="12"/>
      <c r="C2738" s="12"/>
      <c r="D2738" s="3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2"/>
      <c r="W2738" s="12"/>
      <c r="X2738" s="12"/>
      <c r="Y2738" s="12"/>
      <c r="Z2738" s="12"/>
      <c r="AA2738" s="12"/>
      <c r="AB2738" s="12"/>
      <c r="AC2738" s="12"/>
      <c r="AD2738" s="12"/>
    </row>
    <row r="2739" spans="1:30" ht="15.75" thickBot="1" x14ac:dyDescent="0.3">
      <c r="A2739" s="12"/>
      <c r="B2739" s="12"/>
      <c r="C2739" s="12"/>
      <c r="D2739" s="3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2"/>
      <c r="W2739" s="12"/>
      <c r="X2739" s="12"/>
      <c r="Y2739" s="12"/>
      <c r="Z2739" s="12"/>
      <c r="AA2739" s="12"/>
      <c r="AB2739" s="12"/>
      <c r="AC2739" s="12"/>
      <c r="AD2739" s="12"/>
    </row>
    <row r="2740" spans="1:30" ht="15.75" thickBot="1" x14ac:dyDescent="0.3">
      <c r="A2740" s="12"/>
      <c r="B2740" s="12"/>
      <c r="C2740" s="12"/>
      <c r="D2740" s="3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2"/>
      <c r="W2740" s="12"/>
      <c r="X2740" s="12"/>
      <c r="Y2740" s="12"/>
      <c r="Z2740" s="12"/>
      <c r="AA2740" s="12"/>
      <c r="AB2740" s="12"/>
      <c r="AC2740" s="12"/>
      <c r="AD2740" s="12"/>
    </row>
    <row r="2741" spans="1:30" ht="15.75" thickBot="1" x14ac:dyDescent="0.3">
      <c r="A2741" s="12"/>
      <c r="B2741" s="12"/>
      <c r="C2741" s="12"/>
      <c r="D2741" s="3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2"/>
      <c r="W2741" s="12"/>
      <c r="X2741" s="12"/>
      <c r="Y2741" s="12"/>
      <c r="Z2741" s="12"/>
      <c r="AA2741" s="12"/>
      <c r="AB2741" s="12"/>
      <c r="AC2741" s="12"/>
      <c r="AD2741" s="12"/>
    </row>
    <row r="2742" spans="1:30" ht="15.75" thickBot="1" x14ac:dyDescent="0.3">
      <c r="A2742" s="12"/>
      <c r="B2742" s="12"/>
      <c r="C2742" s="12"/>
      <c r="D2742" s="3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2"/>
      <c r="W2742" s="12"/>
      <c r="X2742" s="12"/>
      <c r="Y2742" s="12"/>
      <c r="Z2742" s="12"/>
      <c r="AA2742" s="12"/>
      <c r="AB2742" s="12"/>
      <c r="AC2742" s="12"/>
      <c r="AD2742" s="12"/>
    </row>
    <row r="2743" spans="1:30" ht="15.75" thickBot="1" x14ac:dyDescent="0.3">
      <c r="A2743" s="12"/>
      <c r="B2743" s="12"/>
      <c r="C2743" s="12"/>
      <c r="D2743" s="3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2"/>
      <c r="W2743" s="12"/>
      <c r="X2743" s="12"/>
      <c r="Y2743" s="12"/>
      <c r="Z2743" s="12"/>
      <c r="AA2743" s="12"/>
      <c r="AB2743" s="12"/>
      <c r="AC2743" s="12"/>
      <c r="AD2743" s="12"/>
    </row>
    <row r="2744" spans="1:30" ht="15.75" thickBot="1" x14ac:dyDescent="0.3">
      <c r="A2744" s="12"/>
      <c r="B2744" s="12"/>
      <c r="C2744" s="12"/>
      <c r="D2744" s="3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2"/>
      <c r="W2744" s="12"/>
      <c r="X2744" s="12"/>
      <c r="Y2744" s="12"/>
      <c r="Z2744" s="12"/>
      <c r="AA2744" s="12"/>
      <c r="AB2744" s="12"/>
      <c r="AC2744" s="12"/>
      <c r="AD2744" s="12"/>
    </row>
    <row r="2745" spans="1:30" ht="15.75" thickBot="1" x14ac:dyDescent="0.3">
      <c r="A2745" s="12"/>
      <c r="B2745" s="12"/>
      <c r="C2745" s="12"/>
      <c r="D2745" s="3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2"/>
      <c r="W2745" s="12"/>
      <c r="X2745" s="12"/>
      <c r="Y2745" s="12"/>
      <c r="Z2745" s="12"/>
      <c r="AA2745" s="12"/>
      <c r="AB2745" s="12"/>
      <c r="AC2745" s="12"/>
      <c r="AD2745" s="12"/>
    </row>
    <row r="2746" spans="1:30" ht="15.75" thickBot="1" x14ac:dyDescent="0.3">
      <c r="A2746" s="12"/>
      <c r="B2746" s="12"/>
      <c r="C2746" s="12"/>
      <c r="D2746" s="3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2"/>
      <c r="W2746" s="12"/>
      <c r="X2746" s="12"/>
      <c r="Y2746" s="12"/>
      <c r="Z2746" s="12"/>
      <c r="AA2746" s="12"/>
      <c r="AB2746" s="12"/>
      <c r="AC2746" s="12"/>
      <c r="AD2746" s="12"/>
    </row>
    <row r="2747" spans="1:30" ht="15.75" thickBot="1" x14ac:dyDescent="0.3">
      <c r="A2747" s="12"/>
      <c r="B2747" s="12"/>
      <c r="C2747" s="12"/>
      <c r="D2747" s="3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2"/>
      <c r="W2747" s="12"/>
      <c r="X2747" s="12"/>
      <c r="Y2747" s="12"/>
      <c r="Z2747" s="12"/>
      <c r="AA2747" s="12"/>
      <c r="AB2747" s="12"/>
      <c r="AC2747" s="12"/>
      <c r="AD2747" s="12"/>
    </row>
    <row r="2748" spans="1:30" ht="15.75" thickBot="1" x14ac:dyDescent="0.3">
      <c r="A2748" s="12"/>
      <c r="B2748" s="12"/>
      <c r="C2748" s="12"/>
      <c r="D2748" s="3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2"/>
      <c r="W2748" s="12"/>
      <c r="X2748" s="12"/>
      <c r="Y2748" s="12"/>
      <c r="Z2748" s="12"/>
      <c r="AA2748" s="12"/>
      <c r="AB2748" s="12"/>
      <c r="AC2748" s="12"/>
      <c r="AD2748" s="12"/>
    </row>
    <row r="2749" spans="1:30" ht="15.75" thickBot="1" x14ac:dyDescent="0.3">
      <c r="A2749" s="12"/>
      <c r="B2749" s="12"/>
      <c r="C2749" s="12"/>
      <c r="D2749" s="3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2"/>
      <c r="W2749" s="12"/>
      <c r="X2749" s="12"/>
      <c r="Y2749" s="12"/>
      <c r="Z2749" s="12"/>
      <c r="AA2749" s="12"/>
      <c r="AB2749" s="12"/>
      <c r="AC2749" s="12"/>
      <c r="AD2749" s="12"/>
    </row>
    <row r="2750" spans="1:30" ht="15.75" thickBot="1" x14ac:dyDescent="0.3">
      <c r="A2750" s="12"/>
      <c r="B2750" s="12"/>
      <c r="C2750" s="12"/>
      <c r="D2750" s="3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2"/>
      <c r="W2750" s="12"/>
      <c r="X2750" s="12"/>
      <c r="Y2750" s="12"/>
      <c r="Z2750" s="12"/>
      <c r="AA2750" s="12"/>
      <c r="AB2750" s="12"/>
      <c r="AC2750" s="12"/>
      <c r="AD2750" s="12"/>
    </row>
    <row r="2751" spans="1:30" ht="15.75" thickBot="1" x14ac:dyDescent="0.3">
      <c r="A2751" s="12"/>
      <c r="B2751" s="12"/>
      <c r="C2751" s="12"/>
      <c r="D2751" s="3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2"/>
      <c r="W2751" s="12"/>
      <c r="X2751" s="12"/>
      <c r="Y2751" s="12"/>
      <c r="Z2751" s="12"/>
      <c r="AA2751" s="12"/>
      <c r="AB2751" s="12"/>
      <c r="AC2751" s="12"/>
      <c r="AD2751" s="12"/>
    </row>
    <row r="2752" spans="1:30" ht="15.75" thickBot="1" x14ac:dyDescent="0.3">
      <c r="A2752" s="12"/>
      <c r="B2752" s="12"/>
      <c r="C2752" s="12"/>
      <c r="D2752" s="3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2"/>
      <c r="W2752" s="12"/>
      <c r="X2752" s="12"/>
      <c r="Y2752" s="12"/>
      <c r="Z2752" s="12"/>
      <c r="AA2752" s="12"/>
      <c r="AB2752" s="12"/>
      <c r="AC2752" s="12"/>
      <c r="AD2752" s="12"/>
    </row>
    <row r="2753" spans="1:30" ht="15.75" thickBot="1" x14ac:dyDescent="0.3">
      <c r="A2753" s="12"/>
      <c r="B2753" s="12"/>
      <c r="C2753" s="12"/>
      <c r="D2753" s="3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2"/>
      <c r="W2753" s="12"/>
      <c r="X2753" s="12"/>
      <c r="Y2753" s="12"/>
      <c r="Z2753" s="12"/>
      <c r="AA2753" s="12"/>
      <c r="AB2753" s="12"/>
      <c r="AC2753" s="12"/>
      <c r="AD2753" s="12"/>
    </row>
    <row r="2754" spans="1:30" ht="15.75" thickBot="1" x14ac:dyDescent="0.3">
      <c r="A2754" s="12"/>
      <c r="B2754" s="12"/>
      <c r="C2754" s="12"/>
      <c r="D2754" s="3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2"/>
      <c r="W2754" s="12"/>
      <c r="X2754" s="12"/>
      <c r="Y2754" s="12"/>
      <c r="Z2754" s="12"/>
      <c r="AA2754" s="12"/>
      <c r="AB2754" s="12"/>
      <c r="AC2754" s="12"/>
      <c r="AD2754" s="12"/>
    </row>
    <row r="2755" spans="1:30" ht="15.75" thickBot="1" x14ac:dyDescent="0.3">
      <c r="A2755" s="12"/>
      <c r="B2755" s="12"/>
      <c r="C2755" s="12"/>
      <c r="D2755" s="3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2"/>
      <c r="W2755" s="12"/>
      <c r="X2755" s="12"/>
      <c r="Y2755" s="12"/>
      <c r="Z2755" s="12"/>
      <c r="AA2755" s="12"/>
      <c r="AB2755" s="12"/>
      <c r="AC2755" s="12"/>
      <c r="AD2755" s="12"/>
    </row>
    <row r="2756" spans="1:30" ht="15.75" thickBot="1" x14ac:dyDescent="0.3">
      <c r="A2756" s="12"/>
      <c r="B2756" s="12"/>
      <c r="C2756" s="12"/>
      <c r="D2756" s="3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2"/>
      <c r="W2756" s="12"/>
      <c r="X2756" s="12"/>
      <c r="Y2756" s="12"/>
      <c r="Z2756" s="12"/>
      <c r="AA2756" s="12"/>
      <c r="AB2756" s="12"/>
      <c r="AC2756" s="12"/>
      <c r="AD2756" s="12"/>
    </row>
    <row r="2757" spans="1:30" ht="15.75" thickBot="1" x14ac:dyDescent="0.3">
      <c r="A2757" s="12"/>
      <c r="B2757" s="12"/>
      <c r="C2757" s="12"/>
      <c r="D2757" s="3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2"/>
      <c r="W2757" s="12"/>
      <c r="X2757" s="12"/>
      <c r="Y2757" s="12"/>
      <c r="Z2757" s="12"/>
      <c r="AA2757" s="12"/>
      <c r="AB2757" s="12"/>
      <c r="AC2757" s="12"/>
      <c r="AD2757" s="12"/>
    </row>
    <row r="2758" spans="1:30" ht="15.75" thickBot="1" x14ac:dyDescent="0.3">
      <c r="A2758" s="12"/>
      <c r="B2758" s="12"/>
      <c r="C2758" s="12"/>
      <c r="D2758" s="3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2"/>
      <c r="W2758" s="12"/>
      <c r="X2758" s="12"/>
      <c r="Y2758" s="12"/>
      <c r="Z2758" s="12"/>
      <c r="AA2758" s="12"/>
      <c r="AB2758" s="12"/>
      <c r="AC2758" s="12"/>
      <c r="AD2758" s="12"/>
    </row>
    <row r="2759" spans="1:30" ht="15.75" thickBot="1" x14ac:dyDescent="0.3">
      <c r="A2759" s="12"/>
      <c r="B2759" s="12"/>
      <c r="C2759" s="12"/>
      <c r="D2759" s="3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2"/>
      <c r="W2759" s="12"/>
      <c r="X2759" s="12"/>
      <c r="Y2759" s="12"/>
      <c r="Z2759" s="12"/>
      <c r="AA2759" s="12"/>
      <c r="AB2759" s="12"/>
      <c r="AC2759" s="12"/>
      <c r="AD2759" s="12"/>
    </row>
    <row r="2760" spans="1:30" ht="15.75" thickBot="1" x14ac:dyDescent="0.3">
      <c r="A2760" s="12"/>
      <c r="B2760" s="12"/>
      <c r="C2760" s="12"/>
      <c r="D2760" s="3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2"/>
      <c r="W2760" s="12"/>
      <c r="X2760" s="12"/>
      <c r="Y2760" s="12"/>
      <c r="Z2760" s="12"/>
      <c r="AA2760" s="12"/>
      <c r="AB2760" s="12"/>
      <c r="AC2760" s="12"/>
      <c r="AD2760" s="12"/>
    </row>
    <row r="2761" spans="1:30" ht="15.75" thickBot="1" x14ac:dyDescent="0.3">
      <c r="A2761" s="12"/>
      <c r="B2761" s="12"/>
      <c r="C2761" s="12"/>
      <c r="D2761" s="3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2"/>
      <c r="W2761" s="12"/>
      <c r="X2761" s="12"/>
      <c r="Y2761" s="12"/>
      <c r="Z2761" s="12"/>
      <c r="AA2761" s="12"/>
      <c r="AB2761" s="12"/>
      <c r="AC2761" s="12"/>
      <c r="AD2761" s="12"/>
    </row>
    <row r="2762" spans="1:30" ht="15.75" thickBot="1" x14ac:dyDescent="0.3">
      <c r="A2762" s="12"/>
      <c r="B2762" s="12"/>
      <c r="C2762" s="12"/>
      <c r="D2762" s="3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2"/>
      <c r="W2762" s="12"/>
      <c r="X2762" s="12"/>
      <c r="Y2762" s="12"/>
      <c r="Z2762" s="12"/>
      <c r="AA2762" s="12"/>
      <c r="AB2762" s="12"/>
      <c r="AC2762" s="12"/>
      <c r="AD2762" s="12"/>
    </row>
    <row r="2763" spans="1:30" ht="15.75" thickBot="1" x14ac:dyDescent="0.3">
      <c r="A2763" s="12"/>
      <c r="B2763" s="12"/>
      <c r="C2763" s="12"/>
      <c r="D2763" s="3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2"/>
      <c r="W2763" s="12"/>
      <c r="X2763" s="12"/>
      <c r="Y2763" s="12"/>
      <c r="Z2763" s="12"/>
      <c r="AA2763" s="12"/>
      <c r="AB2763" s="12"/>
      <c r="AC2763" s="12"/>
      <c r="AD2763" s="12"/>
    </row>
    <row r="2764" spans="1:30" ht="15.75" thickBot="1" x14ac:dyDescent="0.3">
      <c r="A2764" s="12"/>
      <c r="B2764" s="12"/>
      <c r="C2764" s="12"/>
      <c r="D2764" s="3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2"/>
      <c r="W2764" s="12"/>
      <c r="X2764" s="12"/>
      <c r="Y2764" s="12"/>
      <c r="Z2764" s="12"/>
      <c r="AA2764" s="12"/>
      <c r="AB2764" s="12"/>
      <c r="AC2764" s="12"/>
      <c r="AD2764" s="12"/>
    </row>
    <row r="2765" spans="1:30" ht="15.75" thickBot="1" x14ac:dyDescent="0.3">
      <c r="A2765" s="12"/>
      <c r="B2765" s="12"/>
      <c r="C2765" s="12"/>
      <c r="D2765" s="3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2"/>
      <c r="W2765" s="12"/>
      <c r="X2765" s="12"/>
      <c r="Y2765" s="12"/>
      <c r="Z2765" s="12"/>
      <c r="AA2765" s="12"/>
      <c r="AB2765" s="12"/>
      <c r="AC2765" s="12"/>
      <c r="AD2765" s="12"/>
    </row>
    <row r="2766" spans="1:30" ht="15.75" thickBot="1" x14ac:dyDescent="0.3">
      <c r="A2766" s="12"/>
      <c r="B2766" s="12"/>
      <c r="C2766" s="12"/>
      <c r="D2766" s="3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2"/>
      <c r="W2766" s="12"/>
      <c r="X2766" s="12"/>
      <c r="Y2766" s="12"/>
      <c r="Z2766" s="12"/>
      <c r="AA2766" s="12"/>
      <c r="AB2766" s="12"/>
      <c r="AC2766" s="12"/>
      <c r="AD2766" s="12"/>
    </row>
    <row r="2767" spans="1:30" ht="15.75" thickBot="1" x14ac:dyDescent="0.3">
      <c r="A2767" s="12"/>
      <c r="B2767" s="12"/>
      <c r="C2767" s="12"/>
      <c r="D2767" s="3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2"/>
      <c r="W2767" s="12"/>
      <c r="X2767" s="12"/>
      <c r="Y2767" s="12"/>
      <c r="Z2767" s="12"/>
      <c r="AA2767" s="12"/>
      <c r="AB2767" s="12"/>
      <c r="AC2767" s="12"/>
      <c r="AD2767" s="12"/>
    </row>
    <row r="2768" spans="1:30" ht="15.75" thickBot="1" x14ac:dyDescent="0.3">
      <c r="A2768" s="12"/>
      <c r="B2768" s="12"/>
      <c r="C2768" s="12"/>
      <c r="D2768" s="3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2"/>
      <c r="W2768" s="12"/>
      <c r="X2768" s="12"/>
      <c r="Y2768" s="12"/>
      <c r="Z2768" s="12"/>
      <c r="AA2768" s="12"/>
      <c r="AB2768" s="12"/>
      <c r="AC2768" s="12"/>
      <c r="AD2768" s="12"/>
    </row>
    <row r="2769" spans="1:30" ht="15.75" thickBot="1" x14ac:dyDescent="0.3">
      <c r="A2769" s="12"/>
      <c r="B2769" s="12"/>
      <c r="C2769" s="12"/>
      <c r="D2769" s="3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2"/>
      <c r="W2769" s="12"/>
      <c r="X2769" s="12"/>
      <c r="Y2769" s="12"/>
      <c r="Z2769" s="12"/>
      <c r="AA2769" s="12"/>
      <c r="AB2769" s="12"/>
      <c r="AC2769" s="12"/>
      <c r="AD2769" s="12"/>
    </row>
    <row r="2770" spans="1:30" ht="15.75" thickBot="1" x14ac:dyDescent="0.3">
      <c r="A2770" s="12"/>
      <c r="B2770" s="12"/>
      <c r="C2770" s="12"/>
      <c r="D2770" s="3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2"/>
      <c r="W2770" s="12"/>
      <c r="X2770" s="12"/>
      <c r="Y2770" s="12"/>
      <c r="Z2770" s="12"/>
      <c r="AA2770" s="12"/>
      <c r="AB2770" s="12"/>
      <c r="AC2770" s="12"/>
      <c r="AD2770" s="12"/>
    </row>
    <row r="2771" spans="1:30" ht="15.75" thickBot="1" x14ac:dyDescent="0.3">
      <c r="A2771" s="12"/>
      <c r="B2771" s="12"/>
      <c r="C2771" s="12"/>
      <c r="D2771" s="3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2"/>
      <c r="W2771" s="12"/>
      <c r="X2771" s="12"/>
      <c r="Y2771" s="12"/>
      <c r="Z2771" s="12"/>
      <c r="AA2771" s="12"/>
      <c r="AB2771" s="12"/>
      <c r="AC2771" s="12"/>
      <c r="AD2771" s="12"/>
    </row>
    <row r="2772" spans="1:30" ht="15.75" thickBot="1" x14ac:dyDescent="0.3">
      <c r="A2772" s="12"/>
      <c r="B2772" s="12"/>
      <c r="C2772" s="12"/>
      <c r="D2772" s="3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2"/>
      <c r="W2772" s="12"/>
      <c r="X2772" s="12"/>
      <c r="Y2772" s="12"/>
      <c r="Z2772" s="12"/>
      <c r="AA2772" s="12"/>
      <c r="AB2772" s="12"/>
      <c r="AC2772" s="12"/>
      <c r="AD2772" s="12"/>
    </row>
    <row r="2773" spans="1:30" ht="15.75" thickBot="1" x14ac:dyDescent="0.3">
      <c r="A2773" s="12"/>
      <c r="B2773" s="12"/>
      <c r="C2773" s="12"/>
      <c r="D2773" s="3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2"/>
      <c r="W2773" s="12"/>
      <c r="X2773" s="12"/>
      <c r="Y2773" s="12"/>
      <c r="Z2773" s="12"/>
      <c r="AA2773" s="12"/>
      <c r="AB2773" s="12"/>
      <c r="AC2773" s="12"/>
      <c r="AD2773" s="12"/>
    </row>
    <row r="2774" spans="1:30" ht="15.75" thickBot="1" x14ac:dyDescent="0.3">
      <c r="A2774" s="12"/>
      <c r="B2774" s="12"/>
      <c r="C2774" s="12"/>
      <c r="D2774" s="3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2"/>
      <c r="W2774" s="12"/>
      <c r="X2774" s="12"/>
      <c r="Y2774" s="12"/>
      <c r="Z2774" s="12"/>
      <c r="AA2774" s="12"/>
      <c r="AB2774" s="12"/>
      <c r="AC2774" s="12"/>
      <c r="AD2774" s="12"/>
    </row>
    <row r="2775" spans="1:30" ht="15.75" thickBot="1" x14ac:dyDescent="0.3">
      <c r="A2775" s="12"/>
      <c r="B2775" s="12"/>
      <c r="C2775" s="12"/>
      <c r="D2775" s="3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2"/>
      <c r="W2775" s="12"/>
      <c r="X2775" s="12"/>
      <c r="Y2775" s="12"/>
      <c r="Z2775" s="12"/>
      <c r="AA2775" s="12"/>
      <c r="AB2775" s="12"/>
      <c r="AC2775" s="12"/>
      <c r="AD2775" s="12"/>
    </row>
    <row r="2776" spans="1:30" ht="15.75" thickBot="1" x14ac:dyDescent="0.3">
      <c r="A2776" s="12"/>
      <c r="B2776" s="12"/>
      <c r="C2776" s="12"/>
      <c r="D2776" s="3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2"/>
      <c r="W2776" s="12"/>
      <c r="X2776" s="12"/>
      <c r="Y2776" s="12"/>
      <c r="Z2776" s="12"/>
      <c r="AA2776" s="12"/>
      <c r="AB2776" s="12"/>
      <c r="AC2776" s="12"/>
      <c r="AD2776" s="12"/>
    </row>
    <row r="2777" spans="1:30" ht="15.75" thickBot="1" x14ac:dyDescent="0.3">
      <c r="A2777" s="12"/>
      <c r="B2777" s="12"/>
      <c r="C2777" s="12"/>
      <c r="D2777" s="3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2"/>
      <c r="W2777" s="12"/>
      <c r="X2777" s="12"/>
      <c r="Y2777" s="12"/>
      <c r="Z2777" s="12"/>
      <c r="AA2777" s="12"/>
      <c r="AB2777" s="12"/>
      <c r="AC2777" s="12"/>
      <c r="AD2777" s="12"/>
    </row>
    <row r="2778" spans="1:30" ht="15.75" thickBot="1" x14ac:dyDescent="0.3">
      <c r="A2778" s="12"/>
      <c r="B2778" s="12"/>
      <c r="C2778" s="12"/>
      <c r="D2778" s="3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2"/>
      <c r="W2778" s="12"/>
      <c r="X2778" s="12"/>
      <c r="Y2778" s="12"/>
      <c r="Z2778" s="12"/>
      <c r="AA2778" s="12"/>
      <c r="AB2778" s="12"/>
      <c r="AC2778" s="12"/>
      <c r="AD2778" s="12"/>
    </row>
    <row r="2779" spans="1:30" ht="15.75" thickBot="1" x14ac:dyDescent="0.3">
      <c r="A2779" s="12"/>
      <c r="B2779" s="12"/>
      <c r="C2779" s="12"/>
      <c r="D2779" s="3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2"/>
      <c r="W2779" s="12"/>
      <c r="X2779" s="12"/>
      <c r="Y2779" s="12"/>
      <c r="Z2779" s="12"/>
      <c r="AA2779" s="12"/>
      <c r="AB2779" s="12"/>
      <c r="AC2779" s="12"/>
      <c r="AD2779" s="12"/>
    </row>
    <row r="2780" spans="1:30" ht="15.75" thickBot="1" x14ac:dyDescent="0.3">
      <c r="A2780" s="12"/>
      <c r="B2780" s="12"/>
      <c r="C2780" s="12"/>
      <c r="D2780" s="3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2"/>
      <c r="W2780" s="12"/>
      <c r="X2780" s="12"/>
      <c r="Y2780" s="12"/>
      <c r="Z2780" s="12"/>
      <c r="AA2780" s="12"/>
      <c r="AB2780" s="12"/>
      <c r="AC2780" s="12"/>
      <c r="AD2780" s="12"/>
    </row>
    <row r="2781" spans="1:30" ht="15.75" thickBot="1" x14ac:dyDescent="0.3">
      <c r="A2781" s="12"/>
      <c r="B2781" s="12"/>
      <c r="C2781" s="12"/>
      <c r="D2781" s="3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2"/>
      <c r="W2781" s="12"/>
      <c r="X2781" s="12"/>
      <c r="Y2781" s="12"/>
      <c r="Z2781" s="12"/>
      <c r="AA2781" s="12"/>
      <c r="AB2781" s="12"/>
      <c r="AC2781" s="12"/>
      <c r="AD2781" s="12"/>
    </row>
    <row r="2782" spans="1:30" ht="15.75" thickBot="1" x14ac:dyDescent="0.3">
      <c r="A2782" s="12"/>
      <c r="B2782" s="12"/>
      <c r="C2782" s="12"/>
      <c r="D2782" s="3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2"/>
      <c r="W2782" s="12"/>
      <c r="X2782" s="12"/>
      <c r="Y2782" s="12"/>
      <c r="Z2782" s="12"/>
      <c r="AA2782" s="12"/>
      <c r="AB2782" s="12"/>
      <c r="AC2782" s="12"/>
      <c r="AD2782" s="12"/>
    </row>
    <row r="2783" spans="1:30" ht="15.75" thickBot="1" x14ac:dyDescent="0.3">
      <c r="A2783" s="12"/>
      <c r="B2783" s="12"/>
      <c r="C2783" s="12"/>
      <c r="D2783" s="3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2"/>
      <c r="W2783" s="12"/>
      <c r="X2783" s="12"/>
      <c r="Y2783" s="12"/>
      <c r="Z2783" s="12"/>
      <c r="AA2783" s="12"/>
      <c r="AB2783" s="12"/>
      <c r="AC2783" s="12"/>
      <c r="AD2783" s="12"/>
    </row>
    <row r="2784" spans="1:30" ht="15.75" thickBot="1" x14ac:dyDescent="0.3">
      <c r="A2784" s="12"/>
      <c r="B2784" s="12"/>
      <c r="C2784" s="12"/>
      <c r="D2784" s="3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2"/>
      <c r="W2784" s="12"/>
      <c r="X2784" s="12"/>
      <c r="Y2784" s="12"/>
      <c r="Z2784" s="12"/>
      <c r="AA2784" s="12"/>
      <c r="AB2784" s="12"/>
      <c r="AC2784" s="12"/>
      <c r="AD2784" s="12"/>
    </row>
    <row r="2785" spans="1:30" ht="15.75" thickBot="1" x14ac:dyDescent="0.3">
      <c r="A2785" s="12"/>
      <c r="B2785" s="12"/>
      <c r="C2785" s="12"/>
      <c r="D2785" s="3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2"/>
      <c r="W2785" s="12"/>
      <c r="X2785" s="12"/>
      <c r="Y2785" s="12"/>
      <c r="Z2785" s="12"/>
      <c r="AA2785" s="12"/>
      <c r="AB2785" s="12"/>
      <c r="AC2785" s="12"/>
      <c r="AD2785" s="12"/>
    </row>
    <row r="2786" spans="1:30" ht="15.75" thickBot="1" x14ac:dyDescent="0.3">
      <c r="A2786" s="12"/>
      <c r="B2786" s="12"/>
      <c r="C2786" s="12"/>
      <c r="D2786" s="3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2"/>
      <c r="W2786" s="12"/>
      <c r="X2786" s="12"/>
      <c r="Y2786" s="12"/>
      <c r="Z2786" s="12"/>
      <c r="AA2786" s="12"/>
      <c r="AB2786" s="12"/>
      <c r="AC2786" s="12"/>
      <c r="AD2786" s="12"/>
    </row>
    <row r="2787" spans="1:30" ht="15.75" thickBot="1" x14ac:dyDescent="0.3">
      <c r="A2787" s="12"/>
      <c r="B2787" s="12"/>
      <c r="C2787" s="12"/>
      <c r="D2787" s="3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2"/>
      <c r="W2787" s="12"/>
      <c r="X2787" s="12"/>
      <c r="Y2787" s="12"/>
      <c r="Z2787" s="12"/>
      <c r="AA2787" s="12"/>
      <c r="AB2787" s="12"/>
      <c r="AC2787" s="12"/>
      <c r="AD2787" s="12"/>
    </row>
    <row r="2788" spans="1:30" ht="15.75" thickBot="1" x14ac:dyDescent="0.3">
      <c r="A2788" s="12"/>
      <c r="B2788" s="12"/>
      <c r="C2788" s="12"/>
      <c r="D2788" s="3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2"/>
      <c r="W2788" s="12"/>
      <c r="X2788" s="12"/>
      <c r="Y2788" s="12"/>
      <c r="Z2788" s="12"/>
      <c r="AA2788" s="12"/>
      <c r="AB2788" s="12"/>
      <c r="AC2788" s="12"/>
      <c r="AD2788" s="12"/>
    </row>
    <row r="2789" spans="1:30" ht="15.75" thickBot="1" x14ac:dyDescent="0.3">
      <c r="A2789" s="12"/>
      <c r="B2789" s="12"/>
      <c r="C2789" s="12"/>
      <c r="D2789" s="3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2"/>
      <c r="W2789" s="12"/>
      <c r="X2789" s="12"/>
      <c r="Y2789" s="12"/>
      <c r="Z2789" s="12"/>
      <c r="AA2789" s="12"/>
      <c r="AB2789" s="12"/>
      <c r="AC2789" s="12"/>
      <c r="AD2789" s="12"/>
    </row>
    <row r="2790" spans="1:30" ht="15.75" thickBot="1" x14ac:dyDescent="0.3">
      <c r="A2790" s="12"/>
      <c r="B2790" s="12"/>
      <c r="C2790" s="12"/>
      <c r="D2790" s="3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2"/>
      <c r="W2790" s="12"/>
      <c r="X2790" s="12"/>
      <c r="Y2790" s="12"/>
      <c r="Z2790" s="12"/>
      <c r="AA2790" s="12"/>
      <c r="AB2790" s="12"/>
      <c r="AC2790" s="12"/>
      <c r="AD2790" s="12"/>
    </row>
    <row r="2791" spans="1:30" ht="15.75" thickBot="1" x14ac:dyDescent="0.3">
      <c r="A2791" s="12"/>
      <c r="B2791" s="12"/>
      <c r="C2791" s="12"/>
      <c r="D2791" s="3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2"/>
      <c r="W2791" s="12"/>
      <c r="X2791" s="12"/>
      <c r="Y2791" s="12"/>
      <c r="Z2791" s="12"/>
      <c r="AA2791" s="12"/>
      <c r="AB2791" s="12"/>
      <c r="AC2791" s="12"/>
      <c r="AD2791" s="12"/>
    </row>
    <row r="2792" spans="1:30" ht="15.75" thickBot="1" x14ac:dyDescent="0.3">
      <c r="A2792" s="12"/>
      <c r="B2792" s="12"/>
      <c r="C2792" s="12"/>
      <c r="D2792" s="3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2"/>
      <c r="W2792" s="12"/>
      <c r="X2792" s="12"/>
      <c r="Y2792" s="12"/>
      <c r="Z2792" s="12"/>
      <c r="AA2792" s="12"/>
      <c r="AB2792" s="12"/>
      <c r="AC2792" s="12"/>
      <c r="AD2792" s="12"/>
    </row>
    <row r="2793" spans="1:30" ht="15.75" thickBot="1" x14ac:dyDescent="0.3">
      <c r="A2793" s="12"/>
      <c r="B2793" s="12"/>
      <c r="C2793" s="12"/>
      <c r="D2793" s="3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2"/>
      <c r="W2793" s="12"/>
      <c r="X2793" s="12"/>
      <c r="Y2793" s="12"/>
      <c r="Z2793" s="12"/>
      <c r="AA2793" s="12"/>
      <c r="AB2793" s="12"/>
      <c r="AC2793" s="12"/>
      <c r="AD2793" s="12"/>
    </row>
    <row r="2794" spans="1:30" ht="15.75" thickBot="1" x14ac:dyDescent="0.3">
      <c r="A2794" s="12"/>
      <c r="B2794" s="12"/>
      <c r="C2794" s="12"/>
      <c r="D2794" s="3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2"/>
      <c r="W2794" s="12"/>
      <c r="X2794" s="12"/>
      <c r="Y2794" s="12"/>
      <c r="Z2794" s="12"/>
      <c r="AA2794" s="12"/>
      <c r="AB2794" s="12"/>
      <c r="AC2794" s="12"/>
      <c r="AD2794" s="12"/>
    </row>
    <row r="2795" spans="1:30" ht="15.75" thickBot="1" x14ac:dyDescent="0.3">
      <c r="A2795" s="12"/>
      <c r="B2795" s="12"/>
      <c r="C2795" s="12"/>
      <c r="D2795" s="3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2"/>
      <c r="W2795" s="12"/>
      <c r="X2795" s="12"/>
      <c r="Y2795" s="12"/>
      <c r="Z2795" s="12"/>
      <c r="AA2795" s="12"/>
      <c r="AB2795" s="12"/>
      <c r="AC2795" s="12"/>
      <c r="AD2795" s="12"/>
    </row>
    <row r="2796" spans="1:30" ht="15.75" thickBot="1" x14ac:dyDescent="0.3">
      <c r="A2796" s="12"/>
      <c r="B2796" s="12"/>
      <c r="C2796" s="12"/>
      <c r="D2796" s="3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2"/>
      <c r="W2796" s="12"/>
      <c r="X2796" s="12"/>
      <c r="Y2796" s="12"/>
      <c r="Z2796" s="12"/>
      <c r="AA2796" s="12"/>
      <c r="AB2796" s="12"/>
      <c r="AC2796" s="12"/>
      <c r="AD2796" s="12"/>
    </row>
    <row r="2797" spans="1:30" ht="15.75" thickBot="1" x14ac:dyDescent="0.3">
      <c r="A2797" s="12"/>
      <c r="B2797" s="12"/>
      <c r="C2797" s="12"/>
      <c r="D2797" s="3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2"/>
      <c r="W2797" s="12"/>
      <c r="X2797" s="12"/>
      <c r="Y2797" s="12"/>
      <c r="Z2797" s="12"/>
      <c r="AA2797" s="12"/>
      <c r="AB2797" s="12"/>
      <c r="AC2797" s="12"/>
      <c r="AD2797" s="12"/>
    </row>
    <row r="2798" spans="1:30" ht="15.75" thickBot="1" x14ac:dyDescent="0.3">
      <c r="A2798" s="12"/>
      <c r="B2798" s="12"/>
      <c r="C2798" s="12"/>
      <c r="D2798" s="3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2"/>
      <c r="W2798" s="12"/>
      <c r="X2798" s="12"/>
      <c r="Y2798" s="12"/>
      <c r="Z2798" s="12"/>
      <c r="AA2798" s="12"/>
      <c r="AB2798" s="12"/>
      <c r="AC2798" s="12"/>
      <c r="AD2798" s="12"/>
    </row>
    <row r="2799" spans="1:30" ht="15.75" thickBot="1" x14ac:dyDescent="0.3">
      <c r="A2799" s="12"/>
      <c r="B2799" s="12"/>
      <c r="C2799" s="12"/>
      <c r="D2799" s="3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2"/>
      <c r="W2799" s="12"/>
      <c r="X2799" s="12"/>
      <c r="Y2799" s="12"/>
      <c r="Z2799" s="12"/>
      <c r="AA2799" s="12"/>
      <c r="AB2799" s="12"/>
      <c r="AC2799" s="12"/>
      <c r="AD2799" s="12"/>
    </row>
    <row r="2800" spans="1:30" ht="15.75" thickBot="1" x14ac:dyDescent="0.3">
      <c r="A2800" s="12"/>
      <c r="B2800" s="12"/>
      <c r="C2800" s="12"/>
      <c r="D2800" s="3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2"/>
      <c r="W2800" s="12"/>
      <c r="X2800" s="12"/>
      <c r="Y2800" s="12"/>
      <c r="Z2800" s="12"/>
      <c r="AA2800" s="12"/>
      <c r="AB2800" s="12"/>
      <c r="AC2800" s="12"/>
      <c r="AD2800" s="12"/>
    </row>
    <row r="2801" spans="1:30" ht="15.75" thickBot="1" x14ac:dyDescent="0.3">
      <c r="A2801" s="12"/>
      <c r="B2801" s="12"/>
      <c r="C2801" s="12"/>
      <c r="D2801" s="3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2"/>
      <c r="W2801" s="12"/>
      <c r="X2801" s="12"/>
      <c r="Y2801" s="12"/>
      <c r="Z2801" s="12"/>
      <c r="AA2801" s="12"/>
      <c r="AB2801" s="12"/>
      <c r="AC2801" s="12"/>
      <c r="AD2801" s="12"/>
    </row>
    <row r="2802" spans="1:30" ht="15.75" thickBot="1" x14ac:dyDescent="0.3">
      <c r="A2802" s="12"/>
      <c r="B2802" s="12"/>
      <c r="C2802" s="12"/>
      <c r="D2802" s="3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2"/>
      <c r="W2802" s="12"/>
      <c r="X2802" s="12"/>
      <c r="Y2802" s="12"/>
      <c r="Z2802" s="12"/>
      <c r="AA2802" s="12"/>
      <c r="AB2802" s="12"/>
      <c r="AC2802" s="12"/>
      <c r="AD2802" s="12"/>
    </row>
    <row r="2803" spans="1:30" ht="15.75" thickBot="1" x14ac:dyDescent="0.3">
      <c r="A2803" s="12"/>
      <c r="B2803" s="12"/>
      <c r="C2803" s="12"/>
      <c r="D2803" s="3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2"/>
      <c r="W2803" s="12"/>
      <c r="X2803" s="12"/>
      <c r="Y2803" s="12"/>
      <c r="Z2803" s="12"/>
      <c r="AA2803" s="12"/>
      <c r="AB2803" s="12"/>
      <c r="AC2803" s="12"/>
      <c r="AD2803" s="12"/>
    </row>
    <row r="2804" spans="1:30" ht="15.75" thickBot="1" x14ac:dyDescent="0.3">
      <c r="A2804" s="12"/>
      <c r="B2804" s="12"/>
      <c r="C2804" s="12"/>
      <c r="D2804" s="3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2"/>
      <c r="W2804" s="12"/>
      <c r="X2804" s="12"/>
      <c r="Y2804" s="12"/>
      <c r="Z2804" s="12"/>
      <c r="AA2804" s="12"/>
      <c r="AB2804" s="12"/>
      <c r="AC2804" s="12"/>
      <c r="AD2804" s="12"/>
    </row>
    <row r="2805" spans="1:30" ht="15.75" thickBot="1" x14ac:dyDescent="0.3">
      <c r="A2805" s="12"/>
      <c r="B2805" s="12"/>
      <c r="C2805" s="12"/>
      <c r="D2805" s="3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2"/>
      <c r="W2805" s="12"/>
      <c r="X2805" s="12"/>
      <c r="Y2805" s="12"/>
      <c r="Z2805" s="12"/>
      <c r="AA2805" s="12"/>
      <c r="AB2805" s="12"/>
      <c r="AC2805" s="12"/>
      <c r="AD2805" s="12"/>
    </row>
    <row r="2806" spans="1:30" ht="15.75" thickBot="1" x14ac:dyDescent="0.3">
      <c r="A2806" s="12"/>
      <c r="B2806" s="12"/>
      <c r="C2806" s="12"/>
      <c r="D2806" s="3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2"/>
      <c r="W2806" s="12"/>
      <c r="X2806" s="12"/>
      <c r="Y2806" s="12"/>
      <c r="Z2806" s="12"/>
      <c r="AA2806" s="12"/>
      <c r="AB2806" s="12"/>
      <c r="AC2806" s="12"/>
      <c r="AD2806" s="12"/>
    </row>
    <row r="2807" spans="1:30" ht="15.75" thickBot="1" x14ac:dyDescent="0.3">
      <c r="A2807" s="12"/>
      <c r="B2807" s="12"/>
      <c r="C2807" s="12"/>
      <c r="D2807" s="3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2"/>
      <c r="W2807" s="12"/>
      <c r="X2807" s="12"/>
      <c r="Y2807" s="12"/>
      <c r="Z2807" s="12"/>
      <c r="AA2807" s="12"/>
      <c r="AB2807" s="12"/>
      <c r="AC2807" s="12"/>
      <c r="AD2807" s="12"/>
    </row>
    <row r="2808" spans="1:30" ht="15.75" thickBot="1" x14ac:dyDescent="0.3">
      <c r="A2808" s="12"/>
      <c r="B2808" s="12"/>
      <c r="C2808" s="12"/>
      <c r="D2808" s="3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2"/>
      <c r="W2808" s="12"/>
      <c r="X2808" s="12"/>
      <c r="Y2808" s="12"/>
      <c r="Z2808" s="12"/>
      <c r="AA2808" s="12"/>
      <c r="AB2808" s="12"/>
      <c r="AC2808" s="12"/>
      <c r="AD2808" s="12"/>
    </row>
    <row r="2809" spans="1:30" ht="15.75" thickBot="1" x14ac:dyDescent="0.3">
      <c r="A2809" s="12"/>
      <c r="B2809" s="12"/>
      <c r="C2809" s="12"/>
      <c r="D2809" s="3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2"/>
      <c r="W2809" s="12"/>
      <c r="X2809" s="12"/>
      <c r="Y2809" s="12"/>
      <c r="Z2809" s="12"/>
      <c r="AA2809" s="12"/>
      <c r="AB2809" s="12"/>
      <c r="AC2809" s="12"/>
      <c r="AD2809" s="12"/>
    </row>
    <row r="2810" spans="1:30" ht="15.75" thickBot="1" x14ac:dyDescent="0.3">
      <c r="A2810" s="12"/>
      <c r="B2810" s="12"/>
      <c r="C2810" s="12"/>
      <c r="D2810" s="3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2"/>
      <c r="W2810" s="12"/>
      <c r="X2810" s="12"/>
      <c r="Y2810" s="12"/>
      <c r="Z2810" s="12"/>
      <c r="AA2810" s="12"/>
      <c r="AB2810" s="12"/>
      <c r="AC2810" s="12"/>
      <c r="AD2810" s="12"/>
    </row>
    <row r="2811" spans="1:30" ht="15.75" thickBot="1" x14ac:dyDescent="0.3">
      <c r="A2811" s="12"/>
      <c r="B2811" s="12"/>
      <c r="C2811" s="12"/>
      <c r="D2811" s="3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2"/>
      <c r="W2811" s="12"/>
      <c r="X2811" s="12"/>
      <c r="Y2811" s="12"/>
      <c r="Z2811" s="12"/>
      <c r="AA2811" s="12"/>
      <c r="AB2811" s="12"/>
      <c r="AC2811" s="12"/>
      <c r="AD2811" s="12"/>
    </row>
    <row r="2812" spans="1:30" ht="15.75" thickBot="1" x14ac:dyDescent="0.3">
      <c r="A2812" s="12"/>
      <c r="B2812" s="12"/>
      <c r="C2812" s="12"/>
      <c r="D2812" s="3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2"/>
      <c r="W2812" s="12"/>
      <c r="X2812" s="12"/>
      <c r="Y2812" s="12"/>
      <c r="Z2812" s="12"/>
      <c r="AA2812" s="12"/>
      <c r="AB2812" s="12"/>
      <c r="AC2812" s="12"/>
      <c r="AD2812" s="12"/>
    </row>
    <row r="2813" spans="1:30" ht="15.75" thickBot="1" x14ac:dyDescent="0.3">
      <c r="A2813" s="12"/>
      <c r="B2813" s="12"/>
      <c r="C2813" s="12"/>
      <c r="D2813" s="3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2"/>
      <c r="W2813" s="12"/>
      <c r="X2813" s="12"/>
      <c r="Y2813" s="12"/>
      <c r="Z2813" s="12"/>
      <c r="AA2813" s="12"/>
      <c r="AB2813" s="12"/>
      <c r="AC2813" s="12"/>
      <c r="AD2813" s="12"/>
    </row>
    <row r="2814" spans="1:30" ht="15.75" thickBot="1" x14ac:dyDescent="0.3">
      <c r="A2814" s="12"/>
      <c r="B2814" s="12"/>
      <c r="C2814" s="12"/>
      <c r="D2814" s="3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2"/>
      <c r="W2814" s="12"/>
      <c r="X2814" s="12"/>
      <c r="Y2814" s="12"/>
      <c r="Z2814" s="12"/>
      <c r="AA2814" s="12"/>
      <c r="AB2814" s="12"/>
      <c r="AC2814" s="12"/>
      <c r="AD2814" s="12"/>
    </row>
    <row r="2815" spans="1:30" ht="15.75" thickBot="1" x14ac:dyDescent="0.3">
      <c r="A2815" s="12"/>
      <c r="B2815" s="12"/>
      <c r="C2815" s="12"/>
      <c r="D2815" s="3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2"/>
      <c r="W2815" s="12"/>
      <c r="X2815" s="12"/>
      <c r="Y2815" s="12"/>
      <c r="Z2815" s="12"/>
      <c r="AA2815" s="12"/>
      <c r="AB2815" s="12"/>
      <c r="AC2815" s="12"/>
      <c r="AD2815" s="12"/>
    </row>
    <row r="2816" spans="1:30" ht="15.75" thickBot="1" x14ac:dyDescent="0.3">
      <c r="A2816" s="12"/>
      <c r="B2816" s="12"/>
      <c r="C2816" s="12"/>
      <c r="D2816" s="3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2"/>
      <c r="W2816" s="12"/>
      <c r="X2816" s="12"/>
      <c r="Y2816" s="12"/>
      <c r="Z2816" s="12"/>
      <c r="AA2816" s="12"/>
      <c r="AB2816" s="12"/>
      <c r="AC2816" s="12"/>
      <c r="AD2816" s="12"/>
    </row>
    <row r="2817" spans="1:30" ht="15.75" thickBot="1" x14ac:dyDescent="0.3">
      <c r="A2817" s="12"/>
      <c r="B2817" s="12"/>
      <c r="C2817" s="12"/>
      <c r="D2817" s="3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2"/>
      <c r="W2817" s="12"/>
      <c r="X2817" s="12"/>
      <c r="Y2817" s="12"/>
      <c r="Z2817" s="12"/>
      <c r="AA2817" s="12"/>
      <c r="AB2817" s="12"/>
      <c r="AC2817" s="12"/>
      <c r="AD2817" s="12"/>
    </row>
    <row r="2818" spans="1:30" ht="15.75" thickBot="1" x14ac:dyDescent="0.3">
      <c r="A2818" s="12"/>
      <c r="B2818" s="12"/>
      <c r="C2818" s="12"/>
      <c r="D2818" s="3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2"/>
      <c r="W2818" s="12"/>
      <c r="X2818" s="12"/>
      <c r="Y2818" s="12"/>
      <c r="Z2818" s="12"/>
      <c r="AA2818" s="12"/>
      <c r="AB2818" s="12"/>
      <c r="AC2818" s="12"/>
      <c r="AD2818" s="12"/>
    </row>
    <row r="2819" spans="1:30" ht="15.75" thickBot="1" x14ac:dyDescent="0.3">
      <c r="A2819" s="12"/>
      <c r="B2819" s="12"/>
      <c r="C2819" s="12"/>
      <c r="D2819" s="3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2"/>
      <c r="W2819" s="12"/>
      <c r="X2819" s="12"/>
      <c r="Y2819" s="12"/>
      <c r="Z2819" s="12"/>
      <c r="AA2819" s="12"/>
      <c r="AB2819" s="12"/>
      <c r="AC2819" s="12"/>
      <c r="AD2819" s="12"/>
    </row>
    <row r="2820" spans="1:30" ht="15.75" thickBot="1" x14ac:dyDescent="0.3">
      <c r="A2820" s="12"/>
      <c r="B2820" s="12"/>
      <c r="C2820" s="12"/>
      <c r="D2820" s="3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2"/>
      <c r="W2820" s="12"/>
      <c r="X2820" s="12"/>
      <c r="Y2820" s="12"/>
      <c r="Z2820" s="12"/>
      <c r="AA2820" s="12"/>
      <c r="AB2820" s="12"/>
      <c r="AC2820" s="12"/>
      <c r="AD2820" s="12"/>
    </row>
    <row r="2821" spans="1:30" ht="15.75" thickBot="1" x14ac:dyDescent="0.3">
      <c r="A2821" s="12"/>
      <c r="B2821" s="12"/>
      <c r="C2821" s="12"/>
      <c r="D2821" s="3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2"/>
      <c r="W2821" s="12"/>
      <c r="X2821" s="12"/>
      <c r="Y2821" s="12"/>
      <c r="Z2821" s="12"/>
      <c r="AA2821" s="12"/>
      <c r="AB2821" s="12"/>
      <c r="AC2821" s="12"/>
      <c r="AD2821" s="12"/>
    </row>
    <row r="2822" spans="1:30" ht="15.75" thickBot="1" x14ac:dyDescent="0.3">
      <c r="A2822" s="12"/>
      <c r="B2822" s="12"/>
      <c r="C2822" s="12"/>
      <c r="D2822" s="3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2"/>
      <c r="W2822" s="12"/>
      <c r="X2822" s="12"/>
      <c r="Y2822" s="12"/>
      <c r="Z2822" s="12"/>
      <c r="AA2822" s="12"/>
      <c r="AB2822" s="12"/>
      <c r="AC2822" s="12"/>
      <c r="AD2822" s="12"/>
    </row>
    <row r="2823" spans="1:30" ht="15.75" thickBot="1" x14ac:dyDescent="0.3">
      <c r="A2823" s="12"/>
      <c r="B2823" s="12"/>
      <c r="C2823" s="12"/>
      <c r="D2823" s="3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2"/>
      <c r="W2823" s="12"/>
      <c r="X2823" s="12"/>
      <c r="Y2823" s="12"/>
      <c r="Z2823" s="12"/>
      <c r="AA2823" s="12"/>
      <c r="AB2823" s="12"/>
      <c r="AC2823" s="12"/>
      <c r="AD2823" s="12"/>
    </row>
    <row r="2824" spans="1:30" ht="15.75" thickBot="1" x14ac:dyDescent="0.3">
      <c r="A2824" s="12"/>
      <c r="B2824" s="12"/>
      <c r="C2824" s="12"/>
      <c r="D2824" s="3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2"/>
      <c r="W2824" s="12"/>
      <c r="X2824" s="12"/>
      <c r="Y2824" s="12"/>
      <c r="Z2824" s="12"/>
      <c r="AA2824" s="12"/>
      <c r="AB2824" s="12"/>
      <c r="AC2824" s="12"/>
      <c r="AD2824" s="12"/>
    </row>
    <row r="2825" spans="1:30" ht="15.75" thickBot="1" x14ac:dyDescent="0.3">
      <c r="A2825" s="12"/>
      <c r="B2825" s="12"/>
      <c r="C2825" s="12"/>
      <c r="D2825" s="3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2"/>
      <c r="W2825" s="12"/>
      <c r="X2825" s="12"/>
      <c r="Y2825" s="12"/>
      <c r="Z2825" s="12"/>
      <c r="AA2825" s="12"/>
      <c r="AB2825" s="12"/>
      <c r="AC2825" s="12"/>
      <c r="AD2825" s="12"/>
    </row>
    <row r="2826" spans="1:30" ht="15.75" thickBot="1" x14ac:dyDescent="0.3">
      <c r="A2826" s="12"/>
      <c r="B2826" s="12"/>
      <c r="C2826" s="12"/>
      <c r="D2826" s="3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2"/>
      <c r="W2826" s="12"/>
      <c r="X2826" s="12"/>
      <c r="Y2826" s="12"/>
      <c r="Z2826" s="12"/>
      <c r="AA2826" s="12"/>
      <c r="AB2826" s="12"/>
      <c r="AC2826" s="12"/>
      <c r="AD2826" s="12"/>
    </row>
    <row r="2827" spans="1:30" ht="15.75" thickBot="1" x14ac:dyDescent="0.3">
      <c r="A2827" s="12"/>
      <c r="B2827" s="12"/>
      <c r="C2827" s="12"/>
      <c r="D2827" s="3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2"/>
      <c r="W2827" s="12"/>
      <c r="X2827" s="12"/>
      <c r="Y2827" s="12"/>
      <c r="Z2827" s="12"/>
      <c r="AA2827" s="12"/>
      <c r="AB2827" s="12"/>
      <c r="AC2827" s="12"/>
      <c r="AD2827" s="12"/>
    </row>
    <row r="2828" spans="1:30" ht="15.75" thickBot="1" x14ac:dyDescent="0.3">
      <c r="A2828" s="12"/>
      <c r="B2828" s="12"/>
      <c r="C2828" s="12"/>
      <c r="D2828" s="3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2"/>
      <c r="W2828" s="12"/>
      <c r="X2828" s="12"/>
      <c r="Y2828" s="12"/>
      <c r="Z2828" s="12"/>
      <c r="AA2828" s="12"/>
      <c r="AB2828" s="12"/>
      <c r="AC2828" s="12"/>
      <c r="AD2828" s="12"/>
    </row>
    <row r="2829" spans="1:30" ht="15.75" thickBot="1" x14ac:dyDescent="0.3">
      <c r="A2829" s="12"/>
      <c r="B2829" s="12"/>
      <c r="C2829" s="12"/>
      <c r="D2829" s="3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2"/>
      <c r="W2829" s="12"/>
      <c r="X2829" s="12"/>
      <c r="Y2829" s="12"/>
      <c r="Z2829" s="12"/>
      <c r="AA2829" s="12"/>
      <c r="AB2829" s="12"/>
      <c r="AC2829" s="12"/>
      <c r="AD2829" s="12"/>
    </row>
    <row r="2830" spans="1:30" ht="15.75" thickBot="1" x14ac:dyDescent="0.3">
      <c r="A2830" s="12"/>
      <c r="B2830" s="12"/>
      <c r="C2830" s="12"/>
      <c r="D2830" s="3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2"/>
      <c r="W2830" s="12"/>
      <c r="X2830" s="12"/>
      <c r="Y2830" s="12"/>
      <c r="Z2830" s="12"/>
      <c r="AA2830" s="12"/>
      <c r="AB2830" s="12"/>
      <c r="AC2830" s="12"/>
      <c r="AD2830" s="12"/>
    </row>
    <row r="2831" spans="1:30" ht="15.75" thickBot="1" x14ac:dyDescent="0.3">
      <c r="A2831" s="12"/>
      <c r="B2831" s="12"/>
      <c r="C2831" s="12"/>
      <c r="D2831" s="3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2"/>
      <c r="W2831" s="12"/>
      <c r="X2831" s="12"/>
      <c r="Y2831" s="12"/>
      <c r="Z2831" s="12"/>
      <c r="AA2831" s="12"/>
      <c r="AB2831" s="12"/>
      <c r="AC2831" s="12"/>
      <c r="AD2831" s="12"/>
    </row>
    <row r="2832" spans="1:30" ht="15.75" thickBot="1" x14ac:dyDescent="0.3">
      <c r="A2832" s="12"/>
      <c r="B2832" s="12"/>
      <c r="C2832" s="12"/>
      <c r="D2832" s="3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2"/>
      <c r="W2832" s="12"/>
      <c r="X2832" s="12"/>
      <c r="Y2832" s="12"/>
      <c r="Z2832" s="12"/>
      <c r="AA2832" s="12"/>
      <c r="AB2832" s="12"/>
      <c r="AC2832" s="12"/>
      <c r="AD2832" s="12"/>
    </row>
    <row r="2833" spans="1:30" ht="15.75" thickBot="1" x14ac:dyDescent="0.3">
      <c r="A2833" s="12"/>
      <c r="B2833" s="12"/>
      <c r="C2833" s="12"/>
      <c r="D2833" s="3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2"/>
      <c r="W2833" s="12"/>
      <c r="X2833" s="12"/>
      <c r="Y2833" s="12"/>
      <c r="Z2833" s="12"/>
      <c r="AA2833" s="12"/>
      <c r="AB2833" s="12"/>
      <c r="AC2833" s="12"/>
      <c r="AD2833" s="12"/>
    </row>
    <row r="2834" spans="1:30" ht="15.75" thickBot="1" x14ac:dyDescent="0.3">
      <c r="A2834" s="12"/>
      <c r="B2834" s="12"/>
      <c r="C2834" s="12"/>
      <c r="D2834" s="3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2"/>
      <c r="W2834" s="12"/>
      <c r="X2834" s="12"/>
      <c r="Y2834" s="12"/>
      <c r="Z2834" s="12"/>
      <c r="AA2834" s="12"/>
      <c r="AB2834" s="12"/>
      <c r="AC2834" s="12"/>
      <c r="AD2834" s="12"/>
    </row>
    <row r="2835" spans="1:30" ht="15.75" thickBot="1" x14ac:dyDescent="0.3">
      <c r="A2835" s="12"/>
      <c r="B2835" s="12"/>
      <c r="C2835" s="12"/>
      <c r="D2835" s="3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2"/>
      <c r="W2835" s="12"/>
      <c r="X2835" s="12"/>
      <c r="Y2835" s="12"/>
      <c r="Z2835" s="12"/>
      <c r="AA2835" s="12"/>
      <c r="AB2835" s="12"/>
      <c r="AC2835" s="12"/>
      <c r="AD2835" s="12"/>
    </row>
    <row r="2836" spans="1:30" ht="15.75" thickBot="1" x14ac:dyDescent="0.3">
      <c r="A2836" s="12"/>
      <c r="B2836" s="12"/>
      <c r="C2836" s="12"/>
      <c r="D2836" s="3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2"/>
      <c r="W2836" s="12"/>
      <c r="X2836" s="12"/>
      <c r="Y2836" s="12"/>
      <c r="Z2836" s="12"/>
      <c r="AA2836" s="12"/>
      <c r="AB2836" s="12"/>
      <c r="AC2836" s="12"/>
      <c r="AD2836" s="12"/>
    </row>
    <row r="2837" spans="1:30" ht="15.75" thickBot="1" x14ac:dyDescent="0.3">
      <c r="A2837" s="12"/>
      <c r="B2837" s="12"/>
      <c r="C2837" s="12"/>
      <c r="D2837" s="3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2"/>
      <c r="W2837" s="12"/>
      <c r="X2837" s="12"/>
      <c r="Y2837" s="12"/>
      <c r="Z2837" s="12"/>
      <c r="AA2837" s="12"/>
      <c r="AB2837" s="12"/>
      <c r="AC2837" s="12"/>
      <c r="AD2837" s="12"/>
    </row>
    <row r="2838" spans="1:30" ht="15.75" thickBot="1" x14ac:dyDescent="0.3">
      <c r="A2838" s="12"/>
      <c r="B2838" s="12"/>
      <c r="C2838" s="12"/>
      <c r="D2838" s="3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2"/>
      <c r="W2838" s="12"/>
      <c r="X2838" s="12"/>
      <c r="Y2838" s="12"/>
      <c r="Z2838" s="12"/>
      <c r="AA2838" s="12"/>
      <c r="AB2838" s="12"/>
      <c r="AC2838" s="12"/>
      <c r="AD2838" s="12"/>
    </row>
    <row r="2839" spans="1:30" ht="15.75" thickBot="1" x14ac:dyDescent="0.3">
      <c r="A2839" s="12"/>
      <c r="B2839" s="12"/>
      <c r="C2839" s="12"/>
      <c r="D2839" s="3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2"/>
      <c r="W2839" s="12"/>
      <c r="X2839" s="12"/>
      <c r="Y2839" s="12"/>
      <c r="Z2839" s="12"/>
      <c r="AA2839" s="12"/>
      <c r="AB2839" s="12"/>
      <c r="AC2839" s="12"/>
      <c r="AD2839" s="12"/>
    </row>
    <row r="2840" spans="1:30" ht="15.75" thickBot="1" x14ac:dyDescent="0.3">
      <c r="A2840" s="12"/>
      <c r="B2840" s="12"/>
      <c r="C2840" s="12"/>
      <c r="D2840" s="3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2"/>
      <c r="W2840" s="12"/>
      <c r="X2840" s="12"/>
      <c r="Y2840" s="12"/>
      <c r="Z2840" s="12"/>
      <c r="AA2840" s="12"/>
      <c r="AB2840" s="12"/>
      <c r="AC2840" s="12"/>
      <c r="AD2840" s="12"/>
    </row>
    <row r="2841" spans="1:30" ht="15.75" thickBot="1" x14ac:dyDescent="0.3">
      <c r="A2841" s="12"/>
      <c r="B2841" s="12"/>
      <c r="C2841" s="12"/>
      <c r="D2841" s="3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2"/>
      <c r="W2841" s="12"/>
      <c r="X2841" s="12"/>
      <c r="Y2841" s="12"/>
      <c r="Z2841" s="12"/>
      <c r="AA2841" s="12"/>
      <c r="AB2841" s="12"/>
      <c r="AC2841" s="12"/>
      <c r="AD2841" s="12"/>
    </row>
    <row r="2842" spans="1:30" ht="15.75" thickBot="1" x14ac:dyDescent="0.3">
      <c r="A2842" s="12"/>
      <c r="B2842" s="12"/>
      <c r="C2842" s="12"/>
      <c r="D2842" s="3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2"/>
      <c r="W2842" s="12"/>
      <c r="X2842" s="12"/>
      <c r="Y2842" s="12"/>
      <c r="Z2842" s="12"/>
      <c r="AA2842" s="12"/>
      <c r="AB2842" s="12"/>
      <c r="AC2842" s="12"/>
      <c r="AD2842" s="12"/>
    </row>
    <row r="2843" spans="1:30" ht="15.75" thickBot="1" x14ac:dyDescent="0.3">
      <c r="A2843" s="12"/>
      <c r="B2843" s="12"/>
      <c r="C2843" s="12"/>
      <c r="D2843" s="3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2"/>
      <c r="W2843" s="12"/>
      <c r="X2843" s="12"/>
      <c r="Y2843" s="12"/>
      <c r="Z2843" s="12"/>
      <c r="AA2843" s="12"/>
      <c r="AB2843" s="12"/>
      <c r="AC2843" s="12"/>
      <c r="AD2843" s="12"/>
    </row>
    <row r="2844" spans="1:30" ht="15.75" thickBot="1" x14ac:dyDescent="0.3">
      <c r="A2844" s="12"/>
      <c r="B2844" s="12"/>
      <c r="C2844" s="12"/>
      <c r="D2844" s="3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2"/>
      <c r="W2844" s="12"/>
      <c r="X2844" s="12"/>
      <c r="Y2844" s="12"/>
      <c r="Z2844" s="12"/>
      <c r="AA2844" s="12"/>
      <c r="AB2844" s="12"/>
      <c r="AC2844" s="12"/>
      <c r="AD2844" s="12"/>
    </row>
    <row r="2845" spans="1:30" ht="15.75" thickBot="1" x14ac:dyDescent="0.3">
      <c r="A2845" s="12"/>
      <c r="B2845" s="12"/>
      <c r="C2845" s="12"/>
      <c r="D2845" s="3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2"/>
      <c r="W2845" s="12"/>
      <c r="X2845" s="12"/>
      <c r="Y2845" s="12"/>
      <c r="Z2845" s="12"/>
      <c r="AA2845" s="12"/>
      <c r="AB2845" s="12"/>
      <c r="AC2845" s="12"/>
      <c r="AD2845" s="12"/>
    </row>
    <row r="2846" spans="1:30" ht="15.75" thickBot="1" x14ac:dyDescent="0.3">
      <c r="A2846" s="12"/>
      <c r="B2846" s="12"/>
      <c r="C2846" s="12"/>
      <c r="D2846" s="3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2"/>
      <c r="W2846" s="12"/>
      <c r="X2846" s="12"/>
      <c r="Y2846" s="12"/>
      <c r="Z2846" s="12"/>
      <c r="AA2846" s="12"/>
      <c r="AB2846" s="12"/>
      <c r="AC2846" s="12"/>
      <c r="AD2846" s="12"/>
    </row>
    <row r="2847" spans="1:30" ht="15.75" thickBot="1" x14ac:dyDescent="0.3">
      <c r="A2847" s="12"/>
      <c r="B2847" s="12"/>
      <c r="C2847" s="12"/>
      <c r="D2847" s="3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2"/>
      <c r="W2847" s="12"/>
      <c r="X2847" s="12"/>
      <c r="Y2847" s="12"/>
      <c r="Z2847" s="12"/>
      <c r="AA2847" s="12"/>
      <c r="AB2847" s="12"/>
      <c r="AC2847" s="12"/>
      <c r="AD2847" s="12"/>
    </row>
    <row r="2848" spans="1:30" ht="15.75" thickBot="1" x14ac:dyDescent="0.3">
      <c r="A2848" s="12"/>
      <c r="B2848" s="12"/>
      <c r="C2848" s="12"/>
      <c r="D2848" s="3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2"/>
      <c r="W2848" s="12"/>
      <c r="X2848" s="12"/>
      <c r="Y2848" s="12"/>
      <c r="Z2848" s="12"/>
      <c r="AA2848" s="12"/>
      <c r="AB2848" s="12"/>
      <c r="AC2848" s="12"/>
      <c r="AD2848" s="12"/>
    </row>
    <row r="2849" spans="1:30" ht="15.75" thickBot="1" x14ac:dyDescent="0.3">
      <c r="A2849" s="12"/>
      <c r="B2849" s="12"/>
      <c r="C2849" s="12"/>
      <c r="D2849" s="3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2"/>
      <c r="W2849" s="12"/>
      <c r="X2849" s="12"/>
      <c r="Y2849" s="12"/>
      <c r="Z2849" s="12"/>
      <c r="AA2849" s="12"/>
      <c r="AB2849" s="12"/>
      <c r="AC2849" s="12"/>
      <c r="AD2849" s="12"/>
    </row>
    <row r="2850" spans="1:30" ht="15.75" thickBot="1" x14ac:dyDescent="0.3">
      <c r="A2850" s="12"/>
      <c r="B2850" s="12"/>
      <c r="C2850" s="12"/>
      <c r="D2850" s="3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2"/>
      <c r="W2850" s="12"/>
      <c r="X2850" s="12"/>
      <c r="Y2850" s="12"/>
      <c r="Z2850" s="12"/>
      <c r="AA2850" s="12"/>
      <c r="AB2850" s="12"/>
      <c r="AC2850" s="12"/>
      <c r="AD2850" s="12"/>
    </row>
    <row r="2851" spans="1:30" ht="15.75" thickBot="1" x14ac:dyDescent="0.3">
      <c r="A2851" s="12"/>
      <c r="B2851" s="12"/>
      <c r="C2851" s="12"/>
      <c r="D2851" s="3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2"/>
      <c r="W2851" s="12"/>
      <c r="X2851" s="12"/>
      <c r="Y2851" s="12"/>
      <c r="Z2851" s="12"/>
      <c r="AA2851" s="12"/>
      <c r="AB2851" s="12"/>
      <c r="AC2851" s="12"/>
      <c r="AD2851" s="12"/>
    </row>
    <row r="2852" spans="1:30" ht="15.75" thickBot="1" x14ac:dyDescent="0.3">
      <c r="A2852" s="12"/>
      <c r="B2852" s="12"/>
      <c r="C2852" s="12"/>
      <c r="D2852" s="3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2"/>
      <c r="W2852" s="12"/>
      <c r="X2852" s="12"/>
      <c r="Y2852" s="12"/>
      <c r="Z2852" s="12"/>
      <c r="AA2852" s="12"/>
      <c r="AB2852" s="12"/>
      <c r="AC2852" s="12"/>
      <c r="AD2852" s="12"/>
    </row>
    <row r="2853" spans="1:30" ht="15.75" thickBot="1" x14ac:dyDescent="0.3">
      <c r="A2853" s="12"/>
      <c r="B2853" s="12"/>
      <c r="C2853" s="12"/>
      <c r="D2853" s="3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2"/>
      <c r="W2853" s="12"/>
      <c r="X2853" s="12"/>
      <c r="Y2853" s="12"/>
      <c r="Z2853" s="12"/>
      <c r="AA2853" s="12"/>
      <c r="AB2853" s="12"/>
      <c r="AC2853" s="12"/>
      <c r="AD2853" s="12"/>
    </row>
    <row r="2854" spans="1:30" ht="15.75" thickBot="1" x14ac:dyDescent="0.3">
      <c r="A2854" s="12"/>
      <c r="B2854" s="12"/>
      <c r="C2854" s="12"/>
      <c r="D2854" s="3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2"/>
      <c r="W2854" s="12"/>
      <c r="X2854" s="12"/>
      <c r="Y2854" s="12"/>
      <c r="Z2854" s="12"/>
      <c r="AA2854" s="12"/>
      <c r="AB2854" s="12"/>
      <c r="AC2854" s="12"/>
      <c r="AD2854" s="12"/>
    </row>
    <row r="2855" spans="1:30" ht="15.75" thickBot="1" x14ac:dyDescent="0.3">
      <c r="A2855" s="12"/>
      <c r="B2855" s="12"/>
      <c r="C2855" s="12"/>
      <c r="D2855" s="3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2"/>
      <c r="W2855" s="12"/>
      <c r="X2855" s="12"/>
      <c r="Y2855" s="12"/>
      <c r="Z2855" s="12"/>
      <c r="AA2855" s="12"/>
      <c r="AB2855" s="12"/>
      <c r="AC2855" s="12"/>
      <c r="AD2855" s="12"/>
    </row>
    <row r="2856" spans="1:30" ht="15.75" thickBot="1" x14ac:dyDescent="0.3">
      <c r="A2856" s="12"/>
      <c r="B2856" s="12"/>
      <c r="C2856" s="12"/>
      <c r="D2856" s="3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2"/>
      <c r="W2856" s="12"/>
      <c r="X2856" s="12"/>
      <c r="Y2856" s="12"/>
      <c r="Z2856" s="12"/>
      <c r="AA2856" s="12"/>
      <c r="AB2856" s="12"/>
      <c r="AC2856" s="12"/>
      <c r="AD2856" s="12"/>
    </row>
    <row r="2857" spans="1:30" ht="15.75" thickBot="1" x14ac:dyDescent="0.3">
      <c r="A2857" s="12"/>
      <c r="B2857" s="12"/>
      <c r="C2857" s="12"/>
      <c r="D2857" s="3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2"/>
      <c r="W2857" s="12"/>
      <c r="X2857" s="12"/>
      <c r="Y2857" s="12"/>
      <c r="Z2857" s="12"/>
      <c r="AA2857" s="12"/>
      <c r="AB2857" s="12"/>
      <c r="AC2857" s="12"/>
      <c r="AD2857" s="12"/>
    </row>
    <row r="2858" spans="1:30" ht="15.75" thickBot="1" x14ac:dyDescent="0.3">
      <c r="A2858" s="12"/>
      <c r="B2858" s="12"/>
      <c r="C2858" s="12"/>
      <c r="D2858" s="3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2"/>
      <c r="W2858" s="12"/>
      <c r="X2858" s="12"/>
      <c r="Y2858" s="12"/>
      <c r="Z2858" s="12"/>
      <c r="AA2858" s="12"/>
      <c r="AB2858" s="12"/>
      <c r="AC2858" s="12"/>
      <c r="AD2858" s="12"/>
    </row>
    <row r="2859" spans="1:30" ht="15.75" thickBot="1" x14ac:dyDescent="0.3">
      <c r="A2859" s="12"/>
      <c r="B2859" s="12"/>
      <c r="C2859" s="12"/>
      <c r="D2859" s="3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2"/>
      <c r="W2859" s="12"/>
      <c r="X2859" s="12"/>
      <c r="Y2859" s="12"/>
      <c r="Z2859" s="12"/>
      <c r="AA2859" s="12"/>
      <c r="AB2859" s="12"/>
      <c r="AC2859" s="12"/>
      <c r="AD2859" s="12"/>
    </row>
    <row r="2860" spans="1:30" ht="15.75" thickBot="1" x14ac:dyDescent="0.3">
      <c r="A2860" s="12"/>
      <c r="B2860" s="12"/>
      <c r="C2860" s="12"/>
      <c r="D2860" s="3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2"/>
      <c r="W2860" s="12"/>
      <c r="X2860" s="12"/>
      <c r="Y2860" s="12"/>
      <c r="Z2860" s="12"/>
      <c r="AA2860" s="12"/>
      <c r="AB2860" s="12"/>
      <c r="AC2860" s="12"/>
      <c r="AD2860" s="12"/>
    </row>
    <row r="2861" spans="1:30" ht="15.75" thickBot="1" x14ac:dyDescent="0.3">
      <c r="A2861" s="12"/>
      <c r="B2861" s="12"/>
      <c r="C2861" s="12"/>
      <c r="D2861" s="3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2"/>
      <c r="W2861" s="12"/>
      <c r="X2861" s="12"/>
      <c r="Y2861" s="12"/>
      <c r="Z2861" s="12"/>
      <c r="AA2861" s="12"/>
      <c r="AB2861" s="12"/>
      <c r="AC2861" s="12"/>
      <c r="AD2861" s="12"/>
    </row>
    <row r="2862" spans="1:30" ht="15.75" thickBot="1" x14ac:dyDescent="0.3">
      <c r="A2862" s="12"/>
      <c r="B2862" s="12"/>
      <c r="C2862" s="12"/>
      <c r="D2862" s="3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2"/>
      <c r="W2862" s="12"/>
      <c r="X2862" s="12"/>
      <c r="Y2862" s="12"/>
      <c r="Z2862" s="12"/>
      <c r="AA2862" s="12"/>
      <c r="AB2862" s="12"/>
      <c r="AC2862" s="12"/>
      <c r="AD2862" s="12"/>
    </row>
    <row r="2863" spans="1:30" ht="15.75" thickBot="1" x14ac:dyDescent="0.3">
      <c r="A2863" s="12"/>
      <c r="B2863" s="12"/>
      <c r="C2863" s="12"/>
      <c r="D2863" s="3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2"/>
      <c r="W2863" s="12"/>
      <c r="X2863" s="12"/>
      <c r="Y2863" s="12"/>
      <c r="Z2863" s="12"/>
      <c r="AA2863" s="12"/>
      <c r="AB2863" s="12"/>
      <c r="AC2863" s="12"/>
      <c r="AD2863" s="12"/>
    </row>
    <row r="2864" spans="1:30" ht="15.75" thickBot="1" x14ac:dyDescent="0.3">
      <c r="A2864" s="12"/>
      <c r="B2864" s="12"/>
      <c r="C2864" s="12"/>
      <c r="D2864" s="3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2"/>
      <c r="W2864" s="12"/>
      <c r="X2864" s="12"/>
      <c r="Y2864" s="12"/>
      <c r="Z2864" s="12"/>
      <c r="AA2864" s="12"/>
      <c r="AB2864" s="12"/>
      <c r="AC2864" s="12"/>
      <c r="AD2864" s="12"/>
    </row>
    <row r="2865" spans="1:30" ht="15.75" thickBot="1" x14ac:dyDescent="0.3">
      <c r="A2865" s="12"/>
      <c r="B2865" s="12"/>
      <c r="C2865" s="12"/>
      <c r="D2865" s="3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2"/>
      <c r="W2865" s="12"/>
      <c r="X2865" s="12"/>
      <c r="Y2865" s="12"/>
      <c r="Z2865" s="12"/>
      <c r="AA2865" s="12"/>
      <c r="AB2865" s="12"/>
      <c r="AC2865" s="12"/>
      <c r="AD2865" s="12"/>
    </row>
    <row r="2866" spans="1:30" ht="15.75" thickBot="1" x14ac:dyDescent="0.3">
      <c r="A2866" s="12"/>
      <c r="B2866" s="12"/>
      <c r="C2866" s="12"/>
      <c r="D2866" s="3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2"/>
      <c r="W2866" s="12"/>
      <c r="X2866" s="12"/>
      <c r="Y2866" s="12"/>
      <c r="Z2866" s="12"/>
      <c r="AA2866" s="12"/>
      <c r="AB2866" s="12"/>
      <c r="AC2866" s="12"/>
      <c r="AD2866" s="12"/>
    </row>
    <row r="2867" spans="1:30" ht="15.75" thickBot="1" x14ac:dyDescent="0.3">
      <c r="A2867" s="12"/>
      <c r="B2867" s="12"/>
      <c r="C2867" s="12"/>
      <c r="D2867" s="3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2"/>
      <c r="W2867" s="12"/>
      <c r="X2867" s="12"/>
      <c r="Y2867" s="12"/>
      <c r="Z2867" s="12"/>
      <c r="AA2867" s="12"/>
      <c r="AB2867" s="12"/>
      <c r="AC2867" s="12"/>
      <c r="AD2867" s="12"/>
    </row>
    <row r="2868" spans="1:30" ht="15.75" thickBot="1" x14ac:dyDescent="0.3">
      <c r="A2868" s="12"/>
      <c r="B2868" s="12"/>
      <c r="C2868" s="12"/>
      <c r="D2868" s="3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2"/>
      <c r="W2868" s="12"/>
      <c r="X2868" s="12"/>
      <c r="Y2868" s="12"/>
      <c r="Z2868" s="12"/>
      <c r="AA2868" s="12"/>
      <c r="AB2868" s="12"/>
      <c r="AC2868" s="12"/>
      <c r="AD2868" s="12"/>
    </row>
    <row r="2869" spans="1:30" ht="15.75" thickBot="1" x14ac:dyDescent="0.3">
      <c r="A2869" s="12"/>
      <c r="B2869" s="12"/>
      <c r="C2869" s="12"/>
      <c r="D2869" s="3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2"/>
      <c r="W2869" s="12"/>
      <c r="X2869" s="12"/>
      <c r="Y2869" s="12"/>
      <c r="Z2869" s="12"/>
      <c r="AA2869" s="12"/>
      <c r="AB2869" s="12"/>
      <c r="AC2869" s="12"/>
      <c r="AD2869" s="12"/>
    </row>
    <row r="2870" spans="1:30" ht="15.75" thickBot="1" x14ac:dyDescent="0.3">
      <c r="A2870" s="12"/>
      <c r="B2870" s="12"/>
      <c r="C2870" s="12"/>
      <c r="D2870" s="3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2"/>
      <c r="W2870" s="12"/>
      <c r="X2870" s="12"/>
      <c r="Y2870" s="12"/>
      <c r="Z2870" s="12"/>
      <c r="AA2870" s="12"/>
      <c r="AB2870" s="12"/>
      <c r="AC2870" s="12"/>
      <c r="AD2870" s="12"/>
    </row>
    <row r="2871" spans="1:30" ht="15.75" thickBot="1" x14ac:dyDescent="0.3">
      <c r="A2871" s="12"/>
      <c r="B2871" s="12"/>
      <c r="C2871" s="12"/>
      <c r="D2871" s="3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2"/>
      <c r="W2871" s="12"/>
      <c r="X2871" s="12"/>
      <c r="Y2871" s="12"/>
      <c r="Z2871" s="12"/>
      <c r="AA2871" s="12"/>
      <c r="AB2871" s="12"/>
      <c r="AC2871" s="12"/>
      <c r="AD2871" s="12"/>
    </row>
    <row r="2872" spans="1:30" ht="15.75" thickBot="1" x14ac:dyDescent="0.3">
      <c r="A2872" s="12"/>
      <c r="B2872" s="12"/>
      <c r="C2872" s="12"/>
      <c r="D2872" s="3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2"/>
      <c r="W2872" s="12"/>
      <c r="X2872" s="12"/>
      <c r="Y2872" s="12"/>
      <c r="Z2872" s="12"/>
      <c r="AA2872" s="12"/>
      <c r="AB2872" s="12"/>
      <c r="AC2872" s="12"/>
      <c r="AD2872" s="12"/>
    </row>
    <row r="2873" spans="1:30" ht="15.75" thickBot="1" x14ac:dyDescent="0.3">
      <c r="A2873" s="12"/>
      <c r="B2873" s="12"/>
      <c r="C2873" s="12"/>
      <c r="D2873" s="3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2"/>
      <c r="W2873" s="12"/>
      <c r="X2873" s="12"/>
      <c r="Y2873" s="12"/>
      <c r="Z2873" s="12"/>
      <c r="AA2873" s="12"/>
      <c r="AB2873" s="12"/>
      <c r="AC2873" s="12"/>
      <c r="AD2873" s="12"/>
    </row>
    <row r="2874" spans="1:30" ht="15.75" thickBot="1" x14ac:dyDescent="0.3">
      <c r="A2874" s="12"/>
      <c r="B2874" s="12"/>
      <c r="C2874" s="12"/>
      <c r="D2874" s="3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2"/>
      <c r="W2874" s="12"/>
      <c r="X2874" s="12"/>
      <c r="Y2874" s="12"/>
      <c r="Z2874" s="12"/>
      <c r="AA2874" s="12"/>
      <c r="AB2874" s="12"/>
      <c r="AC2874" s="12"/>
      <c r="AD2874" s="12"/>
    </row>
    <row r="2875" spans="1:30" ht="15.75" thickBot="1" x14ac:dyDescent="0.3">
      <c r="A2875" s="12"/>
      <c r="B2875" s="12"/>
      <c r="C2875" s="12"/>
      <c r="D2875" s="3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2"/>
      <c r="W2875" s="12"/>
      <c r="X2875" s="12"/>
      <c r="Y2875" s="12"/>
      <c r="Z2875" s="12"/>
      <c r="AA2875" s="12"/>
      <c r="AB2875" s="12"/>
      <c r="AC2875" s="12"/>
      <c r="AD2875" s="12"/>
    </row>
    <row r="2876" spans="1:30" ht="15.75" thickBot="1" x14ac:dyDescent="0.3">
      <c r="A2876" s="12"/>
      <c r="B2876" s="12"/>
      <c r="C2876" s="12"/>
      <c r="D2876" s="3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2"/>
      <c r="W2876" s="12"/>
      <c r="X2876" s="12"/>
      <c r="Y2876" s="12"/>
      <c r="Z2876" s="12"/>
      <c r="AA2876" s="12"/>
      <c r="AB2876" s="12"/>
      <c r="AC2876" s="12"/>
      <c r="AD2876" s="12"/>
    </row>
    <row r="2877" spans="1:30" ht="15.75" thickBot="1" x14ac:dyDescent="0.3">
      <c r="A2877" s="12"/>
      <c r="B2877" s="12"/>
      <c r="C2877" s="12"/>
      <c r="D2877" s="3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2"/>
      <c r="W2877" s="12"/>
      <c r="X2877" s="12"/>
      <c r="Y2877" s="12"/>
      <c r="Z2877" s="12"/>
      <c r="AA2877" s="12"/>
      <c r="AB2877" s="12"/>
      <c r="AC2877" s="12"/>
      <c r="AD2877" s="12"/>
    </row>
    <row r="2878" spans="1:30" ht="15.75" thickBot="1" x14ac:dyDescent="0.3">
      <c r="A2878" s="12"/>
      <c r="B2878" s="12"/>
      <c r="C2878" s="12"/>
      <c r="D2878" s="3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2"/>
      <c r="W2878" s="12"/>
      <c r="X2878" s="12"/>
      <c r="Y2878" s="12"/>
      <c r="Z2878" s="12"/>
      <c r="AA2878" s="12"/>
      <c r="AB2878" s="12"/>
      <c r="AC2878" s="12"/>
      <c r="AD2878" s="12"/>
    </row>
    <row r="2879" spans="1:30" ht="15.75" thickBot="1" x14ac:dyDescent="0.3">
      <c r="A2879" s="12"/>
      <c r="B2879" s="12"/>
      <c r="C2879" s="12"/>
      <c r="D2879" s="3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2"/>
      <c r="W2879" s="12"/>
      <c r="X2879" s="12"/>
      <c r="Y2879" s="12"/>
      <c r="Z2879" s="12"/>
      <c r="AA2879" s="12"/>
      <c r="AB2879" s="12"/>
      <c r="AC2879" s="12"/>
      <c r="AD2879" s="12"/>
    </row>
    <row r="2880" spans="1:30" ht="15.75" thickBot="1" x14ac:dyDescent="0.3">
      <c r="A2880" s="12"/>
      <c r="B2880" s="12"/>
      <c r="C2880" s="12"/>
      <c r="D2880" s="3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2"/>
      <c r="W2880" s="12"/>
      <c r="X2880" s="12"/>
      <c r="Y2880" s="12"/>
      <c r="Z2880" s="12"/>
      <c r="AA2880" s="12"/>
      <c r="AB2880" s="12"/>
      <c r="AC2880" s="12"/>
      <c r="AD2880" s="12"/>
    </row>
    <row r="2881" spans="1:30" ht="15.75" thickBot="1" x14ac:dyDescent="0.3">
      <c r="A2881" s="12"/>
      <c r="B2881" s="12"/>
      <c r="C2881" s="12"/>
      <c r="D2881" s="3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2"/>
      <c r="W2881" s="12"/>
      <c r="X2881" s="12"/>
      <c r="Y2881" s="12"/>
      <c r="Z2881" s="12"/>
      <c r="AA2881" s="12"/>
      <c r="AB2881" s="12"/>
      <c r="AC2881" s="12"/>
      <c r="AD2881" s="12"/>
    </row>
    <row r="2882" spans="1:30" ht="15.75" thickBot="1" x14ac:dyDescent="0.3">
      <c r="A2882" s="12"/>
      <c r="B2882" s="12"/>
      <c r="C2882" s="12"/>
      <c r="D2882" s="3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2"/>
      <c r="W2882" s="12"/>
      <c r="X2882" s="12"/>
      <c r="Y2882" s="12"/>
      <c r="Z2882" s="12"/>
      <c r="AA2882" s="12"/>
      <c r="AB2882" s="12"/>
      <c r="AC2882" s="12"/>
      <c r="AD2882" s="12"/>
    </row>
    <row r="2883" spans="1:30" ht="15.75" thickBot="1" x14ac:dyDescent="0.3">
      <c r="A2883" s="12"/>
      <c r="B2883" s="12"/>
      <c r="C2883" s="12"/>
      <c r="D2883" s="3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2"/>
      <c r="W2883" s="12"/>
      <c r="X2883" s="12"/>
      <c r="Y2883" s="12"/>
      <c r="Z2883" s="12"/>
      <c r="AA2883" s="12"/>
      <c r="AB2883" s="12"/>
      <c r="AC2883" s="12"/>
      <c r="AD2883" s="12"/>
    </row>
    <row r="2884" spans="1:30" ht="15.75" thickBot="1" x14ac:dyDescent="0.3">
      <c r="A2884" s="12"/>
      <c r="B2884" s="12"/>
      <c r="C2884" s="12"/>
      <c r="D2884" s="3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2"/>
      <c r="W2884" s="12"/>
      <c r="X2884" s="12"/>
      <c r="Y2884" s="12"/>
      <c r="Z2884" s="12"/>
      <c r="AA2884" s="12"/>
      <c r="AB2884" s="12"/>
      <c r="AC2884" s="12"/>
      <c r="AD2884" s="12"/>
    </row>
    <row r="2885" spans="1:30" ht="15.75" thickBot="1" x14ac:dyDescent="0.3">
      <c r="A2885" s="12"/>
      <c r="B2885" s="12"/>
      <c r="C2885" s="12"/>
      <c r="D2885" s="3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2"/>
      <c r="W2885" s="12"/>
      <c r="X2885" s="12"/>
      <c r="Y2885" s="12"/>
      <c r="Z2885" s="12"/>
      <c r="AA2885" s="12"/>
      <c r="AB2885" s="12"/>
      <c r="AC2885" s="12"/>
      <c r="AD2885" s="12"/>
    </row>
    <row r="2886" spans="1:30" ht="15.75" thickBot="1" x14ac:dyDescent="0.3">
      <c r="A2886" s="12"/>
      <c r="B2886" s="12"/>
      <c r="C2886" s="12"/>
      <c r="D2886" s="3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2"/>
      <c r="W2886" s="12"/>
      <c r="X2886" s="12"/>
      <c r="Y2886" s="12"/>
      <c r="Z2886" s="12"/>
      <c r="AA2886" s="12"/>
      <c r="AB2886" s="12"/>
      <c r="AC2886" s="12"/>
      <c r="AD2886" s="12"/>
    </row>
    <row r="2887" spans="1:30" ht="15.75" thickBot="1" x14ac:dyDescent="0.3">
      <c r="A2887" s="12"/>
      <c r="B2887" s="12"/>
      <c r="C2887" s="12"/>
      <c r="D2887" s="3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2"/>
      <c r="W2887" s="12"/>
      <c r="X2887" s="12"/>
      <c r="Y2887" s="12"/>
      <c r="Z2887" s="12"/>
      <c r="AA2887" s="12"/>
      <c r="AB2887" s="12"/>
      <c r="AC2887" s="12"/>
      <c r="AD2887" s="12"/>
    </row>
    <row r="2888" spans="1:30" ht="15.75" thickBot="1" x14ac:dyDescent="0.3">
      <c r="A2888" s="12"/>
      <c r="B2888" s="12"/>
      <c r="C2888" s="12"/>
      <c r="D2888" s="3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2"/>
      <c r="W2888" s="12"/>
      <c r="X2888" s="12"/>
      <c r="Y2888" s="12"/>
      <c r="Z2888" s="12"/>
      <c r="AA2888" s="12"/>
      <c r="AB2888" s="12"/>
      <c r="AC2888" s="12"/>
      <c r="AD2888" s="12"/>
    </row>
    <row r="2889" spans="1:30" ht="15.75" thickBot="1" x14ac:dyDescent="0.3">
      <c r="A2889" s="12"/>
      <c r="B2889" s="12"/>
      <c r="C2889" s="12"/>
      <c r="D2889" s="3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2"/>
      <c r="W2889" s="12"/>
      <c r="X2889" s="12"/>
      <c r="Y2889" s="12"/>
      <c r="Z2889" s="12"/>
      <c r="AA2889" s="12"/>
      <c r="AB2889" s="12"/>
      <c r="AC2889" s="12"/>
      <c r="AD2889" s="12"/>
    </row>
    <row r="2890" spans="1:30" ht="15.75" thickBot="1" x14ac:dyDescent="0.3">
      <c r="A2890" s="12"/>
      <c r="B2890" s="12"/>
      <c r="C2890" s="12"/>
      <c r="D2890" s="3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2"/>
      <c r="W2890" s="12"/>
      <c r="X2890" s="12"/>
      <c r="Y2890" s="12"/>
      <c r="Z2890" s="12"/>
      <c r="AA2890" s="12"/>
      <c r="AB2890" s="12"/>
      <c r="AC2890" s="12"/>
      <c r="AD2890" s="12"/>
    </row>
    <row r="2891" spans="1:30" ht="15.75" thickBot="1" x14ac:dyDescent="0.3">
      <c r="A2891" s="12"/>
      <c r="B2891" s="12"/>
      <c r="C2891" s="12"/>
      <c r="D2891" s="3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2"/>
      <c r="W2891" s="12"/>
      <c r="X2891" s="12"/>
      <c r="Y2891" s="12"/>
      <c r="Z2891" s="12"/>
      <c r="AA2891" s="12"/>
      <c r="AB2891" s="12"/>
      <c r="AC2891" s="12"/>
      <c r="AD2891" s="12"/>
    </row>
    <row r="2892" spans="1:30" ht="15.75" thickBot="1" x14ac:dyDescent="0.3">
      <c r="A2892" s="12"/>
      <c r="B2892" s="12"/>
      <c r="C2892" s="12"/>
      <c r="D2892" s="3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2"/>
      <c r="W2892" s="12"/>
      <c r="X2892" s="12"/>
      <c r="Y2892" s="12"/>
      <c r="Z2892" s="12"/>
      <c r="AA2892" s="12"/>
      <c r="AB2892" s="12"/>
      <c r="AC2892" s="12"/>
      <c r="AD2892" s="12"/>
    </row>
    <row r="2893" spans="1:30" ht="15.75" thickBot="1" x14ac:dyDescent="0.3">
      <c r="A2893" s="12"/>
      <c r="B2893" s="12"/>
      <c r="C2893" s="12"/>
      <c r="D2893" s="3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2"/>
      <c r="W2893" s="12"/>
      <c r="X2893" s="12"/>
      <c r="Y2893" s="12"/>
      <c r="Z2893" s="12"/>
      <c r="AA2893" s="12"/>
      <c r="AB2893" s="12"/>
      <c r="AC2893" s="12"/>
      <c r="AD2893" s="12"/>
    </row>
    <row r="2894" spans="1:30" ht="15.75" thickBot="1" x14ac:dyDescent="0.3">
      <c r="A2894" s="12"/>
      <c r="B2894" s="12"/>
      <c r="C2894" s="12"/>
      <c r="D2894" s="3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2"/>
      <c r="W2894" s="12"/>
      <c r="X2894" s="12"/>
      <c r="Y2894" s="12"/>
      <c r="Z2894" s="12"/>
      <c r="AA2894" s="12"/>
      <c r="AB2894" s="12"/>
      <c r="AC2894" s="12"/>
      <c r="AD2894" s="12"/>
    </row>
    <row r="2895" spans="1:30" ht="15.75" thickBot="1" x14ac:dyDescent="0.3">
      <c r="A2895" s="12"/>
      <c r="B2895" s="12"/>
      <c r="C2895" s="12"/>
      <c r="D2895" s="3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2"/>
      <c r="W2895" s="12"/>
      <c r="X2895" s="12"/>
      <c r="Y2895" s="12"/>
      <c r="Z2895" s="12"/>
      <c r="AA2895" s="12"/>
      <c r="AB2895" s="12"/>
      <c r="AC2895" s="12"/>
      <c r="AD2895" s="12"/>
    </row>
    <row r="2896" spans="1:30" ht="15.75" thickBot="1" x14ac:dyDescent="0.3">
      <c r="A2896" s="12"/>
      <c r="B2896" s="12"/>
      <c r="C2896" s="12"/>
      <c r="D2896" s="3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2"/>
      <c r="W2896" s="12"/>
      <c r="X2896" s="12"/>
      <c r="Y2896" s="12"/>
      <c r="Z2896" s="12"/>
      <c r="AA2896" s="12"/>
      <c r="AB2896" s="12"/>
      <c r="AC2896" s="12"/>
      <c r="AD2896" s="12"/>
    </row>
    <row r="2897" spans="1:30" ht="15.75" thickBot="1" x14ac:dyDescent="0.3">
      <c r="A2897" s="12"/>
      <c r="B2897" s="12"/>
      <c r="C2897" s="12"/>
      <c r="D2897" s="3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2"/>
      <c r="W2897" s="12"/>
      <c r="X2897" s="12"/>
      <c r="Y2897" s="12"/>
      <c r="Z2897" s="12"/>
      <c r="AA2897" s="12"/>
      <c r="AB2897" s="12"/>
      <c r="AC2897" s="12"/>
      <c r="AD2897" s="12"/>
    </row>
    <row r="2898" spans="1:30" ht="15.75" thickBot="1" x14ac:dyDescent="0.3">
      <c r="A2898" s="12"/>
      <c r="B2898" s="12"/>
      <c r="C2898" s="12"/>
      <c r="D2898" s="3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2"/>
      <c r="W2898" s="12"/>
      <c r="X2898" s="12"/>
      <c r="Y2898" s="12"/>
      <c r="Z2898" s="12"/>
      <c r="AA2898" s="12"/>
      <c r="AB2898" s="12"/>
      <c r="AC2898" s="12"/>
      <c r="AD2898" s="12"/>
    </row>
    <row r="2899" spans="1:30" ht="15.75" thickBot="1" x14ac:dyDescent="0.3">
      <c r="A2899" s="12"/>
      <c r="B2899" s="12"/>
      <c r="C2899" s="12"/>
      <c r="D2899" s="3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2"/>
      <c r="W2899" s="12"/>
      <c r="X2899" s="12"/>
      <c r="Y2899" s="12"/>
      <c r="Z2899" s="12"/>
      <c r="AA2899" s="12"/>
      <c r="AB2899" s="12"/>
      <c r="AC2899" s="12"/>
      <c r="AD2899" s="12"/>
    </row>
    <row r="2900" spans="1:30" ht="15.75" thickBot="1" x14ac:dyDescent="0.3">
      <c r="A2900" s="12"/>
      <c r="B2900" s="12"/>
      <c r="C2900" s="12"/>
      <c r="D2900" s="3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2"/>
      <c r="W2900" s="12"/>
      <c r="X2900" s="12"/>
      <c r="Y2900" s="12"/>
      <c r="Z2900" s="12"/>
      <c r="AA2900" s="12"/>
      <c r="AB2900" s="12"/>
      <c r="AC2900" s="12"/>
      <c r="AD2900" s="12"/>
    </row>
    <row r="2901" spans="1:30" ht="15.75" thickBot="1" x14ac:dyDescent="0.3">
      <c r="A2901" s="12"/>
      <c r="B2901" s="12"/>
      <c r="C2901" s="12"/>
      <c r="D2901" s="3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2"/>
      <c r="W2901" s="12"/>
      <c r="X2901" s="12"/>
      <c r="Y2901" s="12"/>
      <c r="Z2901" s="12"/>
      <c r="AA2901" s="12"/>
      <c r="AB2901" s="12"/>
      <c r="AC2901" s="12"/>
      <c r="AD2901" s="12"/>
    </row>
    <row r="2902" spans="1:30" ht="15.75" thickBot="1" x14ac:dyDescent="0.3">
      <c r="A2902" s="12"/>
      <c r="B2902" s="12"/>
      <c r="C2902" s="12"/>
      <c r="D2902" s="3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2"/>
      <c r="W2902" s="12"/>
      <c r="X2902" s="12"/>
      <c r="Y2902" s="12"/>
      <c r="Z2902" s="12"/>
      <c r="AA2902" s="12"/>
      <c r="AB2902" s="12"/>
      <c r="AC2902" s="12"/>
      <c r="AD2902" s="12"/>
    </row>
    <row r="2903" spans="1:30" ht="15.75" thickBot="1" x14ac:dyDescent="0.3">
      <c r="A2903" s="12"/>
      <c r="B2903" s="12"/>
      <c r="C2903" s="12"/>
      <c r="D2903" s="3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2"/>
      <c r="W2903" s="12"/>
      <c r="X2903" s="12"/>
      <c r="Y2903" s="12"/>
      <c r="Z2903" s="12"/>
      <c r="AA2903" s="12"/>
      <c r="AB2903" s="12"/>
      <c r="AC2903" s="12"/>
      <c r="AD2903" s="12"/>
    </row>
    <row r="2904" spans="1:30" ht="15.75" thickBot="1" x14ac:dyDescent="0.3">
      <c r="A2904" s="12"/>
      <c r="B2904" s="12"/>
      <c r="C2904" s="12"/>
      <c r="D2904" s="3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2"/>
      <c r="W2904" s="12"/>
      <c r="X2904" s="12"/>
      <c r="Y2904" s="12"/>
      <c r="Z2904" s="12"/>
      <c r="AA2904" s="12"/>
      <c r="AB2904" s="12"/>
      <c r="AC2904" s="12"/>
      <c r="AD2904" s="12"/>
    </row>
    <row r="2905" spans="1:30" ht="15.75" thickBot="1" x14ac:dyDescent="0.3">
      <c r="A2905" s="12"/>
      <c r="B2905" s="12"/>
      <c r="C2905" s="12"/>
      <c r="D2905" s="3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2"/>
      <c r="W2905" s="12"/>
      <c r="X2905" s="12"/>
      <c r="Y2905" s="12"/>
      <c r="Z2905" s="12"/>
      <c r="AA2905" s="12"/>
      <c r="AB2905" s="12"/>
      <c r="AC2905" s="12"/>
      <c r="AD2905" s="12"/>
    </row>
    <row r="2906" spans="1:30" ht="15.75" thickBot="1" x14ac:dyDescent="0.3">
      <c r="A2906" s="12"/>
      <c r="B2906" s="12"/>
      <c r="C2906" s="12"/>
      <c r="D2906" s="3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2"/>
      <c r="W2906" s="12"/>
      <c r="X2906" s="12"/>
      <c r="Y2906" s="12"/>
      <c r="Z2906" s="12"/>
      <c r="AA2906" s="12"/>
      <c r="AB2906" s="12"/>
      <c r="AC2906" s="12"/>
      <c r="AD2906" s="12"/>
    </row>
    <row r="2907" spans="1:30" ht="15.75" thickBot="1" x14ac:dyDescent="0.3">
      <c r="A2907" s="12"/>
      <c r="B2907" s="12"/>
      <c r="C2907" s="12"/>
      <c r="D2907" s="3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2"/>
      <c r="W2907" s="12"/>
      <c r="X2907" s="12"/>
      <c r="Y2907" s="12"/>
      <c r="Z2907" s="12"/>
      <c r="AA2907" s="12"/>
      <c r="AB2907" s="12"/>
      <c r="AC2907" s="12"/>
      <c r="AD2907" s="12"/>
    </row>
    <row r="2908" spans="1:30" ht="15.75" thickBot="1" x14ac:dyDescent="0.3">
      <c r="A2908" s="12"/>
      <c r="B2908" s="12"/>
      <c r="C2908" s="12"/>
      <c r="D2908" s="3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2"/>
      <c r="W2908" s="12"/>
      <c r="X2908" s="12"/>
      <c r="Y2908" s="12"/>
      <c r="Z2908" s="12"/>
      <c r="AA2908" s="12"/>
      <c r="AB2908" s="12"/>
      <c r="AC2908" s="12"/>
      <c r="AD2908" s="12"/>
    </row>
    <row r="2909" spans="1:30" ht="15.75" thickBot="1" x14ac:dyDescent="0.3">
      <c r="A2909" s="12"/>
      <c r="B2909" s="12"/>
      <c r="C2909" s="12"/>
      <c r="D2909" s="3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2"/>
      <c r="W2909" s="12"/>
      <c r="X2909" s="12"/>
      <c r="Y2909" s="12"/>
      <c r="Z2909" s="12"/>
      <c r="AA2909" s="12"/>
      <c r="AB2909" s="12"/>
      <c r="AC2909" s="12"/>
      <c r="AD2909" s="12"/>
    </row>
    <row r="2910" spans="1:30" ht="15.75" thickBot="1" x14ac:dyDescent="0.3">
      <c r="A2910" s="12"/>
      <c r="B2910" s="12"/>
      <c r="C2910" s="12"/>
      <c r="D2910" s="3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2"/>
      <c r="W2910" s="12"/>
      <c r="X2910" s="12"/>
      <c r="Y2910" s="12"/>
      <c r="Z2910" s="12"/>
      <c r="AA2910" s="12"/>
      <c r="AB2910" s="12"/>
      <c r="AC2910" s="12"/>
      <c r="AD2910" s="12"/>
    </row>
    <row r="2911" spans="1:30" ht="15.75" thickBot="1" x14ac:dyDescent="0.3">
      <c r="A2911" s="12"/>
      <c r="B2911" s="12"/>
      <c r="C2911" s="12"/>
      <c r="D2911" s="3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2"/>
      <c r="W2911" s="12"/>
      <c r="X2911" s="12"/>
      <c r="Y2911" s="12"/>
      <c r="Z2911" s="12"/>
      <c r="AA2911" s="12"/>
      <c r="AB2911" s="12"/>
      <c r="AC2911" s="12"/>
      <c r="AD2911" s="12"/>
    </row>
    <row r="2912" spans="1:30" ht="15.75" thickBot="1" x14ac:dyDescent="0.3">
      <c r="A2912" s="12"/>
      <c r="B2912" s="12"/>
      <c r="C2912" s="12"/>
      <c r="D2912" s="3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2"/>
      <c r="W2912" s="12"/>
      <c r="X2912" s="12"/>
      <c r="Y2912" s="12"/>
      <c r="Z2912" s="12"/>
      <c r="AA2912" s="12"/>
      <c r="AB2912" s="12"/>
      <c r="AC2912" s="12"/>
      <c r="AD2912" s="12"/>
    </row>
    <row r="2913" spans="1:30" ht="15.75" thickBot="1" x14ac:dyDescent="0.3">
      <c r="A2913" s="12"/>
      <c r="B2913" s="12"/>
      <c r="C2913" s="12"/>
      <c r="D2913" s="3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2"/>
      <c r="W2913" s="12"/>
      <c r="X2913" s="12"/>
      <c r="Y2913" s="12"/>
      <c r="Z2913" s="12"/>
      <c r="AA2913" s="12"/>
      <c r="AB2913" s="12"/>
      <c r="AC2913" s="12"/>
      <c r="AD2913" s="12"/>
    </row>
    <row r="2914" spans="1:30" ht="15.75" thickBot="1" x14ac:dyDescent="0.3">
      <c r="A2914" s="12"/>
      <c r="B2914" s="12"/>
      <c r="C2914" s="12"/>
      <c r="D2914" s="3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2"/>
      <c r="W2914" s="12"/>
      <c r="X2914" s="12"/>
      <c r="Y2914" s="12"/>
      <c r="Z2914" s="12"/>
      <c r="AA2914" s="12"/>
      <c r="AB2914" s="12"/>
      <c r="AC2914" s="12"/>
      <c r="AD2914" s="12"/>
    </row>
    <row r="2915" spans="1:30" ht="15.75" thickBot="1" x14ac:dyDescent="0.3">
      <c r="A2915" s="12"/>
      <c r="B2915" s="12"/>
      <c r="C2915" s="12"/>
      <c r="D2915" s="3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2"/>
      <c r="W2915" s="12"/>
      <c r="X2915" s="12"/>
      <c r="Y2915" s="12"/>
      <c r="Z2915" s="12"/>
      <c r="AA2915" s="12"/>
      <c r="AB2915" s="12"/>
      <c r="AC2915" s="12"/>
      <c r="AD2915" s="12"/>
    </row>
    <row r="2916" spans="1:30" ht="15.75" thickBot="1" x14ac:dyDescent="0.3">
      <c r="A2916" s="12"/>
      <c r="B2916" s="12"/>
      <c r="C2916" s="12"/>
      <c r="D2916" s="3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2"/>
      <c r="W2916" s="12"/>
      <c r="X2916" s="12"/>
      <c r="Y2916" s="12"/>
      <c r="Z2916" s="12"/>
      <c r="AA2916" s="12"/>
      <c r="AB2916" s="12"/>
      <c r="AC2916" s="12"/>
      <c r="AD2916" s="12"/>
    </row>
    <row r="2917" spans="1:30" ht="15.75" thickBot="1" x14ac:dyDescent="0.3">
      <c r="A2917" s="12"/>
      <c r="B2917" s="12"/>
      <c r="C2917" s="12"/>
      <c r="D2917" s="3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2"/>
      <c r="W2917" s="12"/>
      <c r="X2917" s="12"/>
      <c r="Y2917" s="12"/>
      <c r="Z2917" s="12"/>
      <c r="AA2917" s="12"/>
      <c r="AB2917" s="12"/>
      <c r="AC2917" s="12"/>
      <c r="AD2917" s="12"/>
    </row>
    <row r="2918" spans="1:30" ht="15.75" thickBot="1" x14ac:dyDescent="0.3">
      <c r="A2918" s="12"/>
      <c r="B2918" s="12"/>
      <c r="C2918" s="12"/>
      <c r="D2918" s="3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2"/>
      <c r="W2918" s="12"/>
      <c r="X2918" s="12"/>
      <c r="Y2918" s="12"/>
      <c r="Z2918" s="12"/>
      <c r="AA2918" s="12"/>
      <c r="AB2918" s="12"/>
      <c r="AC2918" s="12"/>
      <c r="AD2918" s="12"/>
    </row>
    <row r="2919" spans="1:30" ht="15.75" thickBot="1" x14ac:dyDescent="0.3">
      <c r="A2919" s="12"/>
      <c r="B2919" s="12"/>
      <c r="C2919" s="12"/>
      <c r="D2919" s="3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2"/>
      <c r="W2919" s="12"/>
      <c r="X2919" s="12"/>
      <c r="Y2919" s="12"/>
      <c r="Z2919" s="12"/>
      <c r="AA2919" s="12"/>
      <c r="AB2919" s="12"/>
      <c r="AC2919" s="12"/>
      <c r="AD2919" s="12"/>
    </row>
    <row r="2920" spans="1:30" ht="15.75" thickBot="1" x14ac:dyDescent="0.3">
      <c r="A2920" s="12"/>
      <c r="B2920" s="12"/>
      <c r="C2920" s="12"/>
      <c r="D2920" s="3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2"/>
      <c r="W2920" s="12"/>
      <c r="X2920" s="12"/>
      <c r="Y2920" s="12"/>
      <c r="Z2920" s="12"/>
      <c r="AA2920" s="12"/>
      <c r="AB2920" s="12"/>
      <c r="AC2920" s="12"/>
      <c r="AD2920" s="12"/>
    </row>
    <row r="2921" spans="1:30" ht="15.75" thickBot="1" x14ac:dyDescent="0.3">
      <c r="A2921" s="12"/>
      <c r="B2921" s="12"/>
      <c r="C2921" s="12"/>
      <c r="D2921" s="3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2"/>
      <c r="W2921" s="12"/>
      <c r="X2921" s="12"/>
      <c r="Y2921" s="12"/>
      <c r="Z2921" s="12"/>
      <c r="AA2921" s="12"/>
      <c r="AB2921" s="12"/>
      <c r="AC2921" s="12"/>
      <c r="AD2921" s="12"/>
    </row>
    <row r="2922" spans="1:30" ht="15.75" thickBot="1" x14ac:dyDescent="0.3">
      <c r="A2922" s="12"/>
      <c r="B2922" s="12"/>
      <c r="C2922" s="12"/>
      <c r="D2922" s="3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2"/>
      <c r="W2922" s="12"/>
      <c r="X2922" s="12"/>
      <c r="Y2922" s="12"/>
      <c r="Z2922" s="12"/>
      <c r="AA2922" s="12"/>
      <c r="AB2922" s="12"/>
      <c r="AC2922" s="12"/>
      <c r="AD2922" s="12"/>
    </row>
    <row r="2923" spans="1:30" ht="15.75" thickBot="1" x14ac:dyDescent="0.3">
      <c r="A2923" s="12"/>
      <c r="B2923" s="12"/>
      <c r="C2923" s="12"/>
      <c r="D2923" s="3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2"/>
      <c r="W2923" s="12"/>
      <c r="X2923" s="12"/>
      <c r="Y2923" s="12"/>
      <c r="Z2923" s="12"/>
      <c r="AA2923" s="12"/>
      <c r="AB2923" s="12"/>
      <c r="AC2923" s="12"/>
      <c r="AD2923" s="12"/>
    </row>
    <row r="2924" spans="1:30" ht="15.75" thickBot="1" x14ac:dyDescent="0.3">
      <c r="A2924" s="12"/>
      <c r="B2924" s="12"/>
      <c r="C2924" s="12"/>
      <c r="D2924" s="3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2"/>
      <c r="W2924" s="12"/>
      <c r="X2924" s="12"/>
      <c r="Y2924" s="12"/>
      <c r="Z2924" s="12"/>
      <c r="AA2924" s="12"/>
      <c r="AB2924" s="12"/>
      <c r="AC2924" s="12"/>
      <c r="AD2924" s="12"/>
    </row>
    <row r="2925" spans="1:30" ht="15.75" thickBot="1" x14ac:dyDescent="0.3">
      <c r="A2925" s="12"/>
      <c r="B2925" s="12"/>
      <c r="C2925" s="12"/>
      <c r="D2925" s="3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2"/>
      <c r="W2925" s="12"/>
      <c r="X2925" s="12"/>
      <c r="Y2925" s="12"/>
      <c r="Z2925" s="12"/>
      <c r="AA2925" s="12"/>
      <c r="AB2925" s="12"/>
      <c r="AC2925" s="12"/>
      <c r="AD2925" s="12"/>
    </row>
    <row r="2926" spans="1:30" ht="15.75" thickBot="1" x14ac:dyDescent="0.3">
      <c r="A2926" s="12"/>
      <c r="B2926" s="12"/>
      <c r="C2926" s="12"/>
      <c r="D2926" s="3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2"/>
      <c r="W2926" s="12"/>
      <c r="X2926" s="12"/>
      <c r="Y2926" s="12"/>
      <c r="Z2926" s="12"/>
      <c r="AA2926" s="12"/>
      <c r="AB2926" s="12"/>
      <c r="AC2926" s="12"/>
      <c r="AD2926" s="12"/>
    </row>
    <row r="2927" spans="1:30" ht="15.75" thickBot="1" x14ac:dyDescent="0.3">
      <c r="A2927" s="12"/>
      <c r="B2927" s="12"/>
      <c r="C2927" s="12"/>
      <c r="D2927" s="3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2"/>
      <c r="W2927" s="12"/>
      <c r="X2927" s="12"/>
      <c r="Y2927" s="12"/>
      <c r="Z2927" s="12"/>
      <c r="AA2927" s="12"/>
      <c r="AB2927" s="12"/>
      <c r="AC2927" s="12"/>
      <c r="AD2927" s="12"/>
    </row>
    <row r="2928" spans="1:30" ht="15.75" thickBot="1" x14ac:dyDescent="0.3">
      <c r="A2928" s="12"/>
      <c r="B2928" s="12"/>
      <c r="C2928" s="12"/>
      <c r="D2928" s="3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2"/>
      <c r="W2928" s="12"/>
      <c r="X2928" s="12"/>
      <c r="Y2928" s="12"/>
      <c r="Z2928" s="12"/>
      <c r="AA2928" s="12"/>
      <c r="AB2928" s="12"/>
      <c r="AC2928" s="12"/>
      <c r="AD2928" s="12"/>
    </row>
    <row r="2929" spans="1:30" ht="15.75" thickBot="1" x14ac:dyDescent="0.3">
      <c r="A2929" s="12"/>
      <c r="B2929" s="12"/>
      <c r="C2929" s="12"/>
      <c r="D2929" s="3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2"/>
      <c r="W2929" s="12"/>
      <c r="X2929" s="12"/>
      <c r="Y2929" s="12"/>
      <c r="Z2929" s="12"/>
      <c r="AA2929" s="12"/>
      <c r="AB2929" s="12"/>
      <c r="AC2929" s="12"/>
      <c r="AD2929" s="12"/>
    </row>
    <row r="2930" spans="1:30" ht="15.75" thickBot="1" x14ac:dyDescent="0.3">
      <c r="A2930" s="12"/>
      <c r="B2930" s="12"/>
      <c r="C2930" s="12"/>
      <c r="D2930" s="3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2"/>
      <c r="W2930" s="12"/>
      <c r="X2930" s="12"/>
      <c r="Y2930" s="12"/>
      <c r="Z2930" s="12"/>
      <c r="AA2930" s="12"/>
      <c r="AB2930" s="12"/>
      <c r="AC2930" s="12"/>
      <c r="AD2930" s="12"/>
    </row>
    <row r="2931" spans="1:30" ht="15.75" thickBot="1" x14ac:dyDescent="0.3">
      <c r="A2931" s="12"/>
      <c r="B2931" s="12"/>
      <c r="C2931" s="12"/>
      <c r="D2931" s="3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2"/>
      <c r="W2931" s="12"/>
      <c r="X2931" s="12"/>
      <c r="Y2931" s="12"/>
      <c r="Z2931" s="12"/>
      <c r="AA2931" s="12"/>
      <c r="AB2931" s="12"/>
      <c r="AC2931" s="12"/>
      <c r="AD2931" s="12"/>
    </row>
    <row r="2932" spans="1:30" ht="15.75" thickBot="1" x14ac:dyDescent="0.3">
      <c r="A2932" s="12"/>
      <c r="B2932" s="12"/>
      <c r="C2932" s="12"/>
      <c r="D2932" s="3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2"/>
      <c r="W2932" s="12"/>
      <c r="X2932" s="12"/>
      <c r="Y2932" s="12"/>
      <c r="Z2932" s="12"/>
      <c r="AA2932" s="12"/>
      <c r="AB2932" s="12"/>
      <c r="AC2932" s="12"/>
      <c r="AD2932" s="12"/>
    </row>
    <row r="2933" spans="1:30" ht="15.75" thickBot="1" x14ac:dyDescent="0.3">
      <c r="A2933" s="12"/>
      <c r="B2933" s="12"/>
      <c r="C2933" s="12"/>
      <c r="D2933" s="3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2"/>
      <c r="W2933" s="12"/>
      <c r="X2933" s="12"/>
      <c r="Y2933" s="12"/>
      <c r="Z2933" s="12"/>
      <c r="AA2933" s="12"/>
      <c r="AB2933" s="12"/>
      <c r="AC2933" s="12"/>
      <c r="AD2933" s="12"/>
    </row>
    <row r="2934" spans="1:30" ht="15.75" thickBot="1" x14ac:dyDescent="0.3">
      <c r="A2934" s="12"/>
      <c r="B2934" s="12"/>
      <c r="C2934" s="12"/>
      <c r="D2934" s="3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2"/>
      <c r="W2934" s="12"/>
      <c r="X2934" s="12"/>
      <c r="Y2934" s="12"/>
      <c r="Z2934" s="12"/>
      <c r="AA2934" s="12"/>
      <c r="AB2934" s="12"/>
      <c r="AC2934" s="12"/>
      <c r="AD2934" s="12"/>
    </row>
    <row r="2935" spans="1:30" ht="15.75" thickBot="1" x14ac:dyDescent="0.3">
      <c r="A2935" s="12"/>
      <c r="B2935" s="12"/>
      <c r="C2935" s="12"/>
      <c r="D2935" s="3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2"/>
      <c r="W2935" s="12"/>
      <c r="X2935" s="12"/>
      <c r="Y2935" s="12"/>
      <c r="Z2935" s="12"/>
      <c r="AA2935" s="12"/>
      <c r="AB2935" s="12"/>
      <c r="AC2935" s="12"/>
      <c r="AD2935" s="12"/>
    </row>
    <row r="2936" spans="1:30" ht="15.75" thickBot="1" x14ac:dyDescent="0.3">
      <c r="A2936" s="12"/>
      <c r="B2936" s="12"/>
      <c r="C2936" s="12"/>
      <c r="D2936" s="3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2"/>
      <c r="W2936" s="12"/>
      <c r="X2936" s="12"/>
      <c r="Y2936" s="12"/>
      <c r="Z2936" s="12"/>
      <c r="AA2936" s="12"/>
      <c r="AB2936" s="12"/>
      <c r="AC2936" s="12"/>
      <c r="AD2936" s="12"/>
    </row>
    <row r="2937" spans="1:30" ht="15.75" thickBot="1" x14ac:dyDescent="0.3">
      <c r="A2937" s="12"/>
      <c r="B2937" s="12"/>
      <c r="C2937" s="12"/>
      <c r="D2937" s="3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2"/>
      <c r="W2937" s="12"/>
      <c r="X2937" s="12"/>
      <c r="Y2937" s="12"/>
      <c r="Z2937" s="12"/>
      <c r="AA2937" s="12"/>
      <c r="AB2937" s="12"/>
      <c r="AC2937" s="12"/>
      <c r="AD2937" s="12"/>
    </row>
    <row r="2938" spans="1:30" ht="15.75" thickBot="1" x14ac:dyDescent="0.3">
      <c r="A2938" s="12"/>
      <c r="B2938" s="12"/>
      <c r="C2938" s="12"/>
      <c r="D2938" s="3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2"/>
      <c r="W2938" s="12"/>
      <c r="X2938" s="12"/>
      <c r="Y2938" s="12"/>
      <c r="Z2938" s="12"/>
      <c r="AA2938" s="12"/>
      <c r="AB2938" s="12"/>
      <c r="AC2938" s="12"/>
      <c r="AD2938" s="12"/>
    </row>
    <row r="2939" spans="1:30" ht="15.75" thickBot="1" x14ac:dyDescent="0.3">
      <c r="A2939" s="12"/>
      <c r="B2939" s="12"/>
      <c r="C2939" s="12"/>
      <c r="D2939" s="3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2"/>
      <c r="W2939" s="12"/>
      <c r="X2939" s="12"/>
      <c r="Y2939" s="12"/>
      <c r="Z2939" s="12"/>
      <c r="AA2939" s="12"/>
      <c r="AB2939" s="12"/>
      <c r="AC2939" s="12"/>
      <c r="AD2939" s="12"/>
    </row>
    <row r="2940" spans="1:30" ht="15.75" thickBot="1" x14ac:dyDescent="0.3">
      <c r="A2940" s="12"/>
      <c r="B2940" s="12"/>
      <c r="C2940" s="12"/>
      <c r="D2940" s="3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2"/>
      <c r="W2940" s="12"/>
      <c r="X2940" s="12"/>
      <c r="Y2940" s="12"/>
      <c r="Z2940" s="12"/>
      <c r="AA2940" s="12"/>
      <c r="AB2940" s="12"/>
      <c r="AC2940" s="12"/>
      <c r="AD2940" s="12"/>
    </row>
    <row r="2941" spans="1:30" ht="15.75" thickBot="1" x14ac:dyDescent="0.3">
      <c r="A2941" s="12"/>
      <c r="B2941" s="12"/>
      <c r="C2941" s="12"/>
      <c r="D2941" s="3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2"/>
      <c r="W2941" s="12"/>
      <c r="X2941" s="12"/>
      <c r="Y2941" s="12"/>
      <c r="Z2941" s="12"/>
      <c r="AA2941" s="12"/>
      <c r="AB2941" s="12"/>
      <c r="AC2941" s="12"/>
      <c r="AD2941" s="12"/>
    </row>
    <row r="2942" spans="1:30" ht="15.75" thickBot="1" x14ac:dyDescent="0.3">
      <c r="A2942" s="12"/>
      <c r="B2942" s="12"/>
      <c r="C2942" s="12"/>
      <c r="D2942" s="3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2"/>
      <c r="W2942" s="12"/>
      <c r="X2942" s="12"/>
      <c r="Y2942" s="12"/>
      <c r="Z2942" s="12"/>
      <c r="AA2942" s="12"/>
      <c r="AB2942" s="12"/>
      <c r="AC2942" s="12"/>
      <c r="AD2942" s="12"/>
    </row>
    <row r="2943" spans="1:30" ht="15.75" thickBot="1" x14ac:dyDescent="0.3">
      <c r="A2943" s="12"/>
      <c r="B2943" s="12"/>
      <c r="C2943" s="12"/>
      <c r="D2943" s="3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2"/>
      <c r="W2943" s="12"/>
      <c r="X2943" s="12"/>
      <c r="Y2943" s="12"/>
      <c r="Z2943" s="12"/>
      <c r="AA2943" s="12"/>
      <c r="AB2943" s="12"/>
      <c r="AC2943" s="12"/>
      <c r="AD2943" s="12"/>
    </row>
    <row r="2944" spans="1:30" ht="15.75" thickBot="1" x14ac:dyDescent="0.3">
      <c r="A2944" s="12"/>
      <c r="B2944" s="12"/>
      <c r="C2944" s="12"/>
      <c r="D2944" s="3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2"/>
      <c r="W2944" s="12"/>
      <c r="X2944" s="12"/>
      <c r="Y2944" s="12"/>
      <c r="Z2944" s="12"/>
      <c r="AA2944" s="12"/>
      <c r="AB2944" s="12"/>
      <c r="AC2944" s="12"/>
      <c r="AD2944" s="12"/>
    </row>
    <row r="2945" spans="1:30" ht="15.75" thickBot="1" x14ac:dyDescent="0.3">
      <c r="A2945" s="12"/>
      <c r="B2945" s="12"/>
      <c r="C2945" s="12"/>
      <c r="D2945" s="3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2"/>
      <c r="W2945" s="12"/>
      <c r="X2945" s="12"/>
      <c r="Y2945" s="12"/>
      <c r="Z2945" s="12"/>
      <c r="AA2945" s="12"/>
      <c r="AB2945" s="12"/>
      <c r="AC2945" s="12"/>
      <c r="AD2945" s="12"/>
    </row>
    <row r="2946" spans="1:30" ht="15.75" thickBot="1" x14ac:dyDescent="0.3">
      <c r="A2946" s="12"/>
      <c r="B2946" s="12"/>
      <c r="C2946" s="12"/>
      <c r="D2946" s="3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2"/>
      <c r="W2946" s="12"/>
      <c r="X2946" s="12"/>
      <c r="Y2946" s="12"/>
      <c r="Z2946" s="12"/>
      <c r="AA2946" s="12"/>
      <c r="AB2946" s="12"/>
      <c r="AC2946" s="12"/>
      <c r="AD2946" s="12"/>
    </row>
    <row r="2947" spans="1:30" ht="15.75" thickBot="1" x14ac:dyDescent="0.3">
      <c r="A2947" s="12"/>
      <c r="B2947" s="12"/>
      <c r="C2947" s="12"/>
      <c r="D2947" s="3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2"/>
      <c r="W2947" s="12"/>
      <c r="X2947" s="12"/>
      <c r="Y2947" s="12"/>
      <c r="Z2947" s="12"/>
      <c r="AA2947" s="12"/>
      <c r="AB2947" s="12"/>
      <c r="AC2947" s="12"/>
      <c r="AD2947" s="12"/>
    </row>
    <row r="2948" spans="1:30" ht="15.75" thickBot="1" x14ac:dyDescent="0.3">
      <c r="A2948" s="12"/>
      <c r="B2948" s="12"/>
      <c r="C2948" s="12"/>
      <c r="D2948" s="3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2"/>
      <c r="W2948" s="12"/>
      <c r="X2948" s="12"/>
      <c r="Y2948" s="12"/>
      <c r="Z2948" s="12"/>
      <c r="AA2948" s="12"/>
      <c r="AB2948" s="12"/>
      <c r="AC2948" s="12"/>
      <c r="AD2948" s="12"/>
    </row>
    <row r="2949" spans="1:30" ht="15.75" thickBot="1" x14ac:dyDescent="0.3">
      <c r="A2949" s="12"/>
      <c r="B2949" s="12"/>
      <c r="C2949" s="12"/>
      <c r="D2949" s="3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2"/>
      <c r="W2949" s="12"/>
      <c r="X2949" s="12"/>
      <c r="Y2949" s="12"/>
      <c r="Z2949" s="12"/>
      <c r="AA2949" s="12"/>
      <c r="AB2949" s="12"/>
      <c r="AC2949" s="12"/>
      <c r="AD2949" s="12"/>
    </row>
    <row r="2950" spans="1:30" ht="15.75" thickBot="1" x14ac:dyDescent="0.3">
      <c r="A2950" s="12"/>
      <c r="B2950" s="12"/>
      <c r="C2950" s="12"/>
      <c r="D2950" s="3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2"/>
      <c r="W2950" s="12"/>
      <c r="X2950" s="12"/>
      <c r="Y2950" s="12"/>
      <c r="Z2950" s="12"/>
      <c r="AA2950" s="12"/>
      <c r="AB2950" s="12"/>
      <c r="AC2950" s="12"/>
      <c r="AD2950" s="12"/>
    </row>
    <row r="2951" spans="1:30" ht="15.75" thickBot="1" x14ac:dyDescent="0.3">
      <c r="A2951" s="12"/>
      <c r="B2951" s="12"/>
      <c r="C2951" s="12"/>
      <c r="D2951" s="3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2"/>
      <c r="W2951" s="12"/>
      <c r="X2951" s="12"/>
      <c r="Y2951" s="12"/>
      <c r="Z2951" s="12"/>
      <c r="AA2951" s="12"/>
      <c r="AB2951" s="12"/>
      <c r="AC2951" s="12"/>
      <c r="AD2951" s="12"/>
    </row>
    <row r="2952" spans="1:30" ht="15.75" thickBot="1" x14ac:dyDescent="0.3">
      <c r="A2952" s="12"/>
      <c r="B2952" s="12"/>
      <c r="C2952" s="12"/>
      <c r="D2952" s="3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2"/>
      <c r="W2952" s="12"/>
      <c r="X2952" s="12"/>
      <c r="Y2952" s="12"/>
      <c r="Z2952" s="12"/>
      <c r="AA2952" s="12"/>
      <c r="AB2952" s="12"/>
      <c r="AC2952" s="12"/>
      <c r="AD2952" s="12"/>
    </row>
    <row r="2953" spans="1:30" ht="15.75" thickBot="1" x14ac:dyDescent="0.3">
      <c r="A2953" s="12"/>
      <c r="B2953" s="12"/>
      <c r="C2953" s="12"/>
      <c r="D2953" s="3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2"/>
      <c r="W2953" s="12"/>
      <c r="X2953" s="12"/>
      <c r="Y2953" s="12"/>
      <c r="Z2953" s="12"/>
      <c r="AA2953" s="12"/>
      <c r="AB2953" s="12"/>
      <c r="AC2953" s="12"/>
      <c r="AD2953" s="12"/>
    </row>
    <row r="2954" spans="1:30" ht="15.75" thickBot="1" x14ac:dyDescent="0.3">
      <c r="A2954" s="12"/>
      <c r="B2954" s="12"/>
      <c r="C2954" s="12"/>
      <c r="D2954" s="3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2"/>
      <c r="W2954" s="12"/>
      <c r="X2954" s="12"/>
      <c r="Y2954" s="12"/>
      <c r="Z2954" s="12"/>
      <c r="AA2954" s="12"/>
      <c r="AB2954" s="12"/>
      <c r="AC2954" s="12"/>
      <c r="AD2954" s="12"/>
    </row>
    <row r="2955" spans="1:30" ht="15.75" thickBot="1" x14ac:dyDescent="0.3">
      <c r="A2955" s="12"/>
      <c r="B2955" s="12"/>
      <c r="C2955" s="12"/>
      <c r="D2955" s="3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2"/>
      <c r="W2955" s="12"/>
      <c r="X2955" s="12"/>
      <c r="Y2955" s="12"/>
      <c r="Z2955" s="12"/>
      <c r="AA2955" s="12"/>
      <c r="AB2955" s="12"/>
      <c r="AC2955" s="12"/>
      <c r="AD2955" s="12"/>
    </row>
    <row r="2956" spans="1:30" ht="15.75" thickBot="1" x14ac:dyDescent="0.3">
      <c r="A2956" s="12"/>
      <c r="B2956" s="12"/>
      <c r="C2956" s="12"/>
      <c r="D2956" s="3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2"/>
      <c r="W2956" s="12"/>
      <c r="X2956" s="12"/>
      <c r="Y2956" s="12"/>
      <c r="Z2956" s="12"/>
      <c r="AA2956" s="12"/>
      <c r="AB2956" s="12"/>
      <c r="AC2956" s="12"/>
      <c r="AD2956" s="12"/>
    </row>
    <row r="2957" spans="1:30" ht="15.75" thickBot="1" x14ac:dyDescent="0.3">
      <c r="A2957" s="12"/>
      <c r="B2957" s="12"/>
      <c r="C2957" s="12"/>
      <c r="D2957" s="3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2"/>
      <c r="W2957" s="12"/>
      <c r="X2957" s="12"/>
      <c r="Y2957" s="12"/>
      <c r="Z2957" s="12"/>
      <c r="AA2957" s="12"/>
      <c r="AB2957" s="12"/>
      <c r="AC2957" s="12"/>
      <c r="AD2957" s="12"/>
    </row>
    <row r="2958" spans="1:30" ht="15.75" thickBot="1" x14ac:dyDescent="0.3">
      <c r="A2958" s="12"/>
      <c r="B2958" s="12"/>
      <c r="C2958" s="12"/>
      <c r="D2958" s="3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2"/>
      <c r="W2958" s="12"/>
      <c r="X2958" s="12"/>
      <c r="Y2958" s="12"/>
      <c r="Z2958" s="12"/>
      <c r="AA2958" s="12"/>
      <c r="AB2958" s="12"/>
      <c r="AC2958" s="12"/>
      <c r="AD2958" s="12"/>
    </row>
    <row r="2959" spans="1:30" ht="15.75" thickBot="1" x14ac:dyDescent="0.3">
      <c r="A2959" s="12"/>
      <c r="B2959" s="12"/>
      <c r="C2959" s="12"/>
      <c r="D2959" s="3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2"/>
      <c r="W2959" s="12"/>
      <c r="X2959" s="12"/>
      <c r="Y2959" s="12"/>
      <c r="Z2959" s="12"/>
      <c r="AA2959" s="12"/>
      <c r="AB2959" s="12"/>
      <c r="AC2959" s="12"/>
      <c r="AD2959" s="12"/>
    </row>
    <row r="2960" spans="1:30" ht="15.75" thickBot="1" x14ac:dyDescent="0.3">
      <c r="A2960" s="12"/>
      <c r="B2960" s="12"/>
      <c r="C2960" s="12"/>
      <c r="D2960" s="3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2"/>
      <c r="W2960" s="12"/>
      <c r="X2960" s="12"/>
      <c r="Y2960" s="12"/>
      <c r="Z2960" s="12"/>
      <c r="AA2960" s="12"/>
      <c r="AB2960" s="12"/>
      <c r="AC2960" s="12"/>
      <c r="AD2960" s="12"/>
    </row>
    <row r="2961" spans="1:30" ht="15.75" thickBot="1" x14ac:dyDescent="0.3">
      <c r="A2961" s="12"/>
      <c r="B2961" s="12"/>
      <c r="C2961" s="12"/>
      <c r="D2961" s="3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2"/>
      <c r="W2961" s="12"/>
      <c r="X2961" s="12"/>
      <c r="Y2961" s="12"/>
      <c r="Z2961" s="12"/>
      <c r="AA2961" s="12"/>
      <c r="AB2961" s="12"/>
      <c r="AC2961" s="12"/>
      <c r="AD2961" s="12"/>
    </row>
    <row r="2962" spans="1:30" ht="15.75" thickBot="1" x14ac:dyDescent="0.3">
      <c r="A2962" s="12"/>
      <c r="B2962" s="12"/>
      <c r="C2962" s="12"/>
      <c r="D2962" s="3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2"/>
      <c r="W2962" s="12"/>
      <c r="X2962" s="12"/>
      <c r="Y2962" s="12"/>
      <c r="Z2962" s="12"/>
      <c r="AA2962" s="12"/>
      <c r="AB2962" s="12"/>
      <c r="AC2962" s="12"/>
      <c r="AD2962" s="12"/>
    </row>
    <row r="2963" spans="1:30" ht="15.75" thickBot="1" x14ac:dyDescent="0.3">
      <c r="A2963" s="12"/>
      <c r="B2963" s="12"/>
      <c r="C2963" s="12"/>
      <c r="D2963" s="3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2"/>
      <c r="W2963" s="12"/>
      <c r="X2963" s="12"/>
      <c r="Y2963" s="12"/>
      <c r="Z2963" s="12"/>
      <c r="AA2963" s="12"/>
      <c r="AB2963" s="12"/>
      <c r="AC2963" s="12"/>
      <c r="AD2963" s="12"/>
    </row>
    <row r="2964" spans="1:30" ht="15.75" thickBot="1" x14ac:dyDescent="0.3">
      <c r="A2964" s="12"/>
      <c r="B2964" s="12"/>
      <c r="C2964" s="12"/>
      <c r="D2964" s="3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2"/>
      <c r="W2964" s="12"/>
      <c r="X2964" s="12"/>
      <c r="Y2964" s="12"/>
      <c r="Z2964" s="12"/>
      <c r="AA2964" s="12"/>
      <c r="AB2964" s="12"/>
      <c r="AC2964" s="12"/>
      <c r="AD2964" s="12"/>
    </row>
    <row r="2965" spans="1:30" ht="15.75" thickBot="1" x14ac:dyDescent="0.3">
      <c r="A2965" s="12"/>
      <c r="B2965" s="12"/>
      <c r="C2965" s="12"/>
      <c r="D2965" s="3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2"/>
      <c r="W2965" s="12"/>
      <c r="X2965" s="12"/>
      <c r="Y2965" s="12"/>
      <c r="Z2965" s="12"/>
      <c r="AA2965" s="12"/>
      <c r="AB2965" s="12"/>
      <c r="AC2965" s="12"/>
      <c r="AD2965" s="12"/>
    </row>
    <row r="2966" spans="1:30" ht="15.75" thickBot="1" x14ac:dyDescent="0.3">
      <c r="A2966" s="12"/>
      <c r="B2966" s="12"/>
      <c r="C2966" s="12"/>
      <c r="D2966" s="3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2"/>
      <c r="W2966" s="12"/>
      <c r="X2966" s="12"/>
      <c r="Y2966" s="12"/>
      <c r="Z2966" s="12"/>
      <c r="AA2966" s="12"/>
      <c r="AB2966" s="12"/>
      <c r="AC2966" s="12"/>
      <c r="AD2966" s="12"/>
    </row>
    <row r="2967" spans="1:30" ht="15.75" thickBot="1" x14ac:dyDescent="0.3">
      <c r="A2967" s="12"/>
      <c r="B2967" s="12"/>
      <c r="C2967" s="12"/>
      <c r="D2967" s="3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2"/>
      <c r="W2967" s="12"/>
      <c r="X2967" s="12"/>
      <c r="Y2967" s="12"/>
      <c r="Z2967" s="12"/>
      <c r="AA2967" s="12"/>
      <c r="AB2967" s="12"/>
      <c r="AC2967" s="12"/>
      <c r="AD2967" s="12"/>
    </row>
    <row r="2968" spans="1:30" ht="15.75" thickBot="1" x14ac:dyDescent="0.3">
      <c r="A2968" s="12"/>
      <c r="B2968" s="12"/>
      <c r="C2968" s="12"/>
      <c r="D2968" s="3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2"/>
      <c r="W2968" s="12"/>
      <c r="X2968" s="12"/>
      <c r="Y2968" s="12"/>
      <c r="Z2968" s="12"/>
      <c r="AA2968" s="12"/>
      <c r="AB2968" s="12"/>
      <c r="AC2968" s="12"/>
      <c r="AD2968" s="12"/>
    </row>
    <row r="2969" spans="1:30" ht="15.75" thickBot="1" x14ac:dyDescent="0.3">
      <c r="A2969" s="12"/>
      <c r="B2969" s="12"/>
      <c r="C2969" s="12"/>
      <c r="D2969" s="3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2"/>
      <c r="W2969" s="12"/>
      <c r="X2969" s="12"/>
      <c r="Y2969" s="12"/>
      <c r="Z2969" s="12"/>
      <c r="AA2969" s="12"/>
      <c r="AB2969" s="12"/>
      <c r="AC2969" s="12"/>
      <c r="AD2969" s="12"/>
    </row>
    <row r="2970" spans="1:30" ht="15.75" thickBot="1" x14ac:dyDescent="0.3">
      <c r="A2970" s="12"/>
      <c r="B2970" s="12"/>
      <c r="C2970" s="12"/>
      <c r="D2970" s="3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2"/>
      <c r="W2970" s="12"/>
      <c r="X2970" s="12"/>
      <c r="Y2970" s="12"/>
      <c r="Z2970" s="12"/>
      <c r="AA2970" s="12"/>
      <c r="AB2970" s="12"/>
      <c r="AC2970" s="12"/>
      <c r="AD2970" s="12"/>
    </row>
    <row r="2971" spans="1:30" ht="15.75" thickBot="1" x14ac:dyDescent="0.3">
      <c r="A2971" s="12"/>
      <c r="B2971" s="12"/>
      <c r="C2971" s="12"/>
      <c r="D2971" s="3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2"/>
      <c r="W2971" s="12"/>
      <c r="X2971" s="12"/>
      <c r="Y2971" s="12"/>
      <c r="Z2971" s="12"/>
      <c r="AA2971" s="12"/>
      <c r="AB2971" s="12"/>
      <c r="AC2971" s="12"/>
      <c r="AD2971" s="12"/>
    </row>
    <row r="2972" spans="1:30" ht="15.75" thickBot="1" x14ac:dyDescent="0.3">
      <c r="A2972" s="12"/>
      <c r="B2972" s="12"/>
      <c r="C2972" s="12"/>
      <c r="D2972" s="3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2"/>
      <c r="W2972" s="12"/>
      <c r="X2972" s="12"/>
      <c r="Y2972" s="12"/>
      <c r="Z2972" s="12"/>
      <c r="AA2972" s="12"/>
      <c r="AB2972" s="12"/>
      <c r="AC2972" s="12"/>
      <c r="AD2972" s="12"/>
    </row>
    <row r="2973" spans="1:30" ht="15.75" thickBot="1" x14ac:dyDescent="0.3">
      <c r="A2973" s="12"/>
      <c r="B2973" s="12"/>
      <c r="C2973" s="12"/>
      <c r="D2973" s="3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2"/>
      <c r="W2973" s="12"/>
      <c r="X2973" s="12"/>
      <c r="Y2973" s="12"/>
      <c r="Z2973" s="12"/>
      <c r="AA2973" s="12"/>
      <c r="AB2973" s="12"/>
      <c r="AC2973" s="12"/>
      <c r="AD2973" s="12"/>
    </row>
    <row r="2974" spans="1:30" ht="15.75" thickBot="1" x14ac:dyDescent="0.3">
      <c r="A2974" s="12"/>
      <c r="B2974" s="12"/>
      <c r="C2974" s="12"/>
      <c r="D2974" s="3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2"/>
      <c r="W2974" s="12"/>
      <c r="X2974" s="12"/>
      <c r="Y2974" s="12"/>
      <c r="Z2974" s="12"/>
      <c r="AA2974" s="12"/>
      <c r="AB2974" s="12"/>
      <c r="AC2974" s="12"/>
      <c r="AD2974" s="12"/>
    </row>
    <row r="2975" spans="1:30" ht="15.75" thickBot="1" x14ac:dyDescent="0.3">
      <c r="A2975" s="12"/>
      <c r="B2975" s="12"/>
      <c r="C2975" s="12"/>
      <c r="D2975" s="3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2"/>
      <c r="W2975" s="12"/>
      <c r="X2975" s="12"/>
      <c r="Y2975" s="12"/>
      <c r="Z2975" s="12"/>
      <c r="AA2975" s="12"/>
      <c r="AB2975" s="12"/>
      <c r="AC2975" s="12"/>
      <c r="AD2975" s="12"/>
    </row>
    <row r="2976" spans="1:30" ht="15.75" thickBot="1" x14ac:dyDescent="0.3">
      <c r="A2976" s="12"/>
      <c r="B2976" s="12"/>
      <c r="C2976" s="12"/>
      <c r="D2976" s="3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2"/>
      <c r="W2976" s="12"/>
      <c r="X2976" s="12"/>
      <c r="Y2976" s="12"/>
      <c r="Z2976" s="12"/>
      <c r="AA2976" s="12"/>
      <c r="AB2976" s="12"/>
      <c r="AC2976" s="12"/>
      <c r="AD2976" s="12"/>
    </row>
    <row r="2977" spans="1:30" ht="15.75" thickBot="1" x14ac:dyDescent="0.3">
      <c r="A2977" s="12"/>
      <c r="B2977" s="12"/>
      <c r="C2977" s="12"/>
      <c r="D2977" s="3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2"/>
      <c r="W2977" s="12"/>
      <c r="X2977" s="12"/>
      <c r="Y2977" s="12"/>
      <c r="Z2977" s="12"/>
      <c r="AA2977" s="12"/>
      <c r="AB2977" s="12"/>
      <c r="AC2977" s="12"/>
      <c r="AD2977" s="12"/>
    </row>
    <row r="2978" spans="1:30" ht="15.75" thickBot="1" x14ac:dyDescent="0.3">
      <c r="A2978" s="12"/>
      <c r="B2978" s="12"/>
      <c r="C2978" s="12"/>
      <c r="D2978" s="3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2"/>
      <c r="W2978" s="12"/>
      <c r="X2978" s="12"/>
      <c r="Y2978" s="12"/>
      <c r="Z2978" s="12"/>
      <c r="AA2978" s="12"/>
      <c r="AB2978" s="12"/>
      <c r="AC2978" s="12"/>
      <c r="AD2978" s="12"/>
    </row>
    <row r="2979" spans="1:30" ht="15.75" thickBot="1" x14ac:dyDescent="0.3">
      <c r="A2979" s="12"/>
      <c r="B2979" s="12"/>
      <c r="C2979" s="12"/>
      <c r="D2979" s="3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2"/>
      <c r="W2979" s="12"/>
      <c r="X2979" s="12"/>
      <c r="Y2979" s="12"/>
      <c r="Z2979" s="12"/>
      <c r="AA2979" s="12"/>
      <c r="AB2979" s="12"/>
      <c r="AC2979" s="12"/>
      <c r="AD2979" s="12"/>
    </row>
    <row r="2980" spans="1:30" ht="15.75" thickBot="1" x14ac:dyDescent="0.3">
      <c r="A2980" s="12"/>
      <c r="B2980" s="12"/>
      <c r="C2980" s="12"/>
      <c r="D2980" s="3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2"/>
      <c r="W2980" s="12"/>
      <c r="X2980" s="12"/>
      <c r="Y2980" s="12"/>
      <c r="Z2980" s="12"/>
      <c r="AA2980" s="12"/>
      <c r="AB2980" s="12"/>
      <c r="AC2980" s="12"/>
      <c r="AD2980" s="12"/>
    </row>
    <row r="2981" spans="1:30" ht="15.75" thickBot="1" x14ac:dyDescent="0.3">
      <c r="A2981" s="12"/>
      <c r="B2981" s="12"/>
      <c r="C2981" s="12"/>
      <c r="D2981" s="3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2"/>
      <c r="W2981" s="12"/>
      <c r="X2981" s="12"/>
      <c r="Y2981" s="12"/>
      <c r="Z2981" s="12"/>
      <c r="AA2981" s="12"/>
      <c r="AB2981" s="12"/>
      <c r="AC2981" s="12"/>
      <c r="AD2981" s="12"/>
    </row>
    <row r="2982" spans="1:30" ht="15.75" thickBot="1" x14ac:dyDescent="0.3">
      <c r="A2982" s="12"/>
      <c r="B2982" s="12"/>
      <c r="C2982" s="12"/>
      <c r="D2982" s="3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2"/>
      <c r="W2982" s="12"/>
      <c r="X2982" s="12"/>
      <c r="Y2982" s="12"/>
      <c r="Z2982" s="12"/>
      <c r="AA2982" s="12"/>
      <c r="AB2982" s="12"/>
      <c r="AC2982" s="12"/>
      <c r="AD2982" s="12"/>
    </row>
    <row r="2983" spans="1:30" ht="15.75" thickBot="1" x14ac:dyDescent="0.3">
      <c r="A2983" s="12"/>
      <c r="B2983" s="12"/>
      <c r="C2983" s="12"/>
      <c r="D2983" s="3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2"/>
      <c r="W2983" s="12"/>
      <c r="X2983" s="12"/>
      <c r="Y2983" s="12"/>
      <c r="Z2983" s="12"/>
      <c r="AA2983" s="12"/>
      <c r="AB2983" s="12"/>
      <c r="AC2983" s="12"/>
      <c r="AD2983" s="12"/>
    </row>
    <row r="2984" spans="1:30" ht="15.75" thickBot="1" x14ac:dyDescent="0.3">
      <c r="A2984" s="12"/>
      <c r="B2984" s="12"/>
      <c r="C2984" s="12"/>
      <c r="D2984" s="3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2"/>
      <c r="W2984" s="12"/>
      <c r="X2984" s="12"/>
      <c r="Y2984" s="12"/>
      <c r="Z2984" s="12"/>
      <c r="AA2984" s="12"/>
      <c r="AB2984" s="12"/>
      <c r="AC2984" s="12"/>
      <c r="AD2984" s="12"/>
    </row>
    <row r="2985" spans="1:30" ht="15.75" thickBot="1" x14ac:dyDescent="0.3">
      <c r="A2985" s="12"/>
      <c r="B2985" s="12"/>
      <c r="C2985" s="12"/>
      <c r="D2985" s="3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2"/>
      <c r="W2985" s="12"/>
      <c r="X2985" s="12"/>
      <c r="Y2985" s="12"/>
      <c r="Z2985" s="12"/>
      <c r="AA2985" s="12"/>
      <c r="AB2985" s="12"/>
      <c r="AC2985" s="12"/>
      <c r="AD2985" s="12"/>
    </row>
    <row r="2986" spans="1:30" ht="15.75" thickBot="1" x14ac:dyDescent="0.3">
      <c r="A2986" s="12"/>
      <c r="B2986" s="12"/>
      <c r="C2986" s="12"/>
      <c r="D2986" s="3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2"/>
      <c r="W2986" s="12"/>
      <c r="X2986" s="12"/>
      <c r="Y2986" s="12"/>
      <c r="Z2986" s="12"/>
      <c r="AA2986" s="12"/>
      <c r="AB2986" s="12"/>
      <c r="AC2986" s="12"/>
      <c r="AD2986" s="12"/>
    </row>
    <row r="2987" spans="1:30" ht="15.75" thickBot="1" x14ac:dyDescent="0.3">
      <c r="A2987" s="12"/>
      <c r="B2987" s="12"/>
      <c r="C2987" s="12"/>
      <c r="D2987" s="3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2"/>
      <c r="W2987" s="12"/>
      <c r="X2987" s="12"/>
      <c r="Y2987" s="12"/>
      <c r="Z2987" s="12"/>
      <c r="AA2987" s="12"/>
      <c r="AB2987" s="12"/>
      <c r="AC2987" s="12"/>
      <c r="AD2987" s="12"/>
    </row>
    <row r="2988" spans="1:30" ht="15.75" thickBot="1" x14ac:dyDescent="0.3">
      <c r="A2988" s="12"/>
      <c r="B2988" s="12"/>
      <c r="C2988" s="12"/>
      <c r="D2988" s="3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2"/>
      <c r="W2988" s="12"/>
      <c r="X2988" s="12"/>
      <c r="Y2988" s="12"/>
      <c r="Z2988" s="12"/>
      <c r="AA2988" s="12"/>
      <c r="AB2988" s="12"/>
      <c r="AC2988" s="12"/>
      <c r="AD2988" s="12"/>
    </row>
    <row r="2989" spans="1:30" ht="15.75" thickBot="1" x14ac:dyDescent="0.3">
      <c r="A2989" s="12"/>
      <c r="B2989" s="12"/>
      <c r="C2989" s="12"/>
      <c r="D2989" s="3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2"/>
      <c r="W2989" s="12"/>
      <c r="X2989" s="12"/>
      <c r="Y2989" s="12"/>
      <c r="Z2989" s="12"/>
      <c r="AA2989" s="12"/>
      <c r="AB2989" s="12"/>
      <c r="AC2989" s="12"/>
      <c r="AD2989" s="12"/>
    </row>
    <row r="2990" spans="1:30" ht="15.75" thickBot="1" x14ac:dyDescent="0.3">
      <c r="A2990" s="12"/>
      <c r="B2990" s="12"/>
      <c r="C2990" s="12"/>
      <c r="D2990" s="3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2"/>
      <c r="W2990" s="12"/>
      <c r="X2990" s="12"/>
      <c r="Y2990" s="12"/>
      <c r="Z2990" s="12"/>
      <c r="AA2990" s="12"/>
      <c r="AB2990" s="12"/>
      <c r="AC2990" s="12"/>
      <c r="AD2990" s="12"/>
    </row>
    <row r="2991" spans="1:30" ht="15.75" thickBot="1" x14ac:dyDescent="0.3">
      <c r="A2991" s="12"/>
      <c r="B2991" s="12"/>
      <c r="C2991" s="12"/>
      <c r="D2991" s="3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2"/>
      <c r="W2991" s="12"/>
      <c r="X2991" s="12"/>
      <c r="Y2991" s="12"/>
      <c r="Z2991" s="12"/>
      <c r="AA2991" s="12"/>
      <c r="AB2991" s="12"/>
      <c r="AC2991" s="12"/>
      <c r="AD2991" s="12"/>
    </row>
    <row r="2992" spans="1:30" ht="15.75" thickBot="1" x14ac:dyDescent="0.3">
      <c r="A2992" s="12"/>
      <c r="B2992" s="12"/>
      <c r="C2992" s="12"/>
      <c r="D2992" s="3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2"/>
      <c r="W2992" s="12"/>
      <c r="X2992" s="12"/>
      <c r="Y2992" s="12"/>
      <c r="Z2992" s="12"/>
      <c r="AA2992" s="12"/>
      <c r="AB2992" s="12"/>
      <c r="AC2992" s="12"/>
      <c r="AD2992" s="12"/>
    </row>
    <row r="2993" spans="1:30" ht="15.75" thickBot="1" x14ac:dyDescent="0.3">
      <c r="A2993" s="12"/>
      <c r="B2993" s="12"/>
      <c r="C2993" s="12"/>
      <c r="D2993" s="3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2"/>
      <c r="W2993" s="12"/>
      <c r="X2993" s="12"/>
      <c r="Y2993" s="12"/>
      <c r="Z2993" s="12"/>
      <c r="AA2993" s="12"/>
      <c r="AB2993" s="12"/>
      <c r="AC2993" s="12"/>
      <c r="AD2993" s="12"/>
    </row>
    <row r="2994" spans="1:30" ht="15.75" thickBot="1" x14ac:dyDescent="0.3">
      <c r="A2994" s="12"/>
      <c r="B2994" s="12"/>
      <c r="C2994" s="12"/>
      <c r="D2994" s="3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2"/>
      <c r="W2994" s="12"/>
      <c r="X2994" s="12"/>
      <c r="Y2994" s="12"/>
      <c r="Z2994" s="12"/>
      <c r="AA2994" s="12"/>
      <c r="AB2994" s="12"/>
      <c r="AC2994" s="12"/>
      <c r="AD2994" s="12"/>
    </row>
    <row r="2995" spans="1:30" ht="15.75" thickBot="1" x14ac:dyDescent="0.3">
      <c r="A2995" s="12"/>
      <c r="B2995" s="12"/>
      <c r="C2995" s="12"/>
      <c r="D2995" s="3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2"/>
      <c r="W2995" s="12"/>
      <c r="X2995" s="12"/>
      <c r="Y2995" s="12"/>
      <c r="Z2995" s="12"/>
      <c r="AA2995" s="12"/>
      <c r="AB2995" s="12"/>
      <c r="AC2995" s="12"/>
      <c r="AD2995" s="12"/>
    </row>
    <row r="2996" spans="1:30" ht="15.75" thickBot="1" x14ac:dyDescent="0.3">
      <c r="A2996" s="12"/>
      <c r="B2996" s="12"/>
      <c r="C2996" s="12"/>
      <c r="D2996" s="3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2"/>
      <c r="W2996" s="12"/>
      <c r="X2996" s="12"/>
      <c r="Y2996" s="12"/>
      <c r="Z2996" s="12"/>
      <c r="AA2996" s="12"/>
      <c r="AB2996" s="12"/>
      <c r="AC2996" s="12"/>
      <c r="AD2996" s="12"/>
    </row>
    <row r="2997" spans="1:30" ht="15.75" thickBot="1" x14ac:dyDescent="0.3">
      <c r="A2997" s="12"/>
      <c r="B2997" s="12"/>
      <c r="C2997" s="12"/>
      <c r="D2997" s="3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2"/>
      <c r="W2997" s="12"/>
      <c r="X2997" s="12"/>
      <c r="Y2997" s="12"/>
      <c r="Z2997" s="12"/>
      <c r="AA2997" s="12"/>
      <c r="AB2997" s="12"/>
      <c r="AC2997" s="12"/>
      <c r="AD2997" s="12"/>
    </row>
    <row r="2998" spans="1:30" ht="15.75" thickBot="1" x14ac:dyDescent="0.3">
      <c r="A2998" s="12"/>
      <c r="B2998" s="12"/>
      <c r="C2998" s="12"/>
      <c r="D2998" s="3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2"/>
      <c r="W2998" s="12"/>
      <c r="X2998" s="12"/>
      <c r="Y2998" s="12"/>
      <c r="Z2998" s="12"/>
      <c r="AA2998" s="12"/>
      <c r="AB2998" s="12"/>
      <c r="AC2998" s="12"/>
      <c r="AD2998" s="12"/>
    </row>
    <row r="2999" spans="1:30" ht="15.75" thickBot="1" x14ac:dyDescent="0.3">
      <c r="A2999" s="12"/>
      <c r="B2999" s="12"/>
      <c r="C2999" s="12"/>
      <c r="D2999" s="3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2"/>
      <c r="W2999" s="12"/>
      <c r="X2999" s="12"/>
      <c r="Y2999" s="12"/>
      <c r="Z2999" s="12"/>
      <c r="AA2999" s="12"/>
      <c r="AB2999" s="12"/>
      <c r="AC2999" s="12"/>
      <c r="AD2999" s="12"/>
    </row>
    <row r="3000" spans="1:30" ht="15.75" thickBot="1" x14ac:dyDescent="0.3">
      <c r="A3000" s="12"/>
      <c r="B3000" s="12"/>
      <c r="C3000" s="12"/>
      <c r="D3000" s="3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2"/>
      <c r="W3000" s="12"/>
      <c r="X3000" s="12"/>
      <c r="Y3000" s="12"/>
      <c r="Z3000" s="12"/>
      <c r="AA3000" s="12"/>
      <c r="AB3000" s="12"/>
      <c r="AC3000" s="12"/>
      <c r="AD3000" s="12"/>
    </row>
    <row r="3001" spans="1:30" ht="15.75" thickBot="1" x14ac:dyDescent="0.3">
      <c r="A3001" s="12"/>
      <c r="B3001" s="12"/>
      <c r="C3001" s="12"/>
      <c r="D3001" s="3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2"/>
      <c r="W3001" s="12"/>
      <c r="X3001" s="12"/>
      <c r="Y3001" s="12"/>
      <c r="Z3001" s="12"/>
      <c r="AA3001" s="12"/>
      <c r="AB3001" s="12"/>
      <c r="AC3001" s="12"/>
      <c r="AD3001" s="12"/>
    </row>
    <row r="3002" spans="1:30" ht="15.75" thickBot="1" x14ac:dyDescent="0.3">
      <c r="A3002" s="12"/>
      <c r="B3002" s="12"/>
      <c r="C3002" s="12"/>
      <c r="D3002" s="3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2"/>
      <c r="W3002" s="12"/>
      <c r="X3002" s="12"/>
      <c r="Y3002" s="12"/>
      <c r="Z3002" s="12"/>
      <c r="AA3002" s="12"/>
      <c r="AB3002" s="12"/>
      <c r="AC3002" s="12"/>
      <c r="AD3002" s="12"/>
    </row>
    <row r="3003" spans="1:30" ht="15.75" thickBot="1" x14ac:dyDescent="0.3">
      <c r="A3003" s="12"/>
      <c r="B3003" s="12"/>
      <c r="C3003" s="12"/>
      <c r="D3003" s="3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2"/>
      <c r="W3003" s="12"/>
      <c r="X3003" s="12"/>
      <c r="Y3003" s="12"/>
      <c r="Z3003" s="12"/>
      <c r="AA3003" s="12"/>
      <c r="AB3003" s="12"/>
      <c r="AC3003" s="12"/>
      <c r="AD3003" s="12"/>
    </row>
    <row r="3004" spans="1:30" ht="15.75" thickBot="1" x14ac:dyDescent="0.3">
      <c r="A3004" s="12"/>
      <c r="B3004" s="12"/>
      <c r="C3004" s="12"/>
      <c r="D3004" s="3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2"/>
      <c r="W3004" s="12"/>
      <c r="X3004" s="12"/>
      <c r="Y3004" s="12"/>
      <c r="Z3004" s="12"/>
      <c r="AA3004" s="12"/>
      <c r="AB3004" s="12"/>
      <c r="AC3004" s="12"/>
      <c r="AD3004" s="12"/>
    </row>
    <row r="3005" spans="1:30" ht="15.75" thickBot="1" x14ac:dyDescent="0.3">
      <c r="A3005" s="12"/>
      <c r="B3005" s="12"/>
      <c r="C3005" s="12"/>
      <c r="D3005" s="3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2"/>
      <c r="W3005" s="12"/>
      <c r="X3005" s="12"/>
      <c r="Y3005" s="12"/>
      <c r="Z3005" s="12"/>
      <c r="AA3005" s="12"/>
      <c r="AB3005" s="12"/>
      <c r="AC3005" s="12"/>
      <c r="AD3005" s="12"/>
    </row>
    <row r="3006" spans="1:30" ht="15.75" thickBot="1" x14ac:dyDescent="0.3">
      <c r="A3006" s="12"/>
      <c r="B3006" s="12"/>
      <c r="C3006" s="12"/>
      <c r="D3006" s="3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2"/>
      <c r="W3006" s="12"/>
      <c r="X3006" s="12"/>
      <c r="Y3006" s="12"/>
      <c r="Z3006" s="12"/>
      <c r="AA3006" s="12"/>
      <c r="AB3006" s="12"/>
      <c r="AC3006" s="12"/>
      <c r="AD3006" s="12"/>
    </row>
    <row r="3007" spans="1:30" ht="15.75" thickBot="1" x14ac:dyDescent="0.3">
      <c r="A3007" s="12"/>
      <c r="B3007" s="12"/>
      <c r="C3007" s="12"/>
      <c r="D3007" s="3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2"/>
      <c r="W3007" s="12"/>
      <c r="X3007" s="12"/>
      <c r="Y3007" s="12"/>
      <c r="Z3007" s="12"/>
      <c r="AA3007" s="12"/>
      <c r="AB3007" s="12"/>
      <c r="AC3007" s="12"/>
      <c r="AD3007" s="12"/>
    </row>
    <row r="3008" spans="1:30" ht="15.75" thickBot="1" x14ac:dyDescent="0.3">
      <c r="A3008" s="12"/>
      <c r="B3008" s="12"/>
      <c r="C3008" s="12"/>
      <c r="D3008" s="3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2"/>
      <c r="W3008" s="12"/>
      <c r="X3008" s="12"/>
      <c r="Y3008" s="12"/>
      <c r="Z3008" s="12"/>
      <c r="AA3008" s="12"/>
      <c r="AB3008" s="12"/>
      <c r="AC3008" s="12"/>
      <c r="AD3008" s="12"/>
    </row>
    <row r="3009" spans="1:30" ht="15.75" thickBot="1" x14ac:dyDescent="0.3">
      <c r="A3009" s="12"/>
      <c r="B3009" s="12"/>
      <c r="C3009" s="12"/>
      <c r="D3009" s="3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2"/>
      <c r="W3009" s="12"/>
      <c r="X3009" s="12"/>
      <c r="Y3009" s="12"/>
      <c r="Z3009" s="12"/>
      <c r="AA3009" s="12"/>
      <c r="AB3009" s="12"/>
      <c r="AC3009" s="12"/>
      <c r="AD3009" s="12"/>
    </row>
    <row r="3010" spans="1:30" ht="15.75" thickBot="1" x14ac:dyDescent="0.3">
      <c r="A3010" s="12"/>
      <c r="B3010" s="12"/>
      <c r="C3010" s="12"/>
      <c r="D3010" s="3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2"/>
      <c r="W3010" s="12"/>
      <c r="X3010" s="12"/>
      <c r="Y3010" s="12"/>
      <c r="Z3010" s="12"/>
      <c r="AA3010" s="12"/>
      <c r="AB3010" s="12"/>
      <c r="AC3010" s="12"/>
      <c r="AD3010" s="12"/>
    </row>
    <row r="3011" spans="1:30" ht="15.75" thickBot="1" x14ac:dyDescent="0.3">
      <c r="A3011" s="12"/>
      <c r="B3011" s="12"/>
      <c r="C3011" s="12"/>
      <c r="D3011" s="3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2"/>
      <c r="W3011" s="12"/>
      <c r="X3011" s="12"/>
      <c r="Y3011" s="12"/>
      <c r="Z3011" s="12"/>
      <c r="AA3011" s="12"/>
      <c r="AB3011" s="12"/>
      <c r="AC3011" s="12"/>
      <c r="AD3011" s="12"/>
    </row>
    <row r="3012" spans="1:30" ht="15.75" thickBot="1" x14ac:dyDescent="0.3">
      <c r="A3012" s="12"/>
      <c r="B3012" s="12"/>
      <c r="C3012" s="12"/>
      <c r="D3012" s="3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2"/>
      <c r="W3012" s="12"/>
      <c r="X3012" s="12"/>
      <c r="Y3012" s="12"/>
      <c r="Z3012" s="12"/>
      <c r="AA3012" s="12"/>
      <c r="AB3012" s="12"/>
      <c r="AC3012" s="12"/>
      <c r="AD3012" s="12"/>
    </row>
    <row r="3013" spans="1:30" ht="15.75" thickBot="1" x14ac:dyDescent="0.3">
      <c r="A3013" s="12"/>
      <c r="B3013" s="12"/>
      <c r="C3013" s="12"/>
      <c r="D3013" s="3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2"/>
      <c r="W3013" s="12"/>
      <c r="X3013" s="12"/>
      <c r="Y3013" s="12"/>
      <c r="Z3013" s="12"/>
      <c r="AA3013" s="12"/>
      <c r="AB3013" s="12"/>
      <c r="AC3013" s="12"/>
      <c r="AD3013" s="12"/>
    </row>
    <row r="3014" spans="1:30" ht="15.75" thickBot="1" x14ac:dyDescent="0.3">
      <c r="A3014" s="12"/>
      <c r="B3014" s="12"/>
      <c r="C3014" s="12"/>
      <c r="D3014" s="3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2"/>
      <c r="W3014" s="12"/>
      <c r="X3014" s="12"/>
      <c r="Y3014" s="12"/>
      <c r="Z3014" s="12"/>
      <c r="AA3014" s="12"/>
      <c r="AB3014" s="12"/>
      <c r="AC3014" s="12"/>
      <c r="AD3014" s="12"/>
    </row>
    <row r="3015" spans="1:30" ht="15.75" thickBot="1" x14ac:dyDescent="0.3">
      <c r="A3015" s="12"/>
      <c r="B3015" s="12"/>
      <c r="C3015" s="12"/>
      <c r="D3015" s="3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2"/>
      <c r="W3015" s="12"/>
      <c r="X3015" s="12"/>
      <c r="Y3015" s="12"/>
      <c r="Z3015" s="12"/>
      <c r="AA3015" s="12"/>
      <c r="AB3015" s="12"/>
      <c r="AC3015" s="12"/>
      <c r="AD3015" s="12"/>
    </row>
    <row r="3016" spans="1:30" ht="15.75" thickBot="1" x14ac:dyDescent="0.3">
      <c r="A3016" s="12"/>
      <c r="B3016" s="12"/>
      <c r="C3016" s="12"/>
      <c r="D3016" s="3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2"/>
      <c r="W3016" s="12"/>
      <c r="X3016" s="12"/>
      <c r="Y3016" s="12"/>
      <c r="Z3016" s="12"/>
      <c r="AA3016" s="12"/>
      <c r="AB3016" s="12"/>
      <c r="AC3016" s="12"/>
      <c r="AD3016" s="12"/>
    </row>
    <row r="3017" spans="1:30" ht="15.75" thickBot="1" x14ac:dyDescent="0.3">
      <c r="A3017" s="12"/>
      <c r="B3017" s="12"/>
      <c r="C3017" s="12"/>
      <c r="D3017" s="3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2"/>
      <c r="W3017" s="12"/>
      <c r="X3017" s="12"/>
      <c r="Y3017" s="12"/>
      <c r="Z3017" s="12"/>
      <c r="AA3017" s="12"/>
      <c r="AB3017" s="12"/>
      <c r="AC3017" s="12"/>
      <c r="AD3017" s="12"/>
    </row>
    <row r="3018" spans="1:30" ht="15.75" thickBot="1" x14ac:dyDescent="0.3">
      <c r="A3018" s="12"/>
      <c r="B3018" s="12"/>
      <c r="C3018" s="12"/>
      <c r="D3018" s="3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2"/>
      <c r="W3018" s="12"/>
      <c r="X3018" s="12"/>
      <c r="Y3018" s="12"/>
      <c r="Z3018" s="12"/>
      <c r="AA3018" s="12"/>
      <c r="AB3018" s="12"/>
      <c r="AC3018" s="12"/>
      <c r="AD3018" s="12"/>
    </row>
    <row r="3019" spans="1:30" ht="15.75" thickBot="1" x14ac:dyDescent="0.3">
      <c r="A3019" s="12"/>
      <c r="B3019" s="12"/>
      <c r="C3019" s="12"/>
      <c r="D3019" s="3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2"/>
      <c r="W3019" s="12"/>
      <c r="X3019" s="12"/>
      <c r="Y3019" s="12"/>
      <c r="Z3019" s="12"/>
      <c r="AA3019" s="12"/>
      <c r="AB3019" s="12"/>
      <c r="AC3019" s="12"/>
      <c r="AD3019" s="12"/>
    </row>
    <row r="3020" spans="1:30" ht="15.75" thickBot="1" x14ac:dyDescent="0.3">
      <c r="A3020" s="12"/>
      <c r="B3020" s="12"/>
      <c r="C3020" s="12"/>
      <c r="D3020" s="3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2"/>
      <c r="W3020" s="12"/>
      <c r="X3020" s="12"/>
      <c r="Y3020" s="12"/>
      <c r="Z3020" s="12"/>
      <c r="AA3020" s="12"/>
      <c r="AB3020" s="12"/>
      <c r="AC3020" s="12"/>
      <c r="AD3020" s="12"/>
    </row>
    <row r="3021" spans="1:30" ht="15.75" thickBot="1" x14ac:dyDescent="0.3">
      <c r="A3021" s="12"/>
      <c r="B3021" s="12"/>
      <c r="C3021" s="12"/>
      <c r="D3021" s="3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2"/>
      <c r="W3021" s="12"/>
      <c r="X3021" s="12"/>
      <c r="Y3021" s="12"/>
      <c r="Z3021" s="12"/>
      <c r="AA3021" s="12"/>
      <c r="AB3021" s="12"/>
      <c r="AC3021" s="12"/>
      <c r="AD3021" s="12"/>
    </row>
    <row r="3022" spans="1:30" ht="15.75" thickBot="1" x14ac:dyDescent="0.3">
      <c r="A3022" s="12"/>
      <c r="B3022" s="12"/>
      <c r="C3022" s="12"/>
      <c r="D3022" s="3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2"/>
      <c r="W3022" s="12"/>
      <c r="X3022" s="12"/>
      <c r="Y3022" s="12"/>
      <c r="Z3022" s="12"/>
      <c r="AA3022" s="12"/>
      <c r="AB3022" s="12"/>
      <c r="AC3022" s="12"/>
      <c r="AD3022" s="12"/>
    </row>
    <row r="3023" spans="1:30" ht="15.75" thickBot="1" x14ac:dyDescent="0.3">
      <c r="A3023" s="12"/>
      <c r="B3023" s="12"/>
      <c r="C3023" s="12"/>
      <c r="D3023" s="3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2"/>
      <c r="W3023" s="12"/>
      <c r="X3023" s="12"/>
      <c r="Y3023" s="12"/>
      <c r="Z3023" s="12"/>
      <c r="AA3023" s="12"/>
      <c r="AB3023" s="12"/>
      <c r="AC3023" s="12"/>
      <c r="AD3023" s="12"/>
    </row>
    <row r="3024" spans="1:30" ht="15.75" thickBot="1" x14ac:dyDescent="0.3">
      <c r="A3024" s="12"/>
      <c r="B3024" s="12"/>
      <c r="C3024" s="12"/>
      <c r="D3024" s="3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2"/>
      <c r="W3024" s="12"/>
      <c r="X3024" s="12"/>
      <c r="Y3024" s="12"/>
      <c r="Z3024" s="12"/>
      <c r="AA3024" s="12"/>
      <c r="AB3024" s="12"/>
      <c r="AC3024" s="12"/>
      <c r="AD3024" s="12"/>
    </row>
    <row r="3025" spans="1:30" ht="15.75" thickBot="1" x14ac:dyDescent="0.3">
      <c r="A3025" s="12"/>
      <c r="B3025" s="12"/>
      <c r="C3025" s="12"/>
      <c r="D3025" s="3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2"/>
      <c r="W3025" s="12"/>
      <c r="X3025" s="12"/>
      <c r="Y3025" s="12"/>
      <c r="Z3025" s="12"/>
      <c r="AA3025" s="12"/>
      <c r="AB3025" s="12"/>
      <c r="AC3025" s="12"/>
      <c r="AD3025" s="12"/>
    </row>
    <row r="3026" spans="1:30" ht="15.75" thickBot="1" x14ac:dyDescent="0.3">
      <c r="A3026" s="12"/>
      <c r="B3026" s="12"/>
      <c r="C3026" s="12"/>
      <c r="D3026" s="3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2"/>
      <c r="W3026" s="12"/>
      <c r="X3026" s="12"/>
      <c r="Y3026" s="12"/>
      <c r="Z3026" s="12"/>
      <c r="AA3026" s="12"/>
      <c r="AB3026" s="12"/>
      <c r="AC3026" s="12"/>
      <c r="AD3026" s="12"/>
    </row>
    <row r="3027" spans="1:30" ht="15.75" thickBot="1" x14ac:dyDescent="0.3">
      <c r="A3027" s="12"/>
      <c r="B3027" s="12"/>
      <c r="C3027" s="12"/>
      <c r="D3027" s="3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2"/>
      <c r="W3027" s="12"/>
      <c r="X3027" s="12"/>
      <c r="Y3027" s="12"/>
      <c r="Z3027" s="12"/>
      <c r="AA3027" s="12"/>
      <c r="AB3027" s="12"/>
      <c r="AC3027" s="12"/>
      <c r="AD3027" s="12"/>
    </row>
    <row r="3028" spans="1:30" ht="15.75" thickBot="1" x14ac:dyDescent="0.3">
      <c r="A3028" s="12"/>
      <c r="B3028" s="12"/>
      <c r="C3028" s="12"/>
      <c r="D3028" s="3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2"/>
      <c r="W3028" s="12"/>
      <c r="X3028" s="12"/>
      <c r="Y3028" s="12"/>
      <c r="Z3028" s="12"/>
      <c r="AA3028" s="12"/>
      <c r="AB3028" s="12"/>
      <c r="AC3028" s="12"/>
      <c r="AD3028" s="12"/>
    </row>
    <row r="3029" spans="1:30" ht="15.75" thickBot="1" x14ac:dyDescent="0.3">
      <c r="A3029" s="12"/>
      <c r="B3029" s="12"/>
      <c r="C3029" s="12"/>
      <c r="D3029" s="3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2"/>
      <c r="W3029" s="12"/>
      <c r="X3029" s="12"/>
      <c r="Y3029" s="12"/>
      <c r="Z3029" s="12"/>
      <c r="AA3029" s="12"/>
      <c r="AB3029" s="12"/>
      <c r="AC3029" s="12"/>
      <c r="AD3029" s="12"/>
    </row>
    <row r="3030" spans="1:30" ht="15.75" thickBot="1" x14ac:dyDescent="0.3">
      <c r="A3030" s="12"/>
      <c r="B3030" s="12"/>
      <c r="C3030" s="12"/>
      <c r="D3030" s="3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2"/>
      <c r="W3030" s="12"/>
      <c r="X3030" s="12"/>
      <c r="Y3030" s="12"/>
      <c r="Z3030" s="12"/>
      <c r="AA3030" s="12"/>
      <c r="AB3030" s="12"/>
      <c r="AC3030" s="12"/>
      <c r="AD3030" s="12"/>
    </row>
    <row r="3031" spans="1:30" ht="15.75" thickBot="1" x14ac:dyDescent="0.3">
      <c r="A3031" s="12"/>
      <c r="B3031" s="12"/>
      <c r="C3031" s="12"/>
      <c r="D3031" s="3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2"/>
      <c r="W3031" s="12"/>
      <c r="X3031" s="12"/>
      <c r="Y3031" s="12"/>
      <c r="Z3031" s="12"/>
      <c r="AA3031" s="12"/>
      <c r="AB3031" s="12"/>
      <c r="AC3031" s="12"/>
      <c r="AD3031" s="12"/>
    </row>
    <row r="3032" spans="1:30" ht="15.75" thickBot="1" x14ac:dyDescent="0.3">
      <c r="A3032" s="12"/>
      <c r="B3032" s="12"/>
      <c r="C3032" s="12"/>
      <c r="D3032" s="3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2"/>
      <c r="W3032" s="12"/>
      <c r="X3032" s="12"/>
      <c r="Y3032" s="12"/>
      <c r="Z3032" s="12"/>
      <c r="AA3032" s="12"/>
      <c r="AB3032" s="12"/>
      <c r="AC3032" s="12"/>
      <c r="AD3032" s="12"/>
    </row>
    <row r="3033" spans="1:30" ht="15.75" thickBot="1" x14ac:dyDescent="0.3">
      <c r="A3033" s="12"/>
      <c r="B3033" s="12"/>
      <c r="C3033" s="12"/>
      <c r="D3033" s="3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2"/>
      <c r="W3033" s="12"/>
      <c r="X3033" s="12"/>
      <c r="Y3033" s="12"/>
      <c r="Z3033" s="12"/>
      <c r="AA3033" s="12"/>
      <c r="AB3033" s="12"/>
      <c r="AC3033" s="12"/>
      <c r="AD3033" s="12"/>
    </row>
    <row r="3034" spans="1:30" ht="15.75" thickBot="1" x14ac:dyDescent="0.3">
      <c r="A3034" s="12"/>
      <c r="B3034" s="12"/>
      <c r="C3034" s="12"/>
      <c r="D3034" s="3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2"/>
      <c r="W3034" s="12"/>
      <c r="X3034" s="12"/>
      <c r="Y3034" s="12"/>
      <c r="Z3034" s="12"/>
      <c r="AA3034" s="12"/>
      <c r="AB3034" s="12"/>
      <c r="AC3034" s="12"/>
      <c r="AD3034" s="12"/>
    </row>
    <row r="3035" spans="1:30" ht="15.75" thickBot="1" x14ac:dyDescent="0.3">
      <c r="A3035" s="12"/>
      <c r="B3035" s="12"/>
      <c r="C3035" s="12"/>
      <c r="D3035" s="3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2"/>
      <c r="W3035" s="12"/>
      <c r="X3035" s="12"/>
      <c r="Y3035" s="12"/>
      <c r="Z3035" s="12"/>
      <c r="AA3035" s="12"/>
      <c r="AB3035" s="12"/>
      <c r="AC3035" s="12"/>
      <c r="AD3035" s="12"/>
    </row>
    <row r="3036" spans="1:30" ht="15.75" thickBot="1" x14ac:dyDescent="0.3">
      <c r="A3036" s="12"/>
      <c r="B3036" s="12"/>
      <c r="C3036" s="12"/>
      <c r="D3036" s="3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2"/>
      <c r="W3036" s="12"/>
      <c r="X3036" s="12"/>
      <c r="Y3036" s="12"/>
      <c r="Z3036" s="12"/>
      <c r="AA3036" s="12"/>
      <c r="AB3036" s="12"/>
      <c r="AC3036" s="12"/>
      <c r="AD3036" s="12"/>
    </row>
    <row r="3037" spans="1:30" ht="15.75" thickBot="1" x14ac:dyDescent="0.3">
      <c r="A3037" s="12"/>
      <c r="B3037" s="12"/>
      <c r="C3037" s="12"/>
      <c r="D3037" s="3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2"/>
      <c r="W3037" s="12"/>
      <c r="X3037" s="12"/>
      <c r="Y3037" s="12"/>
      <c r="Z3037" s="12"/>
      <c r="AA3037" s="12"/>
      <c r="AB3037" s="12"/>
      <c r="AC3037" s="12"/>
      <c r="AD3037" s="12"/>
    </row>
    <row r="3038" spans="1:30" ht="15.75" thickBot="1" x14ac:dyDescent="0.3">
      <c r="A3038" s="12"/>
      <c r="B3038" s="12"/>
      <c r="C3038" s="12"/>
      <c r="D3038" s="3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2"/>
      <c r="W3038" s="12"/>
      <c r="X3038" s="12"/>
      <c r="Y3038" s="12"/>
      <c r="Z3038" s="12"/>
      <c r="AA3038" s="12"/>
      <c r="AB3038" s="12"/>
      <c r="AC3038" s="12"/>
      <c r="AD3038" s="12"/>
    </row>
    <row r="3039" spans="1:30" ht="15.75" thickBot="1" x14ac:dyDescent="0.3">
      <c r="A3039" s="12"/>
      <c r="B3039" s="12"/>
      <c r="C3039" s="12"/>
      <c r="D3039" s="3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2"/>
      <c r="W3039" s="12"/>
      <c r="X3039" s="12"/>
      <c r="Y3039" s="12"/>
      <c r="Z3039" s="12"/>
      <c r="AA3039" s="12"/>
      <c r="AB3039" s="12"/>
      <c r="AC3039" s="12"/>
      <c r="AD3039" s="12"/>
    </row>
    <row r="3040" spans="1:30" ht="15.75" thickBot="1" x14ac:dyDescent="0.3">
      <c r="A3040" s="12"/>
      <c r="B3040" s="12"/>
      <c r="C3040" s="12"/>
      <c r="D3040" s="3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2"/>
      <c r="W3040" s="12"/>
      <c r="X3040" s="12"/>
      <c r="Y3040" s="12"/>
      <c r="Z3040" s="12"/>
      <c r="AA3040" s="12"/>
      <c r="AB3040" s="12"/>
      <c r="AC3040" s="12"/>
      <c r="AD3040" s="12"/>
    </row>
    <row r="3041" spans="1:30" ht="15.75" thickBot="1" x14ac:dyDescent="0.3">
      <c r="A3041" s="12"/>
      <c r="B3041" s="12"/>
      <c r="C3041" s="12"/>
      <c r="D3041" s="3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2"/>
      <c r="W3041" s="12"/>
      <c r="X3041" s="12"/>
      <c r="Y3041" s="12"/>
      <c r="Z3041" s="12"/>
      <c r="AA3041" s="12"/>
      <c r="AB3041" s="12"/>
      <c r="AC3041" s="12"/>
      <c r="AD3041" s="12"/>
    </row>
    <row r="3042" spans="1:30" ht="15.75" thickBot="1" x14ac:dyDescent="0.3">
      <c r="A3042" s="12"/>
      <c r="B3042" s="12"/>
      <c r="C3042" s="12"/>
      <c r="D3042" s="3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2"/>
      <c r="W3042" s="12"/>
      <c r="X3042" s="12"/>
      <c r="Y3042" s="12"/>
      <c r="Z3042" s="12"/>
      <c r="AA3042" s="12"/>
      <c r="AB3042" s="12"/>
      <c r="AC3042" s="12"/>
      <c r="AD3042" s="12"/>
    </row>
    <row r="3043" spans="1:30" ht="15.75" thickBot="1" x14ac:dyDescent="0.3">
      <c r="A3043" s="12"/>
      <c r="B3043" s="12"/>
      <c r="C3043" s="12"/>
      <c r="D3043" s="3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2"/>
      <c r="W3043" s="12"/>
      <c r="X3043" s="12"/>
      <c r="Y3043" s="12"/>
      <c r="Z3043" s="12"/>
      <c r="AA3043" s="12"/>
      <c r="AB3043" s="12"/>
      <c r="AC3043" s="12"/>
      <c r="AD3043" s="12"/>
    </row>
    <row r="3044" spans="1:30" ht="15.75" thickBot="1" x14ac:dyDescent="0.3">
      <c r="A3044" s="12"/>
      <c r="B3044" s="12"/>
      <c r="C3044" s="12"/>
      <c r="D3044" s="3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2"/>
      <c r="W3044" s="12"/>
      <c r="X3044" s="12"/>
      <c r="Y3044" s="12"/>
      <c r="Z3044" s="12"/>
      <c r="AA3044" s="12"/>
      <c r="AB3044" s="12"/>
      <c r="AC3044" s="12"/>
      <c r="AD3044" s="12"/>
    </row>
    <row r="3045" spans="1:30" ht="15.75" thickBot="1" x14ac:dyDescent="0.3">
      <c r="A3045" s="12"/>
      <c r="B3045" s="12"/>
      <c r="C3045" s="12"/>
      <c r="D3045" s="3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2"/>
      <c r="W3045" s="12"/>
      <c r="X3045" s="12"/>
      <c r="Y3045" s="12"/>
      <c r="Z3045" s="12"/>
      <c r="AA3045" s="12"/>
      <c r="AB3045" s="12"/>
      <c r="AC3045" s="12"/>
      <c r="AD3045" s="12"/>
    </row>
    <row r="3046" spans="1:30" ht="15.75" thickBot="1" x14ac:dyDescent="0.3">
      <c r="A3046" s="12"/>
      <c r="B3046" s="12"/>
      <c r="C3046" s="12"/>
      <c r="D3046" s="3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2"/>
      <c r="W3046" s="12"/>
      <c r="X3046" s="12"/>
      <c r="Y3046" s="12"/>
      <c r="Z3046" s="12"/>
      <c r="AA3046" s="12"/>
      <c r="AB3046" s="12"/>
      <c r="AC3046" s="12"/>
      <c r="AD3046" s="12"/>
    </row>
    <row r="3047" spans="1:30" ht="15.75" thickBot="1" x14ac:dyDescent="0.3">
      <c r="A3047" s="12"/>
      <c r="B3047" s="12"/>
      <c r="C3047" s="12"/>
      <c r="D3047" s="3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2"/>
      <c r="W3047" s="12"/>
      <c r="X3047" s="12"/>
      <c r="Y3047" s="12"/>
      <c r="Z3047" s="12"/>
      <c r="AA3047" s="12"/>
      <c r="AB3047" s="12"/>
      <c r="AC3047" s="12"/>
      <c r="AD3047" s="12"/>
    </row>
    <row r="3048" spans="1:30" ht="15.75" thickBot="1" x14ac:dyDescent="0.3">
      <c r="A3048" s="12"/>
      <c r="B3048" s="12"/>
      <c r="C3048" s="12"/>
      <c r="D3048" s="3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2"/>
      <c r="W3048" s="12"/>
      <c r="X3048" s="12"/>
      <c r="Y3048" s="12"/>
      <c r="Z3048" s="12"/>
      <c r="AA3048" s="12"/>
      <c r="AB3048" s="12"/>
      <c r="AC3048" s="12"/>
      <c r="AD3048" s="12"/>
    </row>
    <row r="3049" spans="1:30" ht="15.75" thickBot="1" x14ac:dyDescent="0.3">
      <c r="A3049" s="12"/>
      <c r="B3049" s="12"/>
      <c r="C3049" s="12"/>
      <c r="D3049" s="3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2"/>
      <c r="W3049" s="12"/>
      <c r="X3049" s="12"/>
      <c r="Y3049" s="12"/>
      <c r="Z3049" s="12"/>
      <c r="AA3049" s="12"/>
      <c r="AB3049" s="12"/>
      <c r="AC3049" s="12"/>
      <c r="AD3049" s="12"/>
    </row>
    <row r="3050" spans="1:30" ht="15.75" thickBot="1" x14ac:dyDescent="0.3">
      <c r="A3050" s="12"/>
      <c r="B3050" s="12"/>
      <c r="C3050" s="12"/>
      <c r="D3050" s="3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2"/>
      <c r="W3050" s="12"/>
      <c r="X3050" s="12"/>
      <c r="Y3050" s="12"/>
      <c r="Z3050" s="12"/>
      <c r="AA3050" s="12"/>
      <c r="AB3050" s="12"/>
      <c r="AC3050" s="12"/>
      <c r="AD3050" s="12"/>
    </row>
    <row r="3051" spans="1:30" ht="15.75" thickBot="1" x14ac:dyDescent="0.3">
      <c r="A3051" s="12"/>
      <c r="B3051" s="12"/>
      <c r="C3051" s="12"/>
      <c r="D3051" s="3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2"/>
      <c r="W3051" s="12"/>
      <c r="X3051" s="12"/>
      <c r="Y3051" s="12"/>
      <c r="Z3051" s="12"/>
      <c r="AA3051" s="12"/>
      <c r="AB3051" s="12"/>
      <c r="AC3051" s="12"/>
      <c r="AD3051" s="12"/>
    </row>
    <row r="3052" spans="1:30" ht="15.75" thickBot="1" x14ac:dyDescent="0.3">
      <c r="A3052" s="12"/>
      <c r="B3052" s="12"/>
      <c r="C3052" s="12"/>
      <c r="D3052" s="3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2"/>
      <c r="W3052" s="12"/>
      <c r="X3052" s="12"/>
      <c r="Y3052" s="12"/>
      <c r="Z3052" s="12"/>
      <c r="AA3052" s="12"/>
      <c r="AB3052" s="12"/>
      <c r="AC3052" s="12"/>
      <c r="AD3052" s="12"/>
    </row>
    <row r="3053" spans="1:30" ht="15.75" thickBot="1" x14ac:dyDescent="0.3">
      <c r="A3053" s="12"/>
      <c r="B3053" s="12"/>
      <c r="C3053" s="12"/>
      <c r="D3053" s="3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2"/>
      <c r="W3053" s="12"/>
      <c r="X3053" s="12"/>
      <c r="Y3053" s="12"/>
      <c r="Z3053" s="12"/>
      <c r="AA3053" s="12"/>
      <c r="AB3053" s="12"/>
      <c r="AC3053" s="12"/>
      <c r="AD3053" s="12"/>
    </row>
    <row r="3054" spans="1:30" ht="15.75" thickBot="1" x14ac:dyDescent="0.3">
      <c r="A3054" s="12"/>
      <c r="B3054" s="12"/>
      <c r="C3054" s="12"/>
      <c r="D3054" s="3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2"/>
      <c r="W3054" s="12"/>
      <c r="X3054" s="12"/>
      <c r="Y3054" s="12"/>
      <c r="Z3054" s="12"/>
      <c r="AA3054" s="12"/>
      <c r="AB3054" s="12"/>
      <c r="AC3054" s="12"/>
      <c r="AD3054" s="12"/>
    </row>
    <row r="3055" spans="1:30" ht="15.75" thickBot="1" x14ac:dyDescent="0.3">
      <c r="A3055" s="12"/>
      <c r="B3055" s="12"/>
      <c r="C3055" s="12"/>
      <c r="D3055" s="3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2"/>
      <c r="W3055" s="12"/>
      <c r="X3055" s="12"/>
      <c r="Y3055" s="12"/>
      <c r="Z3055" s="12"/>
      <c r="AA3055" s="12"/>
      <c r="AB3055" s="12"/>
      <c r="AC3055" s="12"/>
      <c r="AD3055" s="12"/>
    </row>
    <row r="3056" spans="1:30" ht="15.75" thickBot="1" x14ac:dyDescent="0.3">
      <c r="A3056" s="12"/>
      <c r="B3056" s="12"/>
      <c r="C3056" s="12"/>
      <c r="D3056" s="3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2"/>
      <c r="W3056" s="12"/>
      <c r="X3056" s="12"/>
      <c r="Y3056" s="12"/>
      <c r="Z3056" s="12"/>
      <c r="AA3056" s="12"/>
      <c r="AB3056" s="12"/>
      <c r="AC3056" s="12"/>
      <c r="AD3056" s="12"/>
    </row>
    <row r="3057" spans="1:30" ht="15.75" thickBot="1" x14ac:dyDescent="0.3">
      <c r="A3057" s="12"/>
      <c r="B3057" s="12"/>
      <c r="C3057" s="12"/>
      <c r="D3057" s="3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2"/>
      <c r="W3057" s="12"/>
      <c r="X3057" s="12"/>
      <c r="Y3057" s="12"/>
      <c r="Z3057" s="12"/>
      <c r="AA3057" s="12"/>
      <c r="AB3057" s="12"/>
      <c r="AC3057" s="12"/>
      <c r="AD3057" s="12"/>
    </row>
    <row r="3058" spans="1:30" ht="15.75" thickBot="1" x14ac:dyDescent="0.3">
      <c r="A3058" s="12"/>
      <c r="B3058" s="12"/>
      <c r="C3058" s="12"/>
      <c r="D3058" s="3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2"/>
      <c r="W3058" s="12"/>
      <c r="X3058" s="12"/>
      <c r="Y3058" s="12"/>
      <c r="Z3058" s="12"/>
      <c r="AA3058" s="12"/>
      <c r="AB3058" s="12"/>
      <c r="AC3058" s="12"/>
      <c r="AD3058" s="12"/>
    </row>
    <row r="3059" spans="1:30" ht="15.75" thickBot="1" x14ac:dyDescent="0.3">
      <c r="A3059" s="12"/>
      <c r="B3059" s="12"/>
      <c r="C3059" s="12"/>
      <c r="D3059" s="3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2"/>
      <c r="W3059" s="12"/>
      <c r="X3059" s="12"/>
      <c r="Y3059" s="12"/>
      <c r="Z3059" s="12"/>
      <c r="AA3059" s="12"/>
      <c r="AB3059" s="12"/>
      <c r="AC3059" s="12"/>
      <c r="AD3059" s="12"/>
    </row>
    <row r="3060" spans="1:30" ht="15.75" thickBot="1" x14ac:dyDescent="0.3">
      <c r="A3060" s="12"/>
      <c r="B3060" s="12"/>
      <c r="C3060" s="12"/>
      <c r="D3060" s="3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2"/>
      <c r="W3060" s="12"/>
      <c r="X3060" s="12"/>
      <c r="Y3060" s="12"/>
      <c r="Z3060" s="12"/>
      <c r="AA3060" s="12"/>
      <c r="AB3060" s="12"/>
      <c r="AC3060" s="12"/>
      <c r="AD3060" s="12"/>
    </row>
    <row r="3061" spans="1:30" ht="15.75" thickBot="1" x14ac:dyDescent="0.3">
      <c r="A3061" s="12"/>
      <c r="B3061" s="12"/>
      <c r="C3061" s="12"/>
      <c r="D3061" s="3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2"/>
      <c r="W3061" s="12"/>
      <c r="X3061" s="12"/>
      <c r="Y3061" s="12"/>
      <c r="Z3061" s="12"/>
      <c r="AA3061" s="12"/>
      <c r="AB3061" s="12"/>
      <c r="AC3061" s="12"/>
      <c r="AD3061" s="12"/>
    </row>
    <row r="3062" spans="1:30" ht="15.75" thickBot="1" x14ac:dyDescent="0.3">
      <c r="A3062" s="12"/>
      <c r="B3062" s="12"/>
      <c r="C3062" s="12"/>
      <c r="D3062" s="3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2"/>
      <c r="W3062" s="12"/>
      <c r="X3062" s="12"/>
      <c r="Y3062" s="12"/>
      <c r="Z3062" s="12"/>
      <c r="AA3062" s="12"/>
      <c r="AB3062" s="12"/>
      <c r="AC3062" s="12"/>
      <c r="AD3062" s="12"/>
    </row>
    <row r="3063" spans="1:30" ht="15.75" thickBot="1" x14ac:dyDescent="0.3">
      <c r="A3063" s="12"/>
      <c r="B3063" s="12"/>
      <c r="C3063" s="12"/>
      <c r="D3063" s="3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2"/>
      <c r="W3063" s="12"/>
      <c r="X3063" s="12"/>
      <c r="Y3063" s="12"/>
      <c r="Z3063" s="12"/>
      <c r="AA3063" s="12"/>
      <c r="AB3063" s="12"/>
      <c r="AC3063" s="12"/>
      <c r="AD3063" s="12"/>
    </row>
    <row r="3064" spans="1:30" ht="15.75" thickBot="1" x14ac:dyDescent="0.3">
      <c r="A3064" s="12"/>
      <c r="B3064" s="12"/>
      <c r="C3064" s="12"/>
      <c r="D3064" s="3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2"/>
      <c r="W3064" s="12"/>
      <c r="X3064" s="12"/>
      <c r="Y3064" s="12"/>
      <c r="Z3064" s="12"/>
      <c r="AA3064" s="12"/>
      <c r="AB3064" s="12"/>
      <c r="AC3064" s="12"/>
      <c r="AD3064" s="12"/>
    </row>
    <row r="3065" spans="1:30" ht="15.75" thickBot="1" x14ac:dyDescent="0.3">
      <c r="A3065" s="12"/>
      <c r="B3065" s="12"/>
      <c r="C3065" s="12"/>
      <c r="D3065" s="3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2"/>
      <c r="W3065" s="12"/>
      <c r="X3065" s="12"/>
      <c r="Y3065" s="12"/>
      <c r="Z3065" s="12"/>
      <c r="AA3065" s="12"/>
      <c r="AB3065" s="12"/>
      <c r="AC3065" s="12"/>
      <c r="AD3065" s="12"/>
    </row>
    <row r="3066" spans="1:30" ht="15.75" thickBot="1" x14ac:dyDescent="0.3">
      <c r="A3066" s="12"/>
      <c r="B3066" s="12"/>
      <c r="C3066" s="12"/>
      <c r="D3066" s="3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2"/>
      <c r="W3066" s="12"/>
      <c r="X3066" s="12"/>
      <c r="Y3066" s="12"/>
      <c r="Z3066" s="12"/>
      <c r="AA3066" s="12"/>
      <c r="AB3066" s="12"/>
      <c r="AC3066" s="12"/>
      <c r="AD3066" s="12"/>
    </row>
    <row r="3067" spans="1:30" ht="15.75" thickBot="1" x14ac:dyDescent="0.3">
      <c r="A3067" s="12"/>
      <c r="B3067" s="12"/>
      <c r="C3067" s="12"/>
      <c r="D3067" s="3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2"/>
      <c r="W3067" s="12"/>
      <c r="X3067" s="12"/>
      <c r="Y3067" s="12"/>
      <c r="Z3067" s="12"/>
      <c r="AA3067" s="12"/>
      <c r="AB3067" s="12"/>
      <c r="AC3067" s="12"/>
      <c r="AD3067" s="12"/>
    </row>
    <row r="3068" spans="1:30" ht="15.75" thickBot="1" x14ac:dyDescent="0.3">
      <c r="A3068" s="12"/>
      <c r="B3068" s="12"/>
      <c r="C3068" s="12"/>
      <c r="D3068" s="3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2"/>
      <c r="W3068" s="12"/>
      <c r="X3068" s="12"/>
      <c r="Y3068" s="12"/>
      <c r="Z3068" s="12"/>
      <c r="AA3068" s="12"/>
      <c r="AB3068" s="12"/>
      <c r="AC3068" s="12"/>
      <c r="AD3068" s="12"/>
    </row>
    <row r="3069" spans="1:30" ht="15.75" thickBot="1" x14ac:dyDescent="0.3">
      <c r="A3069" s="12"/>
      <c r="B3069" s="12"/>
      <c r="C3069" s="12"/>
      <c r="D3069" s="3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2"/>
      <c r="W3069" s="12"/>
      <c r="X3069" s="12"/>
      <c r="Y3069" s="12"/>
      <c r="Z3069" s="12"/>
      <c r="AA3069" s="12"/>
      <c r="AB3069" s="12"/>
      <c r="AC3069" s="12"/>
      <c r="AD3069" s="12"/>
    </row>
    <row r="3070" spans="1:30" ht="15.75" thickBot="1" x14ac:dyDescent="0.3">
      <c r="A3070" s="12"/>
      <c r="B3070" s="12"/>
      <c r="C3070" s="12"/>
      <c r="D3070" s="3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2"/>
      <c r="W3070" s="12"/>
      <c r="X3070" s="12"/>
      <c r="Y3070" s="12"/>
      <c r="Z3070" s="12"/>
      <c r="AA3070" s="12"/>
      <c r="AB3070" s="12"/>
      <c r="AC3070" s="12"/>
      <c r="AD3070" s="12"/>
    </row>
    <row r="3071" spans="1:30" ht="15.75" thickBot="1" x14ac:dyDescent="0.3">
      <c r="A3071" s="12"/>
      <c r="B3071" s="12"/>
      <c r="C3071" s="12"/>
      <c r="D3071" s="3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2"/>
      <c r="W3071" s="12"/>
      <c r="X3071" s="12"/>
      <c r="Y3071" s="12"/>
      <c r="Z3071" s="12"/>
      <c r="AA3071" s="12"/>
      <c r="AB3071" s="12"/>
      <c r="AC3071" s="12"/>
      <c r="AD3071" s="12"/>
    </row>
    <row r="3072" spans="1:30" ht="15.75" thickBot="1" x14ac:dyDescent="0.3">
      <c r="A3072" s="12"/>
      <c r="B3072" s="12"/>
      <c r="C3072" s="12"/>
      <c r="D3072" s="3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2"/>
      <c r="W3072" s="12"/>
      <c r="X3072" s="12"/>
      <c r="Y3072" s="12"/>
      <c r="Z3072" s="12"/>
      <c r="AA3072" s="12"/>
      <c r="AB3072" s="12"/>
      <c r="AC3072" s="12"/>
      <c r="AD3072" s="12"/>
    </row>
    <row r="3073" spans="1:30" ht="15.75" thickBot="1" x14ac:dyDescent="0.3">
      <c r="A3073" s="12"/>
      <c r="B3073" s="12"/>
      <c r="C3073" s="12"/>
      <c r="D3073" s="3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2"/>
      <c r="W3073" s="12"/>
      <c r="X3073" s="12"/>
      <c r="Y3073" s="12"/>
      <c r="Z3073" s="12"/>
      <c r="AA3073" s="12"/>
      <c r="AB3073" s="12"/>
      <c r="AC3073" s="12"/>
      <c r="AD3073" s="12"/>
    </row>
    <row r="3074" spans="1:30" ht="15.75" thickBot="1" x14ac:dyDescent="0.3">
      <c r="A3074" s="12"/>
      <c r="B3074" s="12"/>
      <c r="C3074" s="12"/>
      <c r="D3074" s="3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2"/>
      <c r="W3074" s="12"/>
      <c r="X3074" s="12"/>
      <c r="Y3074" s="12"/>
      <c r="Z3074" s="12"/>
      <c r="AA3074" s="12"/>
      <c r="AB3074" s="12"/>
      <c r="AC3074" s="12"/>
      <c r="AD3074" s="12"/>
    </row>
    <row r="3075" spans="1:30" ht="15.75" thickBot="1" x14ac:dyDescent="0.3">
      <c r="A3075" s="12"/>
      <c r="B3075" s="12"/>
      <c r="C3075" s="12"/>
      <c r="D3075" s="3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2"/>
      <c r="W3075" s="12"/>
      <c r="X3075" s="12"/>
      <c r="Y3075" s="12"/>
      <c r="Z3075" s="12"/>
      <c r="AA3075" s="12"/>
      <c r="AB3075" s="12"/>
      <c r="AC3075" s="12"/>
      <c r="AD3075" s="12"/>
    </row>
    <row r="3076" spans="1:30" ht="15.75" thickBot="1" x14ac:dyDescent="0.3">
      <c r="A3076" s="12"/>
      <c r="B3076" s="12"/>
      <c r="C3076" s="12"/>
      <c r="D3076" s="3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2"/>
      <c r="W3076" s="12"/>
      <c r="X3076" s="12"/>
      <c r="Y3076" s="12"/>
      <c r="Z3076" s="12"/>
      <c r="AA3076" s="12"/>
      <c r="AB3076" s="12"/>
      <c r="AC3076" s="12"/>
      <c r="AD3076" s="12"/>
    </row>
    <row r="3077" spans="1:30" ht="15.75" thickBot="1" x14ac:dyDescent="0.3">
      <c r="A3077" s="12"/>
      <c r="B3077" s="12"/>
      <c r="C3077" s="12"/>
      <c r="D3077" s="3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2"/>
      <c r="W3077" s="12"/>
      <c r="X3077" s="12"/>
      <c r="Y3077" s="12"/>
      <c r="Z3077" s="12"/>
      <c r="AA3077" s="12"/>
      <c r="AB3077" s="12"/>
      <c r="AC3077" s="12"/>
      <c r="AD3077" s="12"/>
    </row>
    <row r="3078" spans="1:30" ht="15.75" thickBot="1" x14ac:dyDescent="0.3">
      <c r="A3078" s="12"/>
      <c r="B3078" s="12"/>
      <c r="C3078" s="12"/>
      <c r="D3078" s="3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2"/>
      <c r="W3078" s="12"/>
      <c r="X3078" s="12"/>
      <c r="Y3078" s="12"/>
      <c r="Z3078" s="12"/>
      <c r="AA3078" s="12"/>
      <c r="AB3078" s="12"/>
      <c r="AC3078" s="12"/>
      <c r="AD3078" s="12"/>
    </row>
    <row r="3079" spans="1:30" ht="15.75" thickBot="1" x14ac:dyDescent="0.3">
      <c r="A3079" s="12"/>
      <c r="B3079" s="12"/>
      <c r="C3079" s="12"/>
      <c r="D3079" s="3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2"/>
      <c r="W3079" s="12"/>
      <c r="X3079" s="12"/>
      <c r="Y3079" s="12"/>
      <c r="Z3079" s="12"/>
      <c r="AA3079" s="12"/>
      <c r="AB3079" s="12"/>
      <c r="AC3079" s="12"/>
      <c r="AD3079" s="12"/>
    </row>
    <row r="3080" spans="1:30" ht="15.75" thickBot="1" x14ac:dyDescent="0.3">
      <c r="A3080" s="12"/>
      <c r="B3080" s="12"/>
      <c r="C3080" s="12"/>
      <c r="D3080" s="3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2"/>
      <c r="W3080" s="12"/>
      <c r="X3080" s="12"/>
      <c r="Y3080" s="12"/>
      <c r="Z3080" s="12"/>
      <c r="AA3080" s="12"/>
      <c r="AB3080" s="12"/>
      <c r="AC3080" s="12"/>
      <c r="AD3080" s="12"/>
    </row>
    <row r="3081" spans="1:30" ht="15.75" thickBot="1" x14ac:dyDescent="0.3">
      <c r="A3081" s="12"/>
      <c r="B3081" s="12"/>
      <c r="C3081" s="12"/>
      <c r="D3081" s="3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2"/>
      <c r="W3081" s="12"/>
      <c r="X3081" s="12"/>
      <c r="Y3081" s="12"/>
      <c r="Z3081" s="12"/>
      <c r="AA3081" s="12"/>
      <c r="AB3081" s="12"/>
      <c r="AC3081" s="12"/>
      <c r="AD3081" s="12"/>
    </row>
    <row r="3082" spans="1:30" ht="15.75" thickBot="1" x14ac:dyDescent="0.3">
      <c r="A3082" s="12"/>
      <c r="B3082" s="12"/>
      <c r="C3082" s="12"/>
      <c r="D3082" s="3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2"/>
      <c r="W3082" s="12"/>
      <c r="X3082" s="12"/>
      <c r="Y3082" s="12"/>
      <c r="Z3082" s="12"/>
      <c r="AA3082" s="12"/>
      <c r="AB3082" s="12"/>
      <c r="AC3082" s="12"/>
      <c r="AD3082" s="12"/>
    </row>
    <row r="3083" spans="1:30" ht="15.75" thickBot="1" x14ac:dyDescent="0.3">
      <c r="A3083" s="12"/>
      <c r="B3083" s="12"/>
      <c r="C3083" s="12"/>
      <c r="D3083" s="3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2"/>
      <c r="W3083" s="12"/>
      <c r="X3083" s="12"/>
      <c r="Y3083" s="12"/>
      <c r="Z3083" s="12"/>
      <c r="AA3083" s="12"/>
      <c r="AB3083" s="12"/>
      <c r="AC3083" s="12"/>
      <c r="AD3083" s="12"/>
    </row>
    <row r="3084" spans="1:30" ht="15.75" thickBot="1" x14ac:dyDescent="0.3">
      <c r="A3084" s="12"/>
      <c r="B3084" s="12"/>
      <c r="C3084" s="12"/>
      <c r="D3084" s="3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2"/>
      <c r="W3084" s="12"/>
      <c r="X3084" s="12"/>
      <c r="Y3084" s="12"/>
      <c r="Z3084" s="12"/>
      <c r="AA3084" s="12"/>
      <c r="AB3084" s="12"/>
      <c r="AC3084" s="12"/>
      <c r="AD3084" s="12"/>
    </row>
    <row r="3085" spans="1:30" ht="15.75" thickBot="1" x14ac:dyDescent="0.3">
      <c r="A3085" s="12"/>
      <c r="B3085" s="12"/>
      <c r="C3085" s="12"/>
      <c r="D3085" s="3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2"/>
      <c r="W3085" s="12"/>
      <c r="X3085" s="12"/>
      <c r="Y3085" s="12"/>
      <c r="Z3085" s="12"/>
      <c r="AA3085" s="12"/>
      <c r="AB3085" s="12"/>
      <c r="AC3085" s="12"/>
      <c r="AD3085" s="12"/>
    </row>
    <row r="3086" spans="1:30" ht="15.75" thickBot="1" x14ac:dyDescent="0.3">
      <c r="A3086" s="12"/>
      <c r="B3086" s="12"/>
      <c r="C3086" s="12"/>
      <c r="D3086" s="3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2"/>
      <c r="W3086" s="12"/>
      <c r="X3086" s="12"/>
      <c r="Y3086" s="12"/>
      <c r="Z3086" s="12"/>
      <c r="AA3086" s="12"/>
      <c r="AB3086" s="12"/>
      <c r="AC3086" s="12"/>
      <c r="AD3086" s="12"/>
    </row>
    <row r="3087" spans="1:30" ht="15.75" thickBot="1" x14ac:dyDescent="0.3">
      <c r="A3087" s="12"/>
      <c r="B3087" s="12"/>
      <c r="C3087" s="12"/>
      <c r="D3087" s="3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2"/>
      <c r="W3087" s="12"/>
      <c r="X3087" s="12"/>
      <c r="Y3087" s="12"/>
      <c r="Z3087" s="12"/>
      <c r="AA3087" s="12"/>
      <c r="AB3087" s="12"/>
      <c r="AC3087" s="12"/>
      <c r="AD3087" s="12"/>
    </row>
    <row r="3088" spans="1:30" ht="15.75" thickBot="1" x14ac:dyDescent="0.3">
      <c r="A3088" s="12"/>
      <c r="B3088" s="12"/>
      <c r="C3088" s="12"/>
      <c r="D3088" s="3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2"/>
      <c r="W3088" s="12"/>
      <c r="X3088" s="12"/>
      <c r="Y3088" s="12"/>
      <c r="Z3088" s="12"/>
      <c r="AA3088" s="12"/>
      <c r="AB3088" s="12"/>
      <c r="AC3088" s="12"/>
      <c r="AD3088" s="12"/>
    </row>
    <row r="3089" spans="1:30" ht="15.75" thickBot="1" x14ac:dyDescent="0.3">
      <c r="A3089" s="12"/>
      <c r="B3089" s="12"/>
      <c r="C3089" s="12"/>
      <c r="D3089" s="3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2"/>
      <c r="W3089" s="12"/>
      <c r="X3089" s="12"/>
      <c r="Y3089" s="12"/>
      <c r="Z3089" s="12"/>
      <c r="AA3089" s="12"/>
      <c r="AB3089" s="12"/>
      <c r="AC3089" s="12"/>
      <c r="AD3089" s="12"/>
    </row>
    <row r="3090" spans="1:30" ht="15.75" thickBot="1" x14ac:dyDescent="0.3">
      <c r="A3090" s="12"/>
      <c r="B3090" s="12"/>
      <c r="C3090" s="12"/>
      <c r="D3090" s="3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2"/>
      <c r="W3090" s="12"/>
      <c r="X3090" s="12"/>
      <c r="Y3090" s="12"/>
      <c r="Z3090" s="12"/>
      <c r="AA3090" s="12"/>
      <c r="AB3090" s="12"/>
      <c r="AC3090" s="12"/>
      <c r="AD3090" s="12"/>
    </row>
    <row r="3091" spans="1:30" ht="15.75" thickBot="1" x14ac:dyDescent="0.3">
      <c r="A3091" s="12"/>
      <c r="B3091" s="12"/>
      <c r="C3091" s="12"/>
      <c r="D3091" s="3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2"/>
      <c r="W3091" s="12"/>
      <c r="X3091" s="12"/>
      <c r="Y3091" s="12"/>
      <c r="Z3091" s="12"/>
      <c r="AA3091" s="12"/>
      <c r="AB3091" s="12"/>
      <c r="AC3091" s="12"/>
      <c r="AD3091" s="12"/>
    </row>
    <row r="3092" spans="1:30" ht="15.75" thickBot="1" x14ac:dyDescent="0.3">
      <c r="A3092" s="12"/>
      <c r="B3092" s="12"/>
      <c r="C3092" s="12"/>
      <c r="D3092" s="3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2"/>
      <c r="W3092" s="12"/>
      <c r="X3092" s="12"/>
      <c r="Y3092" s="12"/>
      <c r="Z3092" s="12"/>
      <c r="AA3092" s="12"/>
      <c r="AB3092" s="12"/>
      <c r="AC3092" s="12"/>
      <c r="AD3092" s="12"/>
    </row>
    <row r="3093" spans="1:30" ht="15.75" thickBot="1" x14ac:dyDescent="0.3">
      <c r="A3093" s="12"/>
      <c r="B3093" s="12"/>
      <c r="C3093" s="12"/>
      <c r="D3093" s="3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2"/>
      <c r="W3093" s="12"/>
      <c r="X3093" s="12"/>
      <c r="Y3093" s="12"/>
      <c r="Z3093" s="12"/>
      <c r="AA3093" s="12"/>
      <c r="AB3093" s="12"/>
      <c r="AC3093" s="12"/>
      <c r="AD3093" s="12"/>
    </row>
    <row r="3094" spans="1:30" ht="15.75" thickBot="1" x14ac:dyDescent="0.3">
      <c r="A3094" s="12"/>
      <c r="B3094" s="12"/>
      <c r="C3094" s="12"/>
      <c r="D3094" s="3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2"/>
      <c r="W3094" s="12"/>
      <c r="X3094" s="12"/>
      <c r="Y3094" s="12"/>
      <c r="Z3094" s="12"/>
      <c r="AA3094" s="12"/>
      <c r="AB3094" s="12"/>
      <c r="AC3094" s="12"/>
      <c r="AD3094" s="12"/>
    </row>
    <row r="3095" spans="1:30" ht="15.75" thickBot="1" x14ac:dyDescent="0.3">
      <c r="A3095" s="12"/>
      <c r="B3095" s="12"/>
      <c r="C3095" s="12"/>
      <c r="D3095" s="3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2"/>
      <c r="W3095" s="12"/>
      <c r="X3095" s="12"/>
      <c r="Y3095" s="12"/>
      <c r="Z3095" s="12"/>
      <c r="AA3095" s="12"/>
      <c r="AB3095" s="12"/>
      <c r="AC3095" s="12"/>
      <c r="AD3095" s="12"/>
    </row>
    <row r="3096" spans="1:30" ht="15.75" thickBot="1" x14ac:dyDescent="0.3">
      <c r="A3096" s="12"/>
      <c r="B3096" s="12"/>
      <c r="C3096" s="12"/>
      <c r="D3096" s="3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2"/>
      <c r="W3096" s="12"/>
      <c r="X3096" s="12"/>
      <c r="Y3096" s="12"/>
      <c r="Z3096" s="12"/>
      <c r="AA3096" s="12"/>
      <c r="AB3096" s="12"/>
      <c r="AC3096" s="12"/>
      <c r="AD3096" s="12"/>
    </row>
    <row r="3097" spans="1:30" ht="15.75" thickBot="1" x14ac:dyDescent="0.3">
      <c r="A3097" s="12"/>
      <c r="B3097" s="12"/>
      <c r="C3097" s="12"/>
      <c r="D3097" s="3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2"/>
      <c r="W3097" s="12"/>
      <c r="X3097" s="12"/>
      <c r="Y3097" s="12"/>
      <c r="Z3097" s="12"/>
      <c r="AA3097" s="12"/>
      <c r="AB3097" s="12"/>
      <c r="AC3097" s="12"/>
      <c r="AD3097" s="12"/>
    </row>
    <row r="3098" spans="1:30" ht="15.75" thickBot="1" x14ac:dyDescent="0.3">
      <c r="A3098" s="12"/>
      <c r="B3098" s="12"/>
      <c r="C3098" s="12"/>
      <c r="D3098" s="3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2"/>
      <c r="W3098" s="12"/>
      <c r="X3098" s="12"/>
      <c r="Y3098" s="12"/>
      <c r="Z3098" s="12"/>
      <c r="AA3098" s="12"/>
      <c r="AB3098" s="12"/>
      <c r="AC3098" s="12"/>
      <c r="AD3098" s="12"/>
    </row>
    <row r="3099" spans="1:30" ht="15.75" thickBot="1" x14ac:dyDescent="0.3">
      <c r="A3099" s="12"/>
      <c r="B3099" s="12"/>
      <c r="C3099" s="12"/>
      <c r="D3099" s="3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2"/>
      <c r="W3099" s="12"/>
      <c r="X3099" s="12"/>
      <c r="Y3099" s="12"/>
      <c r="Z3099" s="12"/>
      <c r="AA3099" s="12"/>
      <c r="AB3099" s="12"/>
      <c r="AC3099" s="12"/>
      <c r="AD3099" s="12"/>
    </row>
    <row r="3100" spans="1:30" ht="15.75" thickBot="1" x14ac:dyDescent="0.3">
      <c r="A3100" s="12"/>
      <c r="B3100" s="12"/>
      <c r="C3100" s="12"/>
      <c r="D3100" s="3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2"/>
      <c r="W3100" s="12"/>
      <c r="X3100" s="12"/>
      <c r="Y3100" s="12"/>
      <c r="Z3100" s="12"/>
      <c r="AA3100" s="12"/>
      <c r="AB3100" s="12"/>
      <c r="AC3100" s="12"/>
      <c r="AD3100" s="12"/>
    </row>
    <row r="3101" spans="1:30" ht="15.75" thickBot="1" x14ac:dyDescent="0.3">
      <c r="A3101" s="12"/>
      <c r="B3101" s="12"/>
      <c r="C3101" s="12"/>
      <c r="D3101" s="3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2"/>
      <c r="W3101" s="12"/>
      <c r="X3101" s="12"/>
      <c r="Y3101" s="12"/>
      <c r="Z3101" s="12"/>
      <c r="AA3101" s="12"/>
      <c r="AB3101" s="12"/>
      <c r="AC3101" s="12"/>
      <c r="AD3101" s="12"/>
    </row>
    <row r="3102" spans="1:30" ht="15.75" thickBot="1" x14ac:dyDescent="0.3">
      <c r="A3102" s="12"/>
      <c r="B3102" s="12"/>
      <c r="C3102" s="12"/>
      <c r="D3102" s="3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2"/>
      <c r="W3102" s="12"/>
      <c r="X3102" s="12"/>
      <c r="Y3102" s="12"/>
      <c r="Z3102" s="12"/>
      <c r="AA3102" s="12"/>
      <c r="AB3102" s="12"/>
      <c r="AC3102" s="12"/>
      <c r="AD3102" s="12"/>
    </row>
    <row r="3103" spans="1:30" ht="15.75" thickBot="1" x14ac:dyDescent="0.3">
      <c r="A3103" s="12"/>
      <c r="B3103" s="12"/>
      <c r="C3103" s="12"/>
      <c r="D3103" s="3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2"/>
      <c r="W3103" s="12"/>
      <c r="X3103" s="12"/>
      <c r="Y3103" s="12"/>
      <c r="Z3103" s="12"/>
      <c r="AA3103" s="12"/>
      <c r="AB3103" s="12"/>
      <c r="AC3103" s="12"/>
      <c r="AD3103" s="12"/>
    </row>
    <row r="3104" spans="1:30" ht="15.75" thickBot="1" x14ac:dyDescent="0.3">
      <c r="A3104" s="12"/>
      <c r="B3104" s="12"/>
      <c r="C3104" s="12"/>
      <c r="D3104" s="3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2"/>
      <c r="W3104" s="12"/>
      <c r="X3104" s="12"/>
      <c r="Y3104" s="12"/>
      <c r="Z3104" s="12"/>
      <c r="AA3104" s="12"/>
      <c r="AB3104" s="12"/>
      <c r="AC3104" s="12"/>
      <c r="AD3104" s="12"/>
    </row>
    <row r="3105" spans="1:30" ht="15.75" thickBot="1" x14ac:dyDescent="0.3">
      <c r="A3105" s="12"/>
      <c r="B3105" s="12"/>
      <c r="C3105" s="12"/>
      <c r="D3105" s="3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2"/>
      <c r="W3105" s="12"/>
      <c r="X3105" s="12"/>
      <c r="Y3105" s="12"/>
      <c r="Z3105" s="12"/>
      <c r="AA3105" s="12"/>
      <c r="AB3105" s="12"/>
      <c r="AC3105" s="12"/>
      <c r="AD3105" s="12"/>
    </row>
    <row r="3106" spans="1:30" ht="15.75" thickBot="1" x14ac:dyDescent="0.3">
      <c r="A3106" s="12"/>
      <c r="B3106" s="12"/>
      <c r="C3106" s="12"/>
      <c r="D3106" s="3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2"/>
      <c r="W3106" s="12"/>
      <c r="X3106" s="12"/>
      <c r="Y3106" s="12"/>
      <c r="Z3106" s="12"/>
      <c r="AA3106" s="12"/>
      <c r="AB3106" s="12"/>
      <c r="AC3106" s="12"/>
      <c r="AD3106" s="12"/>
    </row>
    <row r="3107" spans="1:30" ht="15.75" thickBot="1" x14ac:dyDescent="0.3">
      <c r="A3107" s="12"/>
      <c r="B3107" s="12"/>
      <c r="C3107" s="12"/>
      <c r="D3107" s="3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2"/>
      <c r="W3107" s="12"/>
      <c r="X3107" s="12"/>
      <c r="Y3107" s="12"/>
      <c r="Z3107" s="12"/>
      <c r="AA3107" s="12"/>
      <c r="AB3107" s="12"/>
      <c r="AC3107" s="12"/>
      <c r="AD3107" s="12"/>
    </row>
    <row r="3108" spans="1:30" ht="15.75" thickBot="1" x14ac:dyDescent="0.3">
      <c r="A3108" s="12"/>
      <c r="B3108" s="12"/>
      <c r="C3108" s="12"/>
      <c r="D3108" s="3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2"/>
      <c r="W3108" s="12"/>
      <c r="X3108" s="12"/>
      <c r="Y3108" s="12"/>
      <c r="Z3108" s="12"/>
      <c r="AA3108" s="12"/>
      <c r="AB3108" s="12"/>
      <c r="AC3108" s="12"/>
      <c r="AD3108" s="12"/>
    </row>
    <row r="3109" spans="1:30" ht="15.75" thickBot="1" x14ac:dyDescent="0.3">
      <c r="A3109" s="12"/>
      <c r="B3109" s="12"/>
      <c r="C3109" s="12"/>
      <c r="D3109" s="3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2"/>
      <c r="W3109" s="12"/>
      <c r="X3109" s="12"/>
      <c r="Y3109" s="12"/>
      <c r="Z3109" s="12"/>
      <c r="AA3109" s="12"/>
      <c r="AB3109" s="12"/>
      <c r="AC3109" s="12"/>
      <c r="AD3109" s="12"/>
    </row>
    <row r="3110" spans="1:30" ht="15.75" thickBot="1" x14ac:dyDescent="0.3">
      <c r="A3110" s="12"/>
      <c r="B3110" s="12"/>
      <c r="C3110" s="12"/>
      <c r="D3110" s="3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2"/>
      <c r="W3110" s="12"/>
      <c r="X3110" s="12"/>
      <c r="Y3110" s="12"/>
      <c r="Z3110" s="12"/>
      <c r="AA3110" s="12"/>
      <c r="AB3110" s="12"/>
      <c r="AC3110" s="12"/>
      <c r="AD3110" s="12"/>
    </row>
    <row r="3111" spans="1:30" ht="15.75" thickBot="1" x14ac:dyDescent="0.3">
      <c r="A3111" s="12"/>
      <c r="B3111" s="12"/>
      <c r="C3111" s="12"/>
      <c r="D3111" s="3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2"/>
      <c r="W3111" s="12"/>
      <c r="X3111" s="12"/>
      <c r="Y3111" s="12"/>
      <c r="Z3111" s="12"/>
      <c r="AA3111" s="12"/>
      <c r="AB3111" s="12"/>
      <c r="AC3111" s="12"/>
      <c r="AD3111" s="12"/>
    </row>
    <row r="3112" spans="1:30" ht="15.75" thickBot="1" x14ac:dyDescent="0.3">
      <c r="A3112" s="12"/>
      <c r="B3112" s="12"/>
      <c r="C3112" s="12"/>
      <c r="D3112" s="3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2"/>
      <c r="W3112" s="12"/>
      <c r="X3112" s="12"/>
      <c r="Y3112" s="12"/>
      <c r="Z3112" s="12"/>
      <c r="AA3112" s="12"/>
      <c r="AB3112" s="12"/>
      <c r="AC3112" s="12"/>
      <c r="AD3112" s="12"/>
    </row>
    <row r="3113" spans="1:30" ht="15.75" thickBot="1" x14ac:dyDescent="0.3">
      <c r="A3113" s="12"/>
      <c r="B3113" s="12"/>
      <c r="C3113" s="12"/>
      <c r="D3113" s="3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2"/>
      <c r="W3113" s="12"/>
      <c r="X3113" s="12"/>
      <c r="Y3113" s="12"/>
      <c r="Z3113" s="12"/>
      <c r="AA3113" s="12"/>
      <c r="AB3113" s="12"/>
      <c r="AC3113" s="12"/>
      <c r="AD3113" s="12"/>
    </row>
    <row r="3114" spans="1:30" ht="15.75" thickBot="1" x14ac:dyDescent="0.3">
      <c r="A3114" s="12"/>
      <c r="B3114" s="12"/>
      <c r="C3114" s="12"/>
      <c r="D3114" s="3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2"/>
      <c r="W3114" s="12"/>
      <c r="X3114" s="12"/>
      <c r="Y3114" s="12"/>
      <c r="Z3114" s="12"/>
      <c r="AA3114" s="12"/>
      <c r="AB3114" s="12"/>
      <c r="AC3114" s="12"/>
      <c r="AD3114" s="12"/>
    </row>
    <row r="3115" spans="1:30" ht="15.75" thickBot="1" x14ac:dyDescent="0.3">
      <c r="A3115" s="12"/>
      <c r="B3115" s="12"/>
      <c r="C3115" s="12"/>
      <c r="D3115" s="3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2"/>
      <c r="W3115" s="12"/>
      <c r="X3115" s="12"/>
      <c r="Y3115" s="12"/>
      <c r="Z3115" s="12"/>
      <c r="AA3115" s="12"/>
      <c r="AB3115" s="12"/>
      <c r="AC3115" s="12"/>
      <c r="AD3115" s="12"/>
    </row>
    <row r="3116" spans="1:30" ht="15.75" thickBot="1" x14ac:dyDescent="0.3">
      <c r="A3116" s="12"/>
      <c r="B3116" s="12"/>
      <c r="C3116" s="12"/>
      <c r="D3116" s="3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2"/>
      <c r="W3116" s="12"/>
      <c r="X3116" s="12"/>
      <c r="Y3116" s="12"/>
      <c r="Z3116" s="12"/>
      <c r="AA3116" s="12"/>
      <c r="AB3116" s="12"/>
      <c r="AC3116" s="12"/>
      <c r="AD3116" s="12"/>
    </row>
    <row r="3117" spans="1:30" ht="15.75" thickBot="1" x14ac:dyDescent="0.3">
      <c r="A3117" s="12"/>
      <c r="B3117" s="12"/>
      <c r="C3117" s="12"/>
      <c r="D3117" s="3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2"/>
      <c r="W3117" s="12"/>
      <c r="X3117" s="12"/>
      <c r="Y3117" s="12"/>
      <c r="Z3117" s="12"/>
      <c r="AA3117" s="12"/>
      <c r="AB3117" s="12"/>
      <c r="AC3117" s="12"/>
      <c r="AD3117" s="12"/>
    </row>
    <row r="3118" spans="1:30" ht="15.75" thickBot="1" x14ac:dyDescent="0.3">
      <c r="A3118" s="12"/>
      <c r="B3118" s="12"/>
      <c r="C3118" s="12"/>
      <c r="D3118" s="3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2"/>
      <c r="W3118" s="12"/>
      <c r="X3118" s="12"/>
      <c r="Y3118" s="12"/>
      <c r="Z3118" s="12"/>
      <c r="AA3118" s="12"/>
      <c r="AB3118" s="12"/>
      <c r="AC3118" s="12"/>
      <c r="AD3118" s="12"/>
    </row>
    <row r="3119" spans="1:30" ht="15.75" thickBot="1" x14ac:dyDescent="0.3">
      <c r="A3119" s="12"/>
      <c r="B3119" s="12"/>
      <c r="C3119" s="12"/>
      <c r="D3119" s="3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2"/>
      <c r="W3119" s="12"/>
      <c r="X3119" s="12"/>
      <c r="Y3119" s="12"/>
      <c r="Z3119" s="12"/>
      <c r="AA3119" s="12"/>
      <c r="AB3119" s="12"/>
      <c r="AC3119" s="12"/>
      <c r="AD3119" s="12"/>
    </row>
    <row r="3120" spans="1:30" ht="15.75" thickBot="1" x14ac:dyDescent="0.3">
      <c r="A3120" s="12"/>
      <c r="B3120" s="12"/>
      <c r="C3120" s="12"/>
      <c r="D3120" s="3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2"/>
      <c r="W3120" s="12"/>
      <c r="X3120" s="12"/>
      <c r="Y3120" s="12"/>
      <c r="Z3120" s="12"/>
      <c r="AA3120" s="12"/>
      <c r="AB3120" s="12"/>
      <c r="AC3120" s="12"/>
      <c r="AD3120" s="12"/>
    </row>
    <row r="3121" spans="1:30" ht="15.75" thickBot="1" x14ac:dyDescent="0.3">
      <c r="A3121" s="12"/>
      <c r="B3121" s="12"/>
      <c r="C3121" s="12"/>
      <c r="D3121" s="3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2"/>
      <c r="W3121" s="12"/>
      <c r="X3121" s="12"/>
      <c r="Y3121" s="12"/>
      <c r="Z3121" s="12"/>
      <c r="AA3121" s="12"/>
      <c r="AB3121" s="12"/>
      <c r="AC3121" s="12"/>
      <c r="AD3121" s="12"/>
    </row>
    <row r="3122" spans="1:30" ht="15.75" thickBot="1" x14ac:dyDescent="0.3">
      <c r="A3122" s="12"/>
      <c r="B3122" s="12"/>
      <c r="C3122" s="12"/>
      <c r="D3122" s="3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2"/>
      <c r="W3122" s="12"/>
      <c r="X3122" s="12"/>
      <c r="Y3122" s="12"/>
      <c r="Z3122" s="12"/>
      <c r="AA3122" s="12"/>
      <c r="AB3122" s="12"/>
      <c r="AC3122" s="12"/>
      <c r="AD3122" s="12"/>
    </row>
    <row r="3123" spans="1:30" ht="15.75" thickBot="1" x14ac:dyDescent="0.3">
      <c r="A3123" s="12"/>
      <c r="B3123" s="12"/>
      <c r="C3123" s="12"/>
      <c r="D3123" s="3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2"/>
      <c r="W3123" s="12"/>
      <c r="X3123" s="12"/>
      <c r="Y3123" s="12"/>
      <c r="Z3123" s="12"/>
      <c r="AA3123" s="12"/>
      <c r="AB3123" s="12"/>
      <c r="AC3123" s="12"/>
      <c r="AD3123" s="12"/>
    </row>
    <row r="3124" spans="1:30" ht="15.75" thickBot="1" x14ac:dyDescent="0.3">
      <c r="A3124" s="12"/>
      <c r="B3124" s="12"/>
      <c r="C3124" s="12"/>
      <c r="D3124" s="3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2"/>
      <c r="W3124" s="12"/>
      <c r="X3124" s="12"/>
      <c r="Y3124" s="12"/>
      <c r="Z3124" s="12"/>
      <c r="AA3124" s="12"/>
      <c r="AB3124" s="12"/>
      <c r="AC3124" s="12"/>
      <c r="AD3124" s="12"/>
    </row>
    <row r="3125" spans="1:30" ht="15.75" thickBot="1" x14ac:dyDescent="0.3">
      <c r="A3125" s="12"/>
      <c r="B3125" s="12"/>
      <c r="C3125" s="12"/>
      <c r="D3125" s="3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2"/>
      <c r="W3125" s="12"/>
      <c r="X3125" s="12"/>
      <c r="Y3125" s="12"/>
      <c r="Z3125" s="12"/>
      <c r="AA3125" s="12"/>
      <c r="AB3125" s="12"/>
      <c r="AC3125" s="12"/>
      <c r="AD3125" s="12"/>
    </row>
    <row r="3126" spans="1:30" ht="15.75" thickBot="1" x14ac:dyDescent="0.3">
      <c r="A3126" s="12"/>
      <c r="B3126" s="12"/>
      <c r="C3126" s="12"/>
      <c r="D3126" s="3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2"/>
      <c r="W3126" s="12"/>
      <c r="X3126" s="12"/>
      <c r="Y3126" s="12"/>
      <c r="Z3126" s="12"/>
      <c r="AA3126" s="12"/>
      <c r="AB3126" s="12"/>
      <c r="AC3126" s="12"/>
      <c r="AD3126" s="12"/>
    </row>
    <row r="3127" spans="1:30" ht="15.75" thickBot="1" x14ac:dyDescent="0.3">
      <c r="A3127" s="12"/>
      <c r="B3127" s="12"/>
      <c r="C3127" s="12"/>
      <c r="D3127" s="3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2"/>
      <c r="W3127" s="12"/>
      <c r="X3127" s="12"/>
      <c r="Y3127" s="12"/>
      <c r="Z3127" s="12"/>
      <c r="AA3127" s="12"/>
      <c r="AB3127" s="12"/>
      <c r="AC3127" s="12"/>
      <c r="AD3127" s="12"/>
    </row>
    <row r="3128" spans="1:30" ht="15.75" thickBot="1" x14ac:dyDescent="0.3">
      <c r="A3128" s="12"/>
      <c r="B3128" s="12"/>
      <c r="C3128" s="12"/>
      <c r="D3128" s="3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2"/>
      <c r="W3128" s="12"/>
      <c r="X3128" s="12"/>
      <c r="Y3128" s="12"/>
      <c r="Z3128" s="12"/>
      <c r="AA3128" s="12"/>
      <c r="AB3128" s="12"/>
      <c r="AC3128" s="12"/>
      <c r="AD3128" s="12"/>
    </row>
    <row r="3129" spans="1:30" ht="15.75" thickBot="1" x14ac:dyDescent="0.3">
      <c r="A3129" s="12"/>
      <c r="B3129" s="12"/>
      <c r="C3129" s="12"/>
      <c r="D3129" s="3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2"/>
      <c r="W3129" s="12"/>
      <c r="X3129" s="12"/>
      <c r="Y3129" s="12"/>
      <c r="Z3129" s="12"/>
      <c r="AA3129" s="12"/>
      <c r="AB3129" s="12"/>
      <c r="AC3129" s="12"/>
      <c r="AD3129" s="12"/>
    </row>
    <row r="3130" spans="1:30" ht="15.75" thickBot="1" x14ac:dyDescent="0.3">
      <c r="A3130" s="12"/>
      <c r="B3130" s="12"/>
      <c r="C3130" s="12"/>
      <c r="D3130" s="3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2"/>
      <c r="W3130" s="12"/>
      <c r="X3130" s="12"/>
      <c r="Y3130" s="12"/>
      <c r="Z3130" s="12"/>
      <c r="AA3130" s="12"/>
      <c r="AB3130" s="12"/>
      <c r="AC3130" s="12"/>
      <c r="AD3130" s="12"/>
    </row>
    <row r="3131" spans="1:30" ht="15.75" thickBot="1" x14ac:dyDescent="0.3">
      <c r="A3131" s="12"/>
      <c r="B3131" s="12"/>
      <c r="C3131" s="12"/>
      <c r="D3131" s="3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2"/>
      <c r="W3131" s="12"/>
      <c r="X3131" s="12"/>
      <c r="Y3131" s="12"/>
      <c r="Z3131" s="12"/>
      <c r="AA3131" s="12"/>
      <c r="AB3131" s="12"/>
      <c r="AC3131" s="12"/>
      <c r="AD3131" s="12"/>
    </row>
    <row r="3132" spans="1:30" ht="15.75" thickBot="1" x14ac:dyDescent="0.3">
      <c r="A3132" s="12"/>
      <c r="B3132" s="12"/>
      <c r="C3132" s="12"/>
      <c r="D3132" s="3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2"/>
      <c r="W3132" s="12"/>
      <c r="X3132" s="12"/>
      <c r="Y3132" s="12"/>
      <c r="Z3132" s="12"/>
      <c r="AA3132" s="12"/>
      <c r="AB3132" s="12"/>
      <c r="AC3132" s="12"/>
      <c r="AD3132" s="12"/>
    </row>
    <row r="3133" spans="1:30" ht="15.75" thickBot="1" x14ac:dyDescent="0.3">
      <c r="A3133" s="12"/>
      <c r="B3133" s="12"/>
      <c r="C3133" s="12"/>
      <c r="D3133" s="3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2"/>
      <c r="W3133" s="12"/>
      <c r="X3133" s="12"/>
      <c r="Y3133" s="12"/>
      <c r="Z3133" s="12"/>
      <c r="AA3133" s="12"/>
      <c r="AB3133" s="12"/>
      <c r="AC3133" s="12"/>
      <c r="AD3133" s="12"/>
    </row>
    <row r="3134" spans="1:30" ht="15.75" thickBot="1" x14ac:dyDescent="0.3">
      <c r="A3134" s="12"/>
      <c r="B3134" s="12"/>
      <c r="C3134" s="12"/>
      <c r="D3134" s="3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2"/>
      <c r="W3134" s="12"/>
      <c r="X3134" s="12"/>
      <c r="Y3134" s="12"/>
      <c r="Z3134" s="12"/>
      <c r="AA3134" s="12"/>
      <c r="AB3134" s="12"/>
      <c r="AC3134" s="12"/>
      <c r="AD3134" s="12"/>
    </row>
    <row r="3135" spans="1:30" ht="15.75" thickBot="1" x14ac:dyDescent="0.3">
      <c r="A3135" s="12"/>
      <c r="B3135" s="12"/>
      <c r="C3135" s="12"/>
      <c r="D3135" s="3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2"/>
      <c r="W3135" s="12"/>
      <c r="X3135" s="12"/>
      <c r="Y3135" s="12"/>
      <c r="Z3135" s="12"/>
      <c r="AA3135" s="12"/>
      <c r="AB3135" s="12"/>
      <c r="AC3135" s="12"/>
      <c r="AD3135" s="12"/>
    </row>
    <row r="3136" spans="1:30" ht="15.75" thickBot="1" x14ac:dyDescent="0.3">
      <c r="A3136" s="12"/>
      <c r="B3136" s="12"/>
      <c r="C3136" s="12"/>
      <c r="D3136" s="3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2"/>
      <c r="W3136" s="12"/>
      <c r="X3136" s="12"/>
      <c r="Y3136" s="12"/>
      <c r="Z3136" s="12"/>
      <c r="AA3136" s="12"/>
      <c r="AB3136" s="12"/>
      <c r="AC3136" s="12"/>
      <c r="AD3136" s="12"/>
    </row>
    <row r="3137" spans="1:30" ht="15.75" thickBot="1" x14ac:dyDescent="0.3">
      <c r="A3137" s="12"/>
      <c r="B3137" s="12"/>
      <c r="C3137" s="12"/>
      <c r="D3137" s="3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2"/>
      <c r="W3137" s="12"/>
      <c r="X3137" s="12"/>
      <c r="Y3137" s="12"/>
      <c r="Z3137" s="12"/>
      <c r="AA3137" s="12"/>
      <c r="AB3137" s="12"/>
      <c r="AC3137" s="12"/>
      <c r="AD3137" s="12"/>
    </row>
    <row r="3138" spans="1:30" ht="15.75" thickBot="1" x14ac:dyDescent="0.3">
      <c r="A3138" s="12"/>
      <c r="B3138" s="12"/>
      <c r="C3138" s="12"/>
      <c r="D3138" s="3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2"/>
      <c r="W3138" s="12"/>
      <c r="X3138" s="12"/>
      <c r="Y3138" s="12"/>
      <c r="Z3138" s="12"/>
      <c r="AA3138" s="12"/>
      <c r="AB3138" s="12"/>
      <c r="AC3138" s="12"/>
      <c r="AD3138" s="12"/>
    </row>
    <row r="3139" spans="1:30" ht="15.75" thickBot="1" x14ac:dyDescent="0.3">
      <c r="A3139" s="12"/>
      <c r="B3139" s="12"/>
      <c r="C3139" s="12"/>
      <c r="D3139" s="3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2"/>
      <c r="W3139" s="12"/>
      <c r="X3139" s="12"/>
      <c r="Y3139" s="12"/>
      <c r="Z3139" s="12"/>
      <c r="AA3139" s="12"/>
      <c r="AB3139" s="12"/>
      <c r="AC3139" s="12"/>
      <c r="AD3139" s="12"/>
    </row>
    <row r="3140" spans="1:30" ht="15.75" thickBot="1" x14ac:dyDescent="0.3">
      <c r="A3140" s="12"/>
      <c r="B3140" s="12"/>
      <c r="C3140" s="12"/>
      <c r="D3140" s="3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2"/>
      <c r="W3140" s="12"/>
      <c r="X3140" s="12"/>
      <c r="Y3140" s="12"/>
      <c r="Z3140" s="12"/>
      <c r="AA3140" s="12"/>
      <c r="AB3140" s="12"/>
      <c r="AC3140" s="12"/>
      <c r="AD3140" s="12"/>
    </row>
    <row r="3141" spans="1:30" ht="15.75" thickBot="1" x14ac:dyDescent="0.3">
      <c r="A3141" s="12"/>
      <c r="B3141" s="12"/>
      <c r="C3141" s="12"/>
      <c r="D3141" s="3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2"/>
      <c r="W3141" s="12"/>
      <c r="X3141" s="12"/>
      <c r="Y3141" s="12"/>
      <c r="Z3141" s="12"/>
      <c r="AA3141" s="12"/>
      <c r="AB3141" s="12"/>
      <c r="AC3141" s="12"/>
      <c r="AD3141" s="12"/>
    </row>
    <row r="3142" spans="1:30" ht="15.75" thickBot="1" x14ac:dyDescent="0.3">
      <c r="A3142" s="12"/>
      <c r="B3142" s="12"/>
      <c r="C3142" s="12"/>
      <c r="D3142" s="3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2"/>
      <c r="W3142" s="12"/>
      <c r="X3142" s="12"/>
      <c r="Y3142" s="12"/>
      <c r="Z3142" s="12"/>
      <c r="AA3142" s="12"/>
      <c r="AB3142" s="12"/>
      <c r="AC3142" s="12"/>
      <c r="AD3142" s="12"/>
    </row>
    <row r="3143" spans="1:30" ht="15.75" thickBot="1" x14ac:dyDescent="0.3">
      <c r="A3143" s="12"/>
      <c r="B3143" s="12"/>
      <c r="C3143" s="12"/>
      <c r="D3143" s="3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2"/>
      <c r="W3143" s="12"/>
      <c r="X3143" s="12"/>
      <c r="Y3143" s="12"/>
      <c r="Z3143" s="12"/>
      <c r="AA3143" s="12"/>
      <c r="AB3143" s="12"/>
      <c r="AC3143" s="12"/>
      <c r="AD3143" s="12"/>
    </row>
    <row r="3144" spans="1:30" ht="15.75" thickBot="1" x14ac:dyDescent="0.3">
      <c r="A3144" s="12"/>
      <c r="B3144" s="12"/>
      <c r="C3144" s="12"/>
      <c r="D3144" s="3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2"/>
      <c r="W3144" s="12"/>
      <c r="X3144" s="12"/>
      <c r="Y3144" s="12"/>
      <c r="Z3144" s="12"/>
      <c r="AA3144" s="12"/>
      <c r="AB3144" s="12"/>
      <c r="AC3144" s="12"/>
      <c r="AD3144" s="12"/>
    </row>
    <row r="3145" spans="1:30" ht="15.75" thickBot="1" x14ac:dyDescent="0.3">
      <c r="A3145" s="12"/>
      <c r="B3145" s="12"/>
      <c r="C3145" s="12"/>
      <c r="D3145" s="3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2"/>
      <c r="W3145" s="12"/>
      <c r="X3145" s="12"/>
      <c r="Y3145" s="12"/>
      <c r="Z3145" s="12"/>
      <c r="AA3145" s="12"/>
      <c r="AB3145" s="12"/>
      <c r="AC3145" s="12"/>
      <c r="AD3145" s="12"/>
    </row>
    <row r="3146" spans="1:30" ht="15.75" thickBot="1" x14ac:dyDescent="0.3">
      <c r="A3146" s="12"/>
      <c r="B3146" s="12"/>
      <c r="C3146" s="12"/>
      <c r="D3146" s="3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2"/>
      <c r="W3146" s="12"/>
      <c r="X3146" s="12"/>
      <c r="Y3146" s="12"/>
      <c r="Z3146" s="12"/>
      <c r="AA3146" s="12"/>
      <c r="AB3146" s="12"/>
      <c r="AC3146" s="12"/>
      <c r="AD3146" s="12"/>
    </row>
    <row r="3147" spans="1:30" ht="15.75" thickBot="1" x14ac:dyDescent="0.3">
      <c r="A3147" s="12"/>
      <c r="B3147" s="12"/>
      <c r="C3147" s="12"/>
      <c r="D3147" s="3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2"/>
      <c r="W3147" s="12"/>
      <c r="X3147" s="12"/>
      <c r="Y3147" s="12"/>
      <c r="Z3147" s="12"/>
      <c r="AA3147" s="12"/>
      <c r="AB3147" s="12"/>
      <c r="AC3147" s="12"/>
      <c r="AD3147" s="12"/>
    </row>
    <row r="3148" spans="1:30" ht="15.75" thickBot="1" x14ac:dyDescent="0.3">
      <c r="A3148" s="12"/>
      <c r="B3148" s="12"/>
      <c r="C3148" s="12"/>
      <c r="D3148" s="3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2"/>
      <c r="W3148" s="12"/>
      <c r="X3148" s="12"/>
      <c r="Y3148" s="12"/>
      <c r="Z3148" s="12"/>
      <c r="AA3148" s="12"/>
      <c r="AB3148" s="12"/>
      <c r="AC3148" s="12"/>
      <c r="AD3148" s="12"/>
    </row>
    <row r="3149" spans="1:30" ht="15.75" thickBot="1" x14ac:dyDescent="0.3">
      <c r="A3149" s="12"/>
      <c r="B3149" s="12"/>
      <c r="C3149" s="12"/>
      <c r="D3149" s="3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2"/>
      <c r="W3149" s="12"/>
      <c r="X3149" s="12"/>
      <c r="Y3149" s="12"/>
      <c r="Z3149" s="12"/>
      <c r="AA3149" s="12"/>
      <c r="AB3149" s="12"/>
      <c r="AC3149" s="12"/>
      <c r="AD3149" s="12"/>
    </row>
    <row r="3150" spans="1:30" ht="15.75" thickBot="1" x14ac:dyDescent="0.3">
      <c r="A3150" s="12"/>
      <c r="B3150" s="12"/>
      <c r="C3150" s="12"/>
      <c r="D3150" s="3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2"/>
      <c r="W3150" s="12"/>
      <c r="X3150" s="12"/>
      <c r="Y3150" s="12"/>
      <c r="Z3150" s="12"/>
      <c r="AA3150" s="12"/>
      <c r="AB3150" s="12"/>
      <c r="AC3150" s="12"/>
      <c r="AD3150" s="12"/>
    </row>
    <row r="3151" spans="1:30" ht="15.75" thickBot="1" x14ac:dyDescent="0.3">
      <c r="A3151" s="12"/>
      <c r="B3151" s="12"/>
      <c r="C3151" s="12"/>
      <c r="D3151" s="3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2"/>
      <c r="W3151" s="12"/>
      <c r="X3151" s="12"/>
      <c r="Y3151" s="12"/>
      <c r="Z3151" s="12"/>
      <c r="AA3151" s="12"/>
      <c r="AB3151" s="12"/>
      <c r="AC3151" s="12"/>
      <c r="AD3151" s="12"/>
    </row>
    <row r="3152" spans="1:30" ht="15.75" thickBot="1" x14ac:dyDescent="0.3">
      <c r="A3152" s="12"/>
      <c r="B3152" s="12"/>
      <c r="C3152" s="12"/>
      <c r="D3152" s="3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2"/>
      <c r="W3152" s="12"/>
      <c r="X3152" s="12"/>
      <c r="Y3152" s="12"/>
      <c r="Z3152" s="12"/>
      <c r="AA3152" s="12"/>
      <c r="AB3152" s="12"/>
      <c r="AC3152" s="12"/>
      <c r="AD3152" s="12"/>
    </row>
    <row r="3153" spans="1:30" ht="15.75" thickBot="1" x14ac:dyDescent="0.3">
      <c r="A3153" s="12"/>
      <c r="B3153" s="12"/>
      <c r="C3153" s="12"/>
      <c r="D3153" s="3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2"/>
      <c r="W3153" s="12"/>
      <c r="X3153" s="12"/>
      <c r="Y3153" s="12"/>
      <c r="Z3153" s="12"/>
      <c r="AA3153" s="12"/>
      <c r="AB3153" s="12"/>
      <c r="AC3153" s="12"/>
      <c r="AD3153" s="12"/>
    </row>
    <row r="3154" spans="1:30" ht="15.75" thickBot="1" x14ac:dyDescent="0.3">
      <c r="A3154" s="12"/>
      <c r="B3154" s="12"/>
      <c r="C3154" s="12"/>
      <c r="D3154" s="3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2"/>
      <c r="W3154" s="12"/>
      <c r="X3154" s="12"/>
      <c r="Y3154" s="12"/>
      <c r="Z3154" s="12"/>
      <c r="AA3154" s="12"/>
      <c r="AB3154" s="12"/>
      <c r="AC3154" s="12"/>
      <c r="AD3154" s="12"/>
    </row>
    <row r="3155" spans="1:30" ht="15.75" thickBot="1" x14ac:dyDescent="0.3">
      <c r="A3155" s="12"/>
      <c r="B3155" s="12"/>
      <c r="C3155" s="12"/>
      <c r="D3155" s="3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2"/>
      <c r="W3155" s="12"/>
      <c r="X3155" s="12"/>
      <c r="Y3155" s="12"/>
      <c r="Z3155" s="12"/>
      <c r="AA3155" s="12"/>
      <c r="AB3155" s="12"/>
      <c r="AC3155" s="12"/>
      <c r="AD3155" s="12"/>
    </row>
    <row r="3156" spans="1:30" ht="15.75" thickBot="1" x14ac:dyDescent="0.3">
      <c r="A3156" s="12"/>
      <c r="B3156" s="12"/>
      <c r="C3156" s="12"/>
      <c r="D3156" s="3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2"/>
      <c r="W3156" s="12"/>
      <c r="X3156" s="12"/>
      <c r="Y3156" s="12"/>
      <c r="Z3156" s="12"/>
      <c r="AA3156" s="12"/>
      <c r="AB3156" s="12"/>
      <c r="AC3156" s="12"/>
      <c r="AD3156" s="12"/>
    </row>
    <row r="3157" spans="1:30" ht="15.75" thickBot="1" x14ac:dyDescent="0.3">
      <c r="A3157" s="12"/>
      <c r="B3157" s="12"/>
      <c r="C3157" s="12"/>
      <c r="D3157" s="3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2"/>
      <c r="W3157" s="12"/>
      <c r="X3157" s="12"/>
      <c r="Y3157" s="12"/>
      <c r="Z3157" s="12"/>
      <c r="AA3157" s="12"/>
      <c r="AB3157" s="12"/>
      <c r="AC3157" s="12"/>
      <c r="AD3157" s="12"/>
    </row>
    <row r="3158" spans="1:30" ht="15.75" thickBot="1" x14ac:dyDescent="0.3">
      <c r="A3158" s="12"/>
      <c r="B3158" s="12"/>
      <c r="C3158" s="12"/>
      <c r="D3158" s="3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2"/>
      <c r="W3158" s="12"/>
      <c r="X3158" s="12"/>
      <c r="Y3158" s="12"/>
      <c r="Z3158" s="12"/>
      <c r="AA3158" s="12"/>
      <c r="AB3158" s="12"/>
      <c r="AC3158" s="12"/>
      <c r="AD3158" s="12"/>
    </row>
    <row r="3159" spans="1:30" ht="15.75" thickBot="1" x14ac:dyDescent="0.3">
      <c r="A3159" s="12"/>
      <c r="B3159" s="12"/>
      <c r="C3159" s="12"/>
      <c r="D3159" s="3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2"/>
      <c r="W3159" s="12"/>
      <c r="X3159" s="12"/>
      <c r="Y3159" s="12"/>
      <c r="Z3159" s="12"/>
      <c r="AA3159" s="12"/>
      <c r="AB3159" s="12"/>
      <c r="AC3159" s="12"/>
      <c r="AD3159" s="12"/>
    </row>
    <row r="3160" spans="1:30" ht="15.75" thickBot="1" x14ac:dyDescent="0.3">
      <c r="A3160" s="12"/>
      <c r="B3160" s="12"/>
      <c r="C3160" s="12"/>
      <c r="D3160" s="3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2"/>
      <c r="W3160" s="12"/>
      <c r="X3160" s="12"/>
      <c r="Y3160" s="12"/>
      <c r="Z3160" s="12"/>
      <c r="AA3160" s="12"/>
      <c r="AB3160" s="12"/>
      <c r="AC3160" s="12"/>
      <c r="AD3160" s="12"/>
    </row>
    <row r="3161" spans="1:30" ht="15.75" thickBot="1" x14ac:dyDescent="0.3">
      <c r="A3161" s="12"/>
      <c r="B3161" s="12"/>
      <c r="C3161" s="12"/>
      <c r="D3161" s="3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2"/>
      <c r="W3161" s="12"/>
      <c r="X3161" s="12"/>
      <c r="Y3161" s="12"/>
      <c r="Z3161" s="12"/>
      <c r="AA3161" s="12"/>
      <c r="AB3161" s="12"/>
      <c r="AC3161" s="12"/>
      <c r="AD3161" s="12"/>
    </row>
    <row r="3162" spans="1:30" ht="15.75" thickBot="1" x14ac:dyDescent="0.3">
      <c r="A3162" s="12"/>
      <c r="B3162" s="12"/>
      <c r="C3162" s="12"/>
      <c r="D3162" s="3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2"/>
      <c r="W3162" s="12"/>
      <c r="X3162" s="12"/>
      <c r="Y3162" s="12"/>
      <c r="Z3162" s="12"/>
      <c r="AA3162" s="12"/>
      <c r="AB3162" s="12"/>
      <c r="AC3162" s="12"/>
      <c r="AD3162" s="12"/>
    </row>
    <row r="3163" spans="1:30" ht="15.75" thickBot="1" x14ac:dyDescent="0.3">
      <c r="A3163" s="12"/>
      <c r="B3163" s="12"/>
      <c r="C3163" s="12"/>
      <c r="D3163" s="3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2"/>
      <c r="W3163" s="12"/>
      <c r="X3163" s="12"/>
      <c r="Y3163" s="12"/>
      <c r="Z3163" s="12"/>
      <c r="AA3163" s="12"/>
      <c r="AB3163" s="12"/>
      <c r="AC3163" s="12"/>
      <c r="AD3163" s="12"/>
    </row>
    <row r="3164" spans="1:30" ht="15.75" thickBot="1" x14ac:dyDescent="0.3">
      <c r="A3164" s="12"/>
      <c r="B3164" s="12"/>
      <c r="C3164" s="12"/>
      <c r="D3164" s="3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2"/>
      <c r="W3164" s="12"/>
      <c r="X3164" s="12"/>
      <c r="Y3164" s="12"/>
      <c r="Z3164" s="12"/>
      <c r="AA3164" s="12"/>
      <c r="AB3164" s="12"/>
      <c r="AC3164" s="12"/>
      <c r="AD3164" s="12"/>
    </row>
    <row r="3165" spans="1:30" ht="15.75" thickBot="1" x14ac:dyDescent="0.3">
      <c r="A3165" s="12"/>
      <c r="B3165" s="12"/>
      <c r="C3165" s="12"/>
      <c r="D3165" s="3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2"/>
      <c r="W3165" s="12"/>
      <c r="X3165" s="12"/>
      <c r="Y3165" s="12"/>
      <c r="Z3165" s="12"/>
      <c r="AA3165" s="12"/>
      <c r="AB3165" s="12"/>
      <c r="AC3165" s="12"/>
      <c r="AD3165" s="12"/>
    </row>
    <row r="3166" spans="1:30" ht="15.75" thickBot="1" x14ac:dyDescent="0.3">
      <c r="A3166" s="12"/>
      <c r="B3166" s="12"/>
      <c r="C3166" s="12"/>
      <c r="D3166" s="3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2"/>
      <c r="W3166" s="12"/>
      <c r="X3166" s="12"/>
      <c r="Y3166" s="12"/>
      <c r="Z3166" s="12"/>
      <c r="AA3166" s="12"/>
      <c r="AB3166" s="12"/>
      <c r="AC3166" s="12"/>
      <c r="AD3166" s="12"/>
    </row>
    <row r="3167" spans="1:30" ht="15.75" thickBot="1" x14ac:dyDescent="0.3">
      <c r="A3167" s="12"/>
      <c r="B3167" s="12"/>
      <c r="C3167" s="12"/>
      <c r="D3167" s="3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2"/>
      <c r="W3167" s="12"/>
      <c r="X3167" s="12"/>
      <c r="Y3167" s="12"/>
      <c r="Z3167" s="12"/>
      <c r="AA3167" s="12"/>
      <c r="AB3167" s="12"/>
      <c r="AC3167" s="12"/>
      <c r="AD3167" s="12"/>
    </row>
    <row r="3168" spans="1:30" ht="15.75" thickBot="1" x14ac:dyDescent="0.3">
      <c r="A3168" s="12"/>
      <c r="B3168" s="12"/>
      <c r="C3168" s="12"/>
      <c r="D3168" s="3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2"/>
      <c r="W3168" s="12"/>
      <c r="X3168" s="12"/>
      <c r="Y3168" s="12"/>
      <c r="Z3168" s="12"/>
      <c r="AA3168" s="12"/>
      <c r="AB3168" s="12"/>
      <c r="AC3168" s="12"/>
      <c r="AD3168" s="12"/>
    </row>
    <row r="3169" spans="1:30" ht="15.75" thickBot="1" x14ac:dyDescent="0.3">
      <c r="A3169" s="12"/>
      <c r="B3169" s="12"/>
      <c r="C3169" s="12"/>
      <c r="D3169" s="3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2"/>
      <c r="W3169" s="12"/>
      <c r="X3169" s="12"/>
      <c r="Y3169" s="12"/>
      <c r="Z3169" s="12"/>
      <c r="AA3169" s="12"/>
      <c r="AB3169" s="12"/>
      <c r="AC3169" s="12"/>
      <c r="AD3169" s="12"/>
    </row>
    <row r="3170" spans="1:30" ht="15.75" thickBot="1" x14ac:dyDescent="0.3">
      <c r="A3170" s="12"/>
      <c r="B3170" s="12"/>
      <c r="C3170" s="12"/>
      <c r="D3170" s="3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2"/>
      <c r="W3170" s="12"/>
      <c r="X3170" s="12"/>
      <c r="Y3170" s="12"/>
      <c r="Z3170" s="12"/>
      <c r="AA3170" s="12"/>
      <c r="AB3170" s="12"/>
      <c r="AC3170" s="12"/>
      <c r="AD3170" s="12"/>
    </row>
    <row r="3171" spans="1:30" ht="15.75" thickBot="1" x14ac:dyDescent="0.3">
      <c r="A3171" s="12"/>
      <c r="B3171" s="12"/>
      <c r="C3171" s="12"/>
      <c r="D3171" s="3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2"/>
      <c r="W3171" s="12"/>
      <c r="X3171" s="12"/>
      <c r="Y3171" s="12"/>
      <c r="Z3171" s="12"/>
      <c r="AA3171" s="12"/>
      <c r="AB3171" s="12"/>
      <c r="AC3171" s="12"/>
      <c r="AD3171" s="12"/>
    </row>
    <row r="3172" spans="1:30" ht="15.75" thickBot="1" x14ac:dyDescent="0.3">
      <c r="A3172" s="12"/>
      <c r="B3172" s="12"/>
      <c r="C3172" s="12"/>
      <c r="D3172" s="3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2"/>
      <c r="W3172" s="12"/>
      <c r="X3172" s="12"/>
      <c r="Y3172" s="12"/>
      <c r="Z3172" s="12"/>
      <c r="AA3172" s="12"/>
      <c r="AB3172" s="12"/>
      <c r="AC3172" s="12"/>
      <c r="AD3172" s="12"/>
    </row>
    <row r="3173" spans="1:30" ht="15.75" thickBot="1" x14ac:dyDescent="0.3">
      <c r="A3173" s="12"/>
      <c r="B3173" s="12"/>
      <c r="C3173" s="12"/>
      <c r="D3173" s="3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2"/>
      <c r="W3173" s="12"/>
      <c r="X3173" s="12"/>
      <c r="Y3173" s="12"/>
      <c r="Z3173" s="12"/>
      <c r="AA3173" s="12"/>
      <c r="AB3173" s="12"/>
      <c r="AC3173" s="12"/>
      <c r="AD3173" s="12"/>
    </row>
    <row r="3174" spans="1:30" ht="15.75" thickBot="1" x14ac:dyDescent="0.3">
      <c r="A3174" s="12"/>
      <c r="B3174" s="12"/>
      <c r="C3174" s="12"/>
      <c r="D3174" s="3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2"/>
      <c r="W3174" s="12"/>
      <c r="X3174" s="12"/>
      <c r="Y3174" s="12"/>
      <c r="Z3174" s="12"/>
      <c r="AA3174" s="12"/>
      <c r="AB3174" s="12"/>
      <c r="AC3174" s="12"/>
      <c r="AD3174" s="12"/>
    </row>
    <row r="3175" spans="1:30" ht="15.75" thickBot="1" x14ac:dyDescent="0.3">
      <c r="A3175" s="12"/>
      <c r="B3175" s="12"/>
      <c r="C3175" s="12"/>
      <c r="D3175" s="3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2"/>
      <c r="W3175" s="12"/>
      <c r="X3175" s="12"/>
      <c r="Y3175" s="12"/>
      <c r="Z3175" s="12"/>
      <c r="AA3175" s="12"/>
      <c r="AB3175" s="12"/>
      <c r="AC3175" s="12"/>
      <c r="AD3175" s="12"/>
    </row>
    <row r="3176" spans="1:30" ht="15.75" thickBot="1" x14ac:dyDescent="0.3">
      <c r="A3176" s="12"/>
      <c r="B3176" s="12"/>
      <c r="C3176" s="12"/>
      <c r="D3176" s="3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2"/>
      <c r="W3176" s="12"/>
      <c r="X3176" s="12"/>
      <c r="Y3176" s="12"/>
      <c r="Z3176" s="12"/>
      <c r="AA3176" s="12"/>
      <c r="AB3176" s="12"/>
      <c r="AC3176" s="12"/>
      <c r="AD3176" s="12"/>
    </row>
    <row r="3177" spans="1:30" ht="15.75" thickBot="1" x14ac:dyDescent="0.3">
      <c r="A3177" s="12"/>
      <c r="B3177" s="12"/>
      <c r="C3177" s="12"/>
      <c r="D3177" s="3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2"/>
      <c r="W3177" s="12"/>
      <c r="X3177" s="12"/>
      <c r="Y3177" s="12"/>
      <c r="Z3177" s="12"/>
      <c r="AA3177" s="12"/>
      <c r="AB3177" s="12"/>
      <c r="AC3177" s="12"/>
      <c r="AD3177" s="12"/>
    </row>
    <row r="3178" spans="1:30" ht="15.75" thickBot="1" x14ac:dyDescent="0.3">
      <c r="A3178" s="12"/>
      <c r="B3178" s="12"/>
      <c r="C3178" s="12"/>
      <c r="D3178" s="3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2"/>
      <c r="W3178" s="12"/>
      <c r="X3178" s="12"/>
      <c r="Y3178" s="12"/>
      <c r="Z3178" s="12"/>
      <c r="AA3178" s="12"/>
      <c r="AB3178" s="12"/>
      <c r="AC3178" s="12"/>
      <c r="AD3178" s="12"/>
    </row>
    <row r="3179" spans="1:30" ht="15.75" thickBot="1" x14ac:dyDescent="0.3">
      <c r="A3179" s="12"/>
      <c r="B3179" s="12"/>
      <c r="C3179" s="12"/>
      <c r="D3179" s="3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2"/>
      <c r="W3179" s="12"/>
      <c r="X3179" s="12"/>
      <c r="Y3179" s="12"/>
      <c r="Z3179" s="12"/>
      <c r="AA3179" s="12"/>
      <c r="AB3179" s="12"/>
      <c r="AC3179" s="12"/>
      <c r="AD3179" s="12"/>
    </row>
    <row r="3180" spans="1:30" ht="15.75" thickBot="1" x14ac:dyDescent="0.3">
      <c r="A3180" s="12"/>
      <c r="B3180" s="12"/>
      <c r="C3180" s="12"/>
      <c r="D3180" s="3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2"/>
      <c r="W3180" s="12"/>
      <c r="X3180" s="12"/>
      <c r="Y3180" s="12"/>
      <c r="Z3180" s="12"/>
      <c r="AA3180" s="12"/>
      <c r="AB3180" s="12"/>
      <c r="AC3180" s="12"/>
      <c r="AD3180" s="12"/>
    </row>
    <row r="3181" spans="1:30" ht="15.75" thickBot="1" x14ac:dyDescent="0.3">
      <c r="A3181" s="12"/>
      <c r="B3181" s="12"/>
      <c r="C3181" s="12"/>
      <c r="D3181" s="3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2"/>
      <c r="W3181" s="12"/>
      <c r="X3181" s="12"/>
      <c r="Y3181" s="12"/>
      <c r="Z3181" s="12"/>
      <c r="AA3181" s="12"/>
      <c r="AB3181" s="12"/>
      <c r="AC3181" s="12"/>
      <c r="AD3181" s="12"/>
    </row>
    <row r="3182" spans="1:30" ht="15.75" thickBot="1" x14ac:dyDescent="0.3">
      <c r="A3182" s="12"/>
      <c r="B3182" s="12"/>
      <c r="C3182" s="12"/>
      <c r="D3182" s="3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2"/>
      <c r="W3182" s="12"/>
      <c r="X3182" s="12"/>
      <c r="Y3182" s="12"/>
      <c r="Z3182" s="12"/>
      <c r="AA3182" s="12"/>
      <c r="AB3182" s="12"/>
      <c r="AC3182" s="12"/>
      <c r="AD3182" s="12"/>
    </row>
    <row r="3183" spans="1:30" ht="15.75" thickBot="1" x14ac:dyDescent="0.3">
      <c r="A3183" s="12"/>
      <c r="B3183" s="12"/>
      <c r="C3183" s="12"/>
      <c r="D3183" s="3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2"/>
      <c r="W3183" s="12"/>
      <c r="X3183" s="12"/>
      <c r="Y3183" s="12"/>
      <c r="Z3183" s="12"/>
      <c r="AA3183" s="12"/>
      <c r="AB3183" s="12"/>
      <c r="AC3183" s="12"/>
      <c r="AD3183" s="12"/>
    </row>
    <row r="3184" spans="1:30" ht="15.75" thickBot="1" x14ac:dyDescent="0.3">
      <c r="A3184" s="12"/>
      <c r="B3184" s="12"/>
      <c r="C3184" s="12"/>
      <c r="D3184" s="3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2"/>
      <c r="W3184" s="12"/>
      <c r="X3184" s="12"/>
      <c r="Y3184" s="12"/>
      <c r="Z3184" s="12"/>
      <c r="AA3184" s="12"/>
      <c r="AB3184" s="12"/>
      <c r="AC3184" s="12"/>
      <c r="AD3184" s="12"/>
    </row>
    <row r="3185" spans="1:30" ht="15.75" thickBot="1" x14ac:dyDescent="0.3">
      <c r="A3185" s="12"/>
      <c r="B3185" s="12"/>
      <c r="C3185" s="12"/>
      <c r="D3185" s="3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2"/>
      <c r="W3185" s="12"/>
      <c r="X3185" s="12"/>
      <c r="Y3185" s="12"/>
      <c r="Z3185" s="12"/>
      <c r="AA3185" s="12"/>
      <c r="AB3185" s="12"/>
      <c r="AC3185" s="12"/>
      <c r="AD3185" s="12"/>
    </row>
    <row r="3186" spans="1:30" ht="15.75" thickBot="1" x14ac:dyDescent="0.3">
      <c r="A3186" s="12"/>
      <c r="B3186" s="12"/>
      <c r="C3186" s="12"/>
      <c r="D3186" s="3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2"/>
      <c r="W3186" s="12"/>
      <c r="X3186" s="12"/>
      <c r="Y3186" s="12"/>
      <c r="Z3186" s="12"/>
      <c r="AA3186" s="12"/>
      <c r="AB3186" s="12"/>
      <c r="AC3186" s="12"/>
      <c r="AD3186" s="12"/>
    </row>
    <row r="3187" spans="1:30" ht="15.75" thickBot="1" x14ac:dyDescent="0.3">
      <c r="A3187" s="12"/>
      <c r="B3187" s="12"/>
      <c r="C3187" s="12"/>
      <c r="D3187" s="3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2"/>
      <c r="W3187" s="12"/>
      <c r="X3187" s="12"/>
      <c r="Y3187" s="12"/>
      <c r="Z3187" s="12"/>
      <c r="AA3187" s="12"/>
      <c r="AB3187" s="12"/>
      <c r="AC3187" s="12"/>
      <c r="AD3187" s="12"/>
    </row>
    <row r="3188" spans="1:30" ht="15.75" thickBot="1" x14ac:dyDescent="0.3">
      <c r="A3188" s="12"/>
      <c r="B3188" s="12"/>
      <c r="C3188" s="12"/>
      <c r="D3188" s="3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2"/>
      <c r="W3188" s="12"/>
      <c r="X3188" s="12"/>
      <c r="Y3188" s="12"/>
      <c r="Z3188" s="12"/>
      <c r="AA3188" s="12"/>
      <c r="AB3188" s="12"/>
      <c r="AC3188" s="12"/>
      <c r="AD3188" s="12"/>
    </row>
    <row r="3189" spans="1:30" ht="15.75" thickBot="1" x14ac:dyDescent="0.3">
      <c r="A3189" s="12"/>
      <c r="B3189" s="12"/>
      <c r="C3189" s="12"/>
      <c r="D3189" s="3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2"/>
      <c r="W3189" s="12"/>
      <c r="X3189" s="12"/>
      <c r="Y3189" s="12"/>
      <c r="Z3189" s="12"/>
      <c r="AA3189" s="12"/>
      <c r="AB3189" s="12"/>
      <c r="AC3189" s="12"/>
      <c r="AD3189" s="12"/>
    </row>
    <row r="3190" spans="1:30" ht="15.75" thickBot="1" x14ac:dyDescent="0.3">
      <c r="A3190" s="12"/>
      <c r="B3190" s="12"/>
      <c r="C3190" s="12"/>
      <c r="D3190" s="3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2"/>
      <c r="W3190" s="12"/>
      <c r="X3190" s="12"/>
      <c r="Y3190" s="12"/>
      <c r="Z3190" s="12"/>
      <c r="AA3190" s="12"/>
      <c r="AB3190" s="12"/>
      <c r="AC3190" s="12"/>
      <c r="AD3190" s="12"/>
    </row>
    <row r="3191" spans="1:30" ht="15.75" thickBot="1" x14ac:dyDescent="0.3">
      <c r="A3191" s="12"/>
      <c r="B3191" s="12"/>
      <c r="C3191" s="12"/>
      <c r="D3191" s="3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2"/>
      <c r="W3191" s="12"/>
      <c r="X3191" s="12"/>
      <c r="Y3191" s="12"/>
      <c r="Z3191" s="12"/>
      <c r="AA3191" s="12"/>
      <c r="AB3191" s="12"/>
      <c r="AC3191" s="12"/>
      <c r="AD3191" s="12"/>
    </row>
    <row r="3192" spans="1:30" ht="15.75" thickBot="1" x14ac:dyDescent="0.3">
      <c r="A3192" s="12"/>
      <c r="B3192" s="12"/>
      <c r="C3192" s="12"/>
      <c r="D3192" s="3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2"/>
      <c r="W3192" s="12"/>
      <c r="X3192" s="12"/>
      <c r="Y3192" s="12"/>
      <c r="Z3192" s="12"/>
      <c r="AA3192" s="12"/>
      <c r="AB3192" s="12"/>
      <c r="AC3192" s="12"/>
      <c r="AD3192" s="12"/>
    </row>
    <row r="3193" spans="1:30" ht="15.75" thickBot="1" x14ac:dyDescent="0.3">
      <c r="A3193" s="12"/>
      <c r="B3193" s="12"/>
      <c r="C3193" s="12"/>
      <c r="D3193" s="3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2"/>
      <c r="W3193" s="12"/>
      <c r="X3193" s="12"/>
      <c r="Y3193" s="12"/>
      <c r="Z3193" s="12"/>
      <c r="AA3193" s="12"/>
      <c r="AB3193" s="12"/>
      <c r="AC3193" s="12"/>
      <c r="AD3193" s="12"/>
    </row>
    <row r="3194" spans="1:30" ht="15.75" thickBot="1" x14ac:dyDescent="0.3">
      <c r="A3194" s="12"/>
      <c r="B3194" s="12"/>
      <c r="C3194" s="12"/>
      <c r="D3194" s="3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2"/>
      <c r="W3194" s="12"/>
      <c r="X3194" s="12"/>
      <c r="Y3194" s="12"/>
      <c r="Z3194" s="12"/>
      <c r="AA3194" s="12"/>
      <c r="AB3194" s="12"/>
      <c r="AC3194" s="12"/>
      <c r="AD3194" s="12"/>
    </row>
    <row r="3195" spans="1:30" ht="15.75" thickBot="1" x14ac:dyDescent="0.3">
      <c r="A3195" s="12"/>
      <c r="B3195" s="12"/>
      <c r="C3195" s="12"/>
      <c r="D3195" s="3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2"/>
      <c r="W3195" s="12"/>
      <c r="X3195" s="12"/>
      <c r="Y3195" s="12"/>
      <c r="Z3195" s="12"/>
      <c r="AA3195" s="12"/>
      <c r="AB3195" s="12"/>
      <c r="AC3195" s="12"/>
      <c r="AD3195" s="12"/>
    </row>
    <row r="3196" spans="1:30" ht="15.75" thickBot="1" x14ac:dyDescent="0.3">
      <c r="A3196" s="12"/>
      <c r="B3196" s="12"/>
      <c r="C3196" s="12"/>
      <c r="D3196" s="3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2"/>
      <c r="W3196" s="12"/>
      <c r="X3196" s="12"/>
      <c r="Y3196" s="12"/>
      <c r="Z3196" s="12"/>
      <c r="AA3196" s="12"/>
      <c r="AB3196" s="12"/>
      <c r="AC3196" s="12"/>
      <c r="AD3196" s="12"/>
    </row>
    <row r="3197" spans="1:30" ht="15.75" thickBot="1" x14ac:dyDescent="0.3">
      <c r="A3197" s="12"/>
      <c r="B3197" s="12"/>
      <c r="C3197" s="12"/>
      <c r="D3197" s="3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2"/>
      <c r="W3197" s="12"/>
      <c r="X3197" s="12"/>
      <c r="Y3197" s="12"/>
      <c r="Z3197" s="12"/>
      <c r="AA3197" s="12"/>
      <c r="AB3197" s="12"/>
      <c r="AC3197" s="12"/>
      <c r="AD3197" s="12"/>
    </row>
    <row r="3198" spans="1:30" ht="15.75" thickBot="1" x14ac:dyDescent="0.3">
      <c r="A3198" s="12"/>
      <c r="B3198" s="12"/>
      <c r="C3198" s="12"/>
      <c r="D3198" s="3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2"/>
      <c r="W3198" s="12"/>
      <c r="X3198" s="12"/>
      <c r="Y3198" s="12"/>
      <c r="Z3198" s="12"/>
      <c r="AA3198" s="12"/>
      <c r="AB3198" s="12"/>
      <c r="AC3198" s="12"/>
      <c r="AD3198" s="12"/>
    </row>
    <row r="3199" spans="1:30" ht="15.75" thickBot="1" x14ac:dyDescent="0.3">
      <c r="A3199" s="12"/>
      <c r="B3199" s="12"/>
      <c r="C3199" s="12"/>
      <c r="D3199" s="3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2"/>
      <c r="W3199" s="12"/>
      <c r="X3199" s="12"/>
      <c r="Y3199" s="12"/>
      <c r="Z3199" s="12"/>
      <c r="AA3199" s="12"/>
      <c r="AB3199" s="12"/>
      <c r="AC3199" s="12"/>
      <c r="AD3199" s="12"/>
    </row>
    <row r="3200" spans="1:30" ht="15.75" thickBot="1" x14ac:dyDescent="0.3">
      <c r="A3200" s="12"/>
      <c r="B3200" s="12"/>
      <c r="C3200" s="12"/>
      <c r="D3200" s="3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2"/>
      <c r="W3200" s="12"/>
      <c r="X3200" s="12"/>
      <c r="Y3200" s="12"/>
      <c r="Z3200" s="12"/>
      <c r="AA3200" s="12"/>
      <c r="AB3200" s="12"/>
      <c r="AC3200" s="12"/>
      <c r="AD3200" s="12"/>
    </row>
    <row r="3201" spans="1:30" ht="15.75" thickBot="1" x14ac:dyDescent="0.3">
      <c r="A3201" s="12"/>
      <c r="B3201" s="12"/>
      <c r="C3201" s="12"/>
      <c r="D3201" s="3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2"/>
      <c r="W3201" s="12"/>
      <c r="X3201" s="12"/>
      <c r="Y3201" s="12"/>
      <c r="Z3201" s="12"/>
      <c r="AA3201" s="12"/>
      <c r="AB3201" s="12"/>
      <c r="AC3201" s="12"/>
      <c r="AD3201" s="12"/>
    </row>
    <row r="3202" spans="1:30" ht="15.75" thickBot="1" x14ac:dyDescent="0.3">
      <c r="A3202" s="12"/>
      <c r="B3202" s="12"/>
      <c r="C3202" s="12"/>
      <c r="D3202" s="3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2"/>
      <c r="W3202" s="12"/>
      <c r="X3202" s="12"/>
      <c r="Y3202" s="12"/>
      <c r="Z3202" s="12"/>
      <c r="AA3202" s="12"/>
      <c r="AB3202" s="12"/>
      <c r="AC3202" s="12"/>
      <c r="AD3202" s="12"/>
    </row>
    <row r="3203" spans="1:30" ht="15.75" thickBot="1" x14ac:dyDescent="0.3">
      <c r="A3203" s="12"/>
      <c r="B3203" s="12"/>
      <c r="C3203" s="12"/>
      <c r="D3203" s="3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2"/>
      <c r="W3203" s="12"/>
      <c r="X3203" s="12"/>
      <c r="Y3203" s="12"/>
      <c r="Z3203" s="12"/>
      <c r="AA3203" s="12"/>
      <c r="AB3203" s="12"/>
      <c r="AC3203" s="12"/>
      <c r="AD3203" s="12"/>
    </row>
    <row r="3204" spans="1:30" ht="15.75" thickBot="1" x14ac:dyDescent="0.3">
      <c r="A3204" s="12"/>
      <c r="B3204" s="12"/>
      <c r="C3204" s="12"/>
      <c r="D3204" s="3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2"/>
      <c r="W3204" s="12"/>
      <c r="X3204" s="12"/>
      <c r="Y3204" s="12"/>
      <c r="Z3204" s="12"/>
      <c r="AA3204" s="12"/>
      <c r="AB3204" s="12"/>
      <c r="AC3204" s="12"/>
      <c r="AD3204" s="12"/>
    </row>
    <row r="3205" spans="1:30" ht="15.75" thickBot="1" x14ac:dyDescent="0.3">
      <c r="A3205" s="12"/>
      <c r="B3205" s="12"/>
      <c r="C3205" s="12"/>
      <c r="D3205" s="3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2"/>
      <c r="W3205" s="12"/>
      <c r="X3205" s="12"/>
      <c r="Y3205" s="12"/>
      <c r="Z3205" s="12"/>
      <c r="AA3205" s="12"/>
      <c r="AB3205" s="12"/>
      <c r="AC3205" s="12"/>
      <c r="AD3205" s="12"/>
    </row>
    <row r="3206" spans="1:30" ht="15.75" thickBot="1" x14ac:dyDescent="0.3">
      <c r="A3206" s="12"/>
      <c r="B3206" s="12"/>
      <c r="C3206" s="12"/>
      <c r="D3206" s="3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2"/>
      <c r="W3206" s="12"/>
      <c r="X3206" s="12"/>
      <c r="Y3206" s="12"/>
      <c r="Z3206" s="12"/>
      <c r="AA3206" s="12"/>
      <c r="AB3206" s="12"/>
      <c r="AC3206" s="12"/>
      <c r="AD3206" s="12"/>
    </row>
    <row r="3207" spans="1:30" ht="15.75" thickBot="1" x14ac:dyDescent="0.3">
      <c r="A3207" s="12"/>
      <c r="B3207" s="12"/>
      <c r="C3207" s="12"/>
      <c r="D3207" s="3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2"/>
      <c r="W3207" s="12"/>
      <c r="X3207" s="12"/>
      <c r="Y3207" s="12"/>
      <c r="Z3207" s="12"/>
      <c r="AA3207" s="12"/>
      <c r="AB3207" s="12"/>
      <c r="AC3207" s="12"/>
      <c r="AD3207" s="12"/>
    </row>
    <row r="3208" spans="1:30" ht="15.75" thickBot="1" x14ac:dyDescent="0.3">
      <c r="A3208" s="12"/>
      <c r="B3208" s="12"/>
      <c r="C3208" s="12"/>
      <c r="D3208" s="3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2"/>
      <c r="W3208" s="12"/>
      <c r="X3208" s="12"/>
      <c r="Y3208" s="12"/>
      <c r="Z3208" s="12"/>
      <c r="AA3208" s="12"/>
      <c r="AB3208" s="12"/>
      <c r="AC3208" s="12"/>
      <c r="AD3208" s="12"/>
    </row>
    <row r="3209" spans="1:30" ht="15.75" thickBot="1" x14ac:dyDescent="0.3">
      <c r="A3209" s="12"/>
      <c r="B3209" s="12"/>
      <c r="C3209" s="12"/>
      <c r="D3209" s="3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2"/>
      <c r="W3209" s="12"/>
      <c r="X3209" s="12"/>
      <c r="Y3209" s="12"/>
      <c r="Z3209" s="12"/>
      <c r="AA3209" s="12"/>
      <c r="AB3209" s="12"/>
      <c r="AC3209" s="12"/>
      <c r="AD3209" s="12"/>
    </row>
    <row r="3210" spans="1:30" ht="15.75" thickBot="1" x14ac:dyDescent="0.3">
      <c r="A3210" s="12"/>
      <c r="B3210" s="12"/>
      <c r="C3210" s="12"/>
      <c r="D3210" s="3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2"/>
      <c r="W3210" s="12"/>
      <c r="X3210" s="12"/>
      <c r="Y3210" s="12"/>
      <c r="Z3210" s="12"/>
      <c r="AA3210" s="12"/>
      <c r="AB3210" s="12"/>
      <c r="AC3210" s="12"/>
      <c r="AD3210" s="12"/>
    </row>
    <row r="3211" spans="1:30" ht="15.75" thickBot="1" x14ac:dyDescent="0.3">
      <c r="A3211" s="12"/>
      <c r="B3211" s="12"/>
      <c r="C3211" s="12"/>
      <c r="D3211" s="3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2"/>
      <c r="W3211" s="12"/>
      <c r="X3211" s="12"/>
      <c r="Y3211" s="12"/>
      <c r="Z3211" s="12"/>
      <c r="AA3211" s="12"/>
      <c r="AB3211" s="12"/>
      <c r="AC3211" s="12"/>
      <c r="AD3211" s="12"/>
    </row>
    <row r="3212" spans="1:30" ht="15.75" thickBot="1" x14ac:dyDescent="0.3">
      <c r="A3212" s="12"/>
      <c r="B3212" s="12"/>
      <c r="C3212" s="12"/>
      <c r="D3212" s="3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2"/>
      <c r="W3212" s="12"/>
      <c r="X3212" s="12"/>
      <c r="Y3212" s="12"/>
      <c r="Z3212" s="12"/>
      <c r="AA3212" s="12"/>
      <c r="AB3212" s="12"/>
      <c r="AC3212" s="12"/>
      <c r="AD3212" s="12"/>
    </row>
    <row r="3213" spans="1:30" ht="15.75" thickBot="1" x14ac:dyDescent="0.3">
      <c r="A3213" s="12"/>
      <c r="B3213" s="12"/>
      <c r="C3213" s="12"/>
      <c r="D3213" s="3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2"/>
      <c r="W3213" s="12"/>
      <c r="X3213" s="12"/>
      <c r="Y3213" s="12"/>
      <c r="Z3213" s="12"/>
      <c r="AA3213" s="12"/>
      <c r="AB3213" s="12"/>
      <c r="AC3213" s="12"/>
      <c r="AD3213" s="12"/>
    </row>
    <row r="3214" spans="1:30" ht="15.75" thickBot="1" x14ac:dyDescent="0.3">
      <c r="A3214" s="12"/>
      <c r="B3214" s="12"/>
      <c r="C3214" s="12"/>
      <c r="D3214" s="3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2"/>
      <c r="W3214" s="12"/>
      <c r="X3214" s="12"/>
      <c r="Y3214" s="12"/>
      <c r="Z3214" s="12"/>
      <c r="AA3214" s="12"/>
      <c r="AB3214" s="12"/>
      <c r="AC3214" s="12"/>
      <c r="AD3214" s="12"/>
    </row>
    <row r="3215" spans="1:30" ht="15.75" thickBot="1" x14ac:dyDescent="0.3">
      <c r="A3215" s="12"/>
      <c r="B3215" s="12"/>
      <c r="C3215" s="12"/>
      <c r="D3215" s="3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2"/>
      <c r="W3215" s="12"/>
      <c r="X3215" s="12"/>
      <c r="Y3215" s="12"/>
      <c r="Z3215" s="12"/>
      <c r="AA3215" s="12"/>
      <c r="AB3215" s="12"/>
      <c r="AC3215" s="12"/>
      <c r="AD3215" s="12"/>
    </row>
    <row r="3216" spans="1:30" ht="15.75" thickBot="1" x14ac:dyDescent="0.3">
      <c r="A3216" s="12"/>
      <c r="B3216" s="12"/>
      <c r="C3216" s="12"/>
      <c r="D3216" s="3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2"/>
      <c r="W3216" s="12"/>
      <c r="X3216" s="12"/>
      <c r="Y3216" s="12"/>
      <c r="Z3216" s="12"/>
      <c r="AA3216" s="12"/>
      <c r="AB3216" s="12"/>
      <c r="AC3216" s="12"/>
      <c r="AD3216" s="12"/>
    </row>
    <row r="3217" spans="1:30" ht="15.75" thickBot="1" x14ac:dyDescent="0.3">
      <c r="A3217" s="12"/>
      <c r="B3217" s="12"/>
      <c r="C3217" s="12"/>
      <c r="D3217" s="3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2"/>
      <c r="W3217" s="12"/>
      <c r="X3217" s="12"/>
      <c r="Y3217" s="12"/>
      <c r="Z3217" s="12"/>
      <c r="AA3217" s="12"/>
      <c r="AB3217" s="12"/>
      <c r="AC3217" s="12"/>
      <c r="AD3217" s="12"/>
    </row>
    <row r="3218" spans="1:30" ht="15.75" thickBot="1" x14ac:dyDescent="0.3">
      <c r="A3218" s="12"/>
      <c r="B3218" s="12"/>
      <c r="C3218" s="12"/>
      <c r="D3218" s="3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2"/>
      <c r="W3218" s="12"/>
      <c r="X3218" s="12"/>
      <c r="Y3218" s="12"/>
      <c r="Z3218" s="12"/>
      <c r="AA3218" s="12"/>
      <c r="AB3218" s="12"/>
      <c r="AC3218" s="12"/>
      <c r="AD3218" s="12"/>
    </row>
    <row r="3219" spans="1:30" ht="15.75" thickBot="1" x14ac:dyDescent="0.3">
      <c r="A3219" s="12"/>
      <c r="B3219" s="12"/>
      <c r="C3219" s="12"/>
      <c r="D3219" s="3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2"/>
      <c r="W3219" s="12"/>
      <c r="X3219" s="12"/>
      <c r="Y3219" s="12"/>
      <c r="Z3219" s="12"/>
      <c r="AA3219" s="12"/>
      <c r="AB3219" s="12"/>
      <c r="AC3219" s="12"/>
      <c r="AD3219" s="12"/>
    </row>
    <row r="3220" spans="1:30" ht="15.75" thickBot="1" x14ac:dyDescent="0.3">
      <c r="A3220" s="12"/>
      <c r="B3220" s="12"/>
      <c r="C3220" s="12"/>
      <c r="D3220" s="3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2"/>
      <c r="W3220" s="12"/>
      <c r="X3220" s="12"/>
      <c r="Y3220" s="12"/>
      <c r="Z3220" s="12"/>
      <c r="AA3220" s="12"/>
      <c r="AB3220" s="12"/>
      <c r="AC3220" s="12"/>
      <c r="AD3220" s="12"/>
    </row>
    <row r="3221" spans="1:30" ht="15.75" thickBot="1" x14ac:dyDescent="0.3">
      <c r="A3221" s="12"/>
      <c r="B3221" s="12"/>
      <c r="C3221" s="12"/>
      <c r="D3221" s="3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2"/>
      <c r="W3221" s="12"/>
      <c r="X3221" s="12"/>
      <c r="Y3221" s="12"/>
      <c r="Z3221" s="12"/>
      <c r="AA3221" s="12"/>
      <c r="AB3221" s="12"/>
      <c r="AC3221" s="12"/>
      <c r="AD3221" s="12"/>
    </row>
    <row r="3222" spans="1:30" ht="15.75" thickBot="1" x14ac:dyDescent="0.3">
      <c r="A3222" s="12"/>
      <c r="B3222" s="12"/>
      <c r="C3222" s="12"/>
      <c r="D3222" s="3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2"/>
      <c r="W3222" s="12"/>
      <c r="X3222" s="12"/>
      <c r="Y3222" s="12"/>
      <c r="Z3222" s="12"/>
      <c r="AA3222" s="12"/>
      <c r="AB3222" s="12"/>
      <c r="AC3222" s="12"/>
      <c r="AD3222" s="12"/>
    </row>
    <row r="3223" spans="1:30" ht="15.75" thickBot="1" x14ac:dyDescent="0.3">
      <c r="A3223" s="12"/>
      <c r="B3223" s="12"/>
      <c r="C3223" s="12"/>
      <c r="D3223" s="3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2"/>
      <c r="W3223" s="12"/>
      <c r="X3223" s="12"/>
      <c r="Y3223" s="12"/>
      <c r="Z3223" s="12"/>
      <c r="AA3223" s="12"/>
      <c r="AB3223" s="12"/>
      <c r="AC3223" s="12"/>
      <c r="AD3223" s="12"/>
    </row>
    <row r="3224" spans="1:30" ht="15.75" thickBot="1" x14ac:dyDescent="0.3">
      <c r="A3224" s="12"/>
      <c r="B3224" s="12"/>
      <c r="C3224" s="12"/>
      <c r="D3224" s="3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2"/>
      <c r="W3224" s="12"/>
      <c r="X3224" s="12"/>
      <c r="Y3224" s="12"/>
      <c r="Z3224" s="12"/>
      <c r="AA3224" s="12"/>
      <c r="AB3224" s="12"/>
      <c r="AC3224" s="12"/>
      <c r="AD3224" s="12"/>
    </row>
    <row r="3225" spans="1:30" ht="15.75" thickBot="1" x14ac:dyDescent="0.3">
      <c r="A3225" s="12"/>
      <c r="B3225" s="12"/>
      <c r="C3225" s="12"/>
      <c r="D3225" s="3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2"/>
      <c r="W3225" s="12"/>
      <c r="X3225" s="12"/>
      <c r="Y3225" s="12"/>
      <c r="Z3225" s="12"/>
      <c r="AA3225" s="12"/>
      <c r="AB3225" s="12"/>
      <c r="AC3225" s="12"/>
      <c r="AD3225" s="12"/>
    </row>
    <row r="3226" spans="1:30" ht="15.75" thickBot="1" x14ac:dyDescent="0.3">
      <c r="A3226" s="12"/>
      <c r="B3226" s="12"/>
      <c r="C3226" s="12"/>
      <c r="D3226" s="3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2"/>
      <c r="W3226" s="12"/>
      <c r="X3226" s="12"/>
      <c r="Y3226" s="12"/>
      <c r="Z3226" s="12"/>
      <c r="AA3226" s="12"/>
      <c r="AB3226" s="12"/>
      <c r="AC3226" s="12"/>
      <c r="AD3226" s="12"/>
    </row>
    <row r="3227" spans="1:30" ht="15.75" thickBot="1" x14ac:dyDescent="0.3">
      <c r="A3227" s="12"/>
      <c r="B3227" s="12"/>
      <c r="C3227" s="12"/>
      <c r="D3227" s="3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2"/>
      <c r="W3227" s="12"/>
      <c r="X3227" s="12"/>
      <c r="Y3227" s="12"/>
      <c r="Z3227" s="12"/>
      <c r="AA3227" s="12"/>
      <c r="AB3227" s="12"/>
      <c r="AC3227" s="12"/>
      <c r="AD3227" s="12"/>
    </row>
    <row r="3228" spans="1:30" ht="15.75" thickBot="1" x14ac:dyDescent="0.3">
      <c r="A3228" s="12"/>
      <c r="B3228" s="12"/>
      <c r="C3228" s="12"/>
      <c r="D3228" s="3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2"/>
      <c r="W3228" s="12"/>
      <c r="X3228" s="12"/>
      <c r="Y3228" s="12"/>
      <c r="Z3228" s="12"/>
      <c r="AA3228" s="12"/>
      <c r="AB3228" s="12"/>
      <c r="AC3228" s="12"/>
      <c r="AD3228" s="12"/>
    </row>
    <row r="3229" spans="1:30" ht="15.75" thickBot="1" x14ac:dyDescent="0.3">
      <c r="A3229" s="12"/>
      <c r="B3229" s="12"/>
      <c r="C3229" s="12"/>
      <c r="D3229" s="3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2"/>
      <c r="W3229" s="12"/>
      <c r="X3229" s="12"/>
      <c r="Y3229" s="12"/>
      <c r="Z3229" s="12"/>
      <c r="AA3229" s="12"/>
      <c r="AB3229" s="12"/>
      <c r="AC3229" s="12"/>
      <c r="AD3229" s="12"/>
    </row>
    <row r="3230" spans="1:30" ht="15.75" thickBot="1" x14ac:dyDescent="0.3">
      <c r="A3230" s="12"/>
      <c r="B3230" s="12"/>
      <c r="C3230" s="12"/>
      <c r="D3230" s="3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2"/>
      <c r="W3230" s="12"/>
      <c r="X3230" s="12"/>
      <c r="Y3230" s="12"/>
      <c r="Z3230" s="12"/>
      <c r="AA3230" s="12"/>
      <c r="AB3230" s="12"/>
      <c r="AC3230" s="12"/>
      <c r="AD3230" s="12"/>
    </row>
    <row r="3231" spans="1:30" ht="15.75" thickBot="1" x14ac:dyDescent="0.3">
      <c r="A3231" s="12"/>
      <c r="B3231" s="12"/>
      <c r="C3231" s="12"/>
      <c r="D3231" s="3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2"/>
      <c r="W3231" s="12"/>
      <c r="X3231" s="12"/>
      <c r="Y3231" s="12"/>
      <c r="Z3231" s="12"/>
      <c r="AA3231" s="12"/>
      <c r="AB3231" s="12"/>
      <c r="AC3231" s="12"/>
      <c r="AD3231" s="12"/>
    </row>
    <row r="3232" spans="1:30" ht="15.75" thickBot="1" x14ac:dyDescent="0.3">
      <c r="A3232" s="12"/>
      <c r="B3232" s="12"/>
      <c r="C3232" s="12"/>
      <c r="D3232" s="3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2"/>
      <c r="W3232" s="12"/>
      <c r="X3232" s="12"/>
      <c r="Y3232" s="12"/>
      <c r="Z3232" s="12"/>
      <c r="AA3232" s="12"/>
      <c r="AB3232" s="12"/>
      <c r="AC3232" s="12"/>
      <c r="AD3232" s="12"/>
    </row>
    <row r="3233" spans="1:30" ht="15.75" thickBot="1" x14ac:dyDescent="0.3">
      <c r="A3233" s="12"/>
      <c r="B3233" s="12"/>
      <c r="C3233" s="12"/>
      <c r="D3233" s="3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2"/>
      <c r="W3233" s="12"/>
      <c r="X3233" s="12"/>
      <c r="Y3233" s="12"/>
      <c r="Z3233" s="12"/>
      <c r="AA3233" s="12"/>
      <c r="AB3233" s="12"/>
      <c r="AC3233" s="12"/>
      <c r="AD3233" s="12"/>
    </row>
    <row r="3234" spans="1:30" ht="15.75" thickBot="1" x14ac:dyDescent="0.3">
      <c r="A3234" s="12"/>
      <c r="B3234" s="12"/>
      <c r="C3234" s="12"/>
      <c r="D3234" s="3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2"/>
      <c r="W3234" s="12"/>
      <c r="X3234" s="12"/>
      <c r="Y3234" s="12"/>
      <c r="Z3234" s="12"/>
      <c r="AA3234" s="12"/>
      <c r="AB3234" s="12"/>
      <c r="AC3234" s="12"/>
      <c r="AD3234" s="12"/>
    </row>
    <row r="3235" spans="1:30" ht="15.75" thickBot="1" x14ac:dyDescent="0.3">
      <c r="A3235" s="12"/>
      <c r="B3235" s="12"/>
      <c r="C3235" s="12"/>
      <c r="D3235" s="3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2"/>
      <c r="W3235" s="12"/>
      <c r="X3235" s="12"/>
      <c r="Y3235" s="12"/>
      <c r="Z3235" s="12"/>
      <c r="AA3235" s="12"/>
      <c r="AB3235" s="12"/>
      <c r="AC3235" s="12"/>
      <c r="AD3235" s="12"/>
    </row>
    <row r="3236" spans="1:30" ht="15.75" thickBot="1" x14ac:dyDescent="0.3">
      <c r="A3236" s="12"/>
      <c r="B3236" s="12"/>
      <c r="C3236" s="12"/>
      <c r="D3236" s="3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2"/>
      <c r="W3236" s="12"/>
      <c r="X3236" s="12"/>
      <c r="Y3236" s="12"/>
      <c r="Z3236" s="12"/>
      <c r="AA3236" s="12"/>
      <c r="AB3236" s="12"/>
      <c r="AC3236" s="12"/>
      <c r="AD3236" s="12"/>
    </row>
    <row r="3237" spans="1:30" ht="15.75" thickBot="1" x14ac:dyDescent="0.3">
      <c r="A3237" s="12"/>
      <c r="B3237" s="12"/>
      <c r="C3237" s="12"/>
      <c r="D3237" s="3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2"/>
      <c r="W3237" s="12"/>
      <c r="X3237" s="12"/>
      <c r="Y3237" s="12"/>
      <c r="Z3237" s="12"/>
      <c r="AA3237" s="12"/>
      <c r="AB3237" s="12"/>
      <c r="AC3237" s="12"/>
      <c r="AD3237" s="12"/>
    </row>
    <row r="3238" spans="1:30" ht="15.75" thickBot="1" x14ac:dyDescent="0.3">
      <c r="A3238" s="12"/>
      <c r="B3238" s="12"/>
      <c r="C3238" s="12"/>
      <c r="D3238" s="3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2"/>
      <c r="W3238" s="12"/>
      <c r="X3238" s="12"/>
      <c r="Y3238" s="12"/>
      <c r="Z3238" s="12"/>
      <c r="AA3238" s="12"/>
      <c r="AB3238" s="12"/>
      <c r="AC3238" s="12"/>
      <c r="AD3238" s="12"/>
    </row>
    <row r="3239" spans="1:30" ht="15.75" thickBot="1" x14ac:dyDescent="0.3">
      <c r="A3239" s="12"/>
      <c r="B3239" s="12"/>
      <c r="C3239" s="12"/>
      <c r="D3239" s="3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2"/>
      <c r="W3239" s="12"/>
      <c r="X3239" s="12"/>
      <c r="Y3239" s="12"/>
      <c r="Z3239" s="12"/>
      <c r="AA3239" s="12"/>
      <c r="AB3239" s="12"/>
      <c r="AC3239" s="12"/>
      <c r="AD3239" s="12"/>
    </row>
    <row r="3240" spans="1:30" ht="15.75" thickBot="1" x14ac:dyDescent="0.3">
      <c r="A3240" s="12"/>
      <c r="B3240" s="12"/>
      <c r="C3240" s="12"/>
      <c r="D3240" s="3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2"/>
      <c r="W3240" s="12"/>
      <c r="X3240" s="12"/>
      <c r="Y3240" s="12"/>
      <c r="Z3240" s="12"/>
      <c r="AA3240" s="12"/>
      <c r="AB3240" s="12"/>
      <c r="AC3240" s="12"/>
      <c r="AD3240" s="12"/>
    </row>
    <row r="3241" spans="1:30" ht="15.75" thickBot="1" x14ac:dyDescent="0.3">
      <c r="A3241" s="12"/>
      <c r="B3241" s="12"/>
      <c r="C3241" s="12"/>
      <c r="D3241" s="3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2"/>
      <c r="W3241" s="12"/>
      <c r="X3241" s="12"/>
      <c r="Y3241" s="12"/>
      <c r="Z3241" s="12"/>
      <c r="AA3241" s="12"/>
      <c r="AB3241" s="12"/>
      <c r="AC3241" s="12"/>
      <c r="AD3241" s="12"/>
    </row>
    <row r="3242" spans="1:30" ht="15.75" thickBot="1" x14ac:dyDescent="0.3">
      <c r="A3242" s="12"/>
      <c r="B3242" s="12"/>
      <c r="C3242" s="12"/>
      <c r="D3242" s="3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2"/>
      <c r="W3242" s="12"/>
      <c r="X3242" s="12"/>
      <c r="Y3242" s="12"/>
      <c r="Z3242" s="12"/>
      <c r="AA3242" s="12"/>
      <c r="AB3242" s="12"/>
      <c r="AC3242" s="12"/>
      <c r="AD3242" s="12"/>
    </row>
    <row r="3243" spans="1:30" ht="15.75" thickBot="1" x14ac:dyDescent="0.3">
      <c r="A3243" s="12"/>
      <c r="B3243" s="12"/>
      <c r="C3243" s="12"/>
      <c r="D3243" s="3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2"/>
      <c r="W3243" s="12"/>
      <c r="X3243" s="12"/>
      <c r="Y3243" s="12"/>
      <c r="Z3243" s="12"/>
      <c r="AA3243" s="12"/>
      <c r="AB3243" s="12"/>
      <c r="AC3243" s="12"/>
      <c r="AD3243" s="12"/>
    </row>
    <row r="3244" spans="1:30" ht="15.75" thickBot="1" x14ac:dyDescent="0.3">
      <c r="A3244" s="12"/>
      <c r="B3244" s="12"/>
      <c r="C3244" s="12"/>
      <c r="D3244" s="3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2"/>
      <c r="W3244" s="12"/>
      <c r="X3244" s="12"/>
      <c r="Y3244" s="12"/>
      <c r="Z3244" s="12"/>
      <c r="AA3244" s="12"/>
      <c r="AB3244" s="12"/>
      <c r="AC3244" s="12"/>
      <c r="AD3244" s="12"/>
    </row>
    <row r="3245" spans="1:30" ht="15.75" thickBot="1" x14ac:dyDescent="0.3">
      <c r="A3245" s="12"/>
      <c r="B3245" s="12"/>
      <c r="C3245" s="12"/>
      <c r="D3245" s="3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2"/>
      <c r="W3245" s="12"/>
      <c r="X3245" s="12"/>
      <c r="Y3245" s="12"/>
      <c r="Z3245" s="12"/>
      <c r="AA3245" s="12"/>
      <c r="AB3245" s="12"/>
      <c r="AC3245" s="12"/>
      <c r="AD3245" s="12"/>
    </row>
    <row r="3246" spans="1:30" ht="15.75" thickBot="1" x14ac:dyDescent="0.3">
      <c r="A3246" s="12"/>
      <c r="B3246" s="12"/>
      <c r="C3246" s="12"/>
      <c r="D3246" s="3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2"/>
      <c r="W3246" s="12"/>
      <c r="X3246" s="12"/>
      <c r="Y3246" s="12"/>
      <c r="Z3246" s="12"/>
      <c r="AA3246" s="12"/>
      <c r="AB3246" s="12"/>
      <c r="AC3246" s="12"/>
      <c r="AD3246" s="12"/>
    </row>
    <row r="3247" spans="1:30" ht="15.75" thickBot="1" x14ac:dyDescent="0.3">
      <c r="A3247" s="12"/>
      <c r="B3247" s="12"/>
      <c r="C3247" s="12"/>
      <c r="D3247" s="3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2"/>
      <c r="W3247" s="12"/>
      <c r="X3247" s="12"/>
      <c r="Y3247" s="12"/>
      <c r="Z3247" s="12"/>
      <c r="AA3247" s="12"/>
      <c r="AB3247" s="12"/>
      <c r="AC3247" s="12"/>
      <c r="AD3247" s="12"/>
    </row>
    <row r="3248" spans="1:30" ht="15.75" thickBot="1" x14ac:dyDescent="0.3">
      <c r="A3248" s="12"/>
      <c r="B3248" s="12"/>
      <c r="C3248" s="12"/>
      <c r="D3248" s="3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2"/>
      <c r="W3248" s="12"/>
      <c r="X3248" s="12"/>
      <c r="Y3248" s="12"/>
      <c r="Z3248" s="12"/>
      <c r="AA3248" s="12"/>
      <c r="AB3248" s="12"/>
      <c r="AC3248" s="12"/>
      <c r="AD3248" s="12"/>
    </row>
    <row r="3249" spans="1:30" ht="15.75" thickBot="1" x14ac:dyDescent="0.3">
      <c r="A3249" s="12"/>
      <c r="B3249" s="12"/>
      <c r="C3249" s="12"/>
      <c r="D3249" s="3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2"/>
      <c r="W3249" s="12"/>
      <c r="X3249" s="12"/>
      <c r="Y3249" s="12"/>
      <c r="Z3249" s="12"/>
      <c r="AA3249" s="12"/>
      <c r="AB3249" s="12"/>
      <c r="AC3249" s="12"/>
      <c r="AD3249" s="12"/>
    </row>
    <row r="3250" spans="1:30" ht="15.75" thickBot="1" x14ac:dyDescent="0.3">
      <c r="A3250" s="12"/>
      <c r="B3250" s="12"/>
      <c r="C3250" s="12"/>
      <c r="D3250" s="3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2"/>
      <c r="W3250" s="12"/>
      <c r="X3250" s="12"/>
      <c r="Y3250" s="12"/>
      <c r="Z3250" s="12"/>
      <c r="AA3250" s="12"/>
      <c r="AB3250" s="12"/>
      <c r="AC3250" s="12"/>
      <c r="AD3250" s="12"/>
    </row>
    <row r="3251" spans="1:30" ht="15.75" thickBot="1" x14ac:dyDescent="0.3">
      <c r="A3251" s="12"/>
      <c r="B3251" s="12"/>
      <c r="C3251" s="12"/>
      <c r="D3251" s="3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2"/>
      <c r="W3251" s="12"/>
      <c r="X3251" s="12"/>
      <c r="Y3251" s="12"/>
      <c r="Z3251" s="12"/>
      <c r="AA3251" s="12"/>
      <c r="AB3251" s="12"/>
      <c r="AC3251" s="12"/>
      <c r="AD3251" s="12"/>
    </row>
    <row r="3252" spans="1:30" ht="15.75" thickBot="1" x14ac:dyDescent="0.3">
      <c r="A3252" s="12"/>
      <c r="B3252" s="12"/>
      <c r="C3252" s="12"/>
      <c r="D3252" s="3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2"/>
      <c r="W3252" s="12"/>
      <c r="X3252" s="12"/>
      <c r="Y3252" s="12"/>
      <c r="Z3252" s="12"/>
      <c r="AA3252" s="12"/>
      <c r="AB3252" s="12"/>
      <c r="AC3252" s="12"/>
      <c r="AD3252" s="12"/>
    </row>
    <row r="3253" spans="1:30" ht="15.75" thickBot="1" x14ac:dyDescent="0.3">
      <c r="A3253" s="12"/>
      <c r="B3253" s="12"/>
      <c r="C3253" s="12"/>
      <c r="D3253" s="3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2"/>
      <c r="W3253" s="12"/>
      <c r="X3253" s="12"/>
      <c r="Y3253" s="12"/>
      <c r="Z3253" s="12"/>
      <c r="AA3253" s="12"/>
      <c r="AB3253" s="12"/>
      <c r="AC3253" s="12"/>
      <c r="AD3253" s="12"/>
    </row>
    <row r="3254" spans="1:30" ht="15.75" thickBot="1" x14ac:dyDescent="0.3">
      <c r="A3254" s="12"/>
      <c r="B3254" s="12"/>
      <c r="C3254" s="12"/>
      <c r="D3254" s="3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2"/>
      <c r="W3254" s="12"/>
      <c r="X3254" s="12"/>
      <c r="Y3254" s="12"/>
      <c r="Z3254" s="12"/>
      <c r="AA3254" s="12"/>
      <c r="AB3254" s="12"/>
      <c r="AC3254" s="12"/>
      <c r="AD3254" s="12"/>
    </row>
    <row r="3255" spans="1:30" ht="15.75" thickBot="1" x14ac:dyDescent="0.3">
      <c r="A3255" s="12"/>
      <c r="B3255" s="12"/>
      <c r="C3255" s="12"/>
      <c r="D3255" s="3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2"/>
      <c r="W3255" s="12"/>
      <c r="X3255" s="12"/>
      <c r="Y3255" s="12"/>
      <c r="Z3255" s="12"/>
      <c r="AA3255" s="12"/>
      <c r="AB3255" s="12"/>
      <c r="AC3255" s="12"/>
      <c r="AD3255" s="12"/>
    </row>
    <row r="3256" spans="1:30" ht="15.75" thickBot="1" x14ac:dyDescent="0.3">
      <c r="A3256" s="12"/>
      <c r="B3256" s="12"/>
      <c r="C3256" s="12"/>
      <c r="D3256" s="3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2"/>
      <c r="W3256" s="12"/>
      <c r="X3256" s="12"/>
      <c r="Y3256" s="12"/>
      <c r="Z3256" s="12"/>
      <c r="AA3256" s="12"/>
      <c r="AB3256" s="12"/>
      <c r="AC3256" s="12"/>
      <c r="AD3256" s="12"/>
    </row>
    <row r="3257" spans="1:30" ht="15.75" thickBot="1" x14ac:dyDescent="0.3">
      <c r="A3257" s="12"/>
      <c r="B3257" s="12"/>
      <c r="C3257" s="12"/>
      <c r="D3257" s="3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2"/>
      <c r="W3257" s="12"/>
      <c r="X3257" s="12"/>
      <c r="Y3257" s="12"/>
      <c r="Z3257" s="12"/>
      <c r="AA3257" s="12"/>
      <c r="AB3257" s="12"/>
      <c r="AC3257" s="12"/>
      <c r="AD3257" s="12"/>
    </row>
    <row r="3258" spans="1:30" ht="15.75" thickBot="1" x14ac:dyDescent="0.3">
      <c r="A3258" s="12"/>
      <c r="B3258" s="12"/>
      <c r="C3258" s="12"/>
      <c r="D3258" s="3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2"/>
      <c r="W3258" s="12"/>
      <c r="X3258" s="12"/>
      <c r="Y3258" s="12"/>
      <c r="Z3258" s="12"/>
      <c r="AA3258" s="12"/>
      <c r="AB3258" s="12"/>
      <c r="AC3258" s="12"/>
      <c r="AD3258" s="12"/>
    </row>
    <row r="3259" spans="1:30" ht="15.75" thickBot="1" x14ac:dyDescent="0.3">
      <c r="A3259" s="12"/>
      <c r="B3259" s="12"/>
      <c r="C3259" s="12"/>
      <c r="D3259" s="3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2"/>
      <c r="W3259" s="12"/>
      <c r="X3259" s="12"/>
      <c r="Y3259" s="12"/>
      <c r="Z3259" s="12"/>
      <c r="AA3259" s="12"/>
      <c r="AB3259" s="12"/>
      <c r="AC3259" s="12"/>
      <c r="AD3259" s="12"/>
    </row>
    <row r="3260" spans="1:30" ht="15.75" thickBot="1" x14ac:dyDescent="0.3">
      <c r="A3260" s="12"/>
      <c r="B3260" s="12"/>
      <c r="C3260" s="12"/>
      <c r="D3260" s="3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2"/>
      <c r="W3260" s="12"/>
      <c r="X3260" s="12"/>
      <c r="Y3260" s="12"/>
      <c r="Z3260" s="12"/>
      <c r="AA3260" s="12"/>
      <c r="AB3260" s="12"/>
      <c r="AC3260" s="12"/>
      <c r="AD3260" s="12"/>
    </row>
    <row r="3261" spans="1:30" ht="15.75" thickBot="1" x14ac:dyDescent="0.3">
      <c r="A3261" s="12"/>
      <c r="B3261" s="12"/>
      <c r="C3261" s="12"/>
      <c r="D3261" s="3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2"/>
      <c r="W3261" s="12"/>
      <c r="X3261" s="12"/>
      <c r="Y3261" s="12"/>
      <c r="Z3261" s="12"/>
      <c r="AA3261" s="12"/>
      <c r="AB3261" s="12"/>
      <c r="AC3261" s="12"/>
      <c r="AD3261" s="12"/>
    </row>
    <row r="3262" spans="1:30" ht="15.75" thickBot="1" x14ac:dyDescent="0.3">
      <c r="A3262" s="12"/>
      <c r="B3262" s="12"/>
      <c r="C3262" s="12"/>
      <c r="D3262" s="3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2"/>
      <c r="W3262" s="12"/>
      <c r="X3262" s="12"/>
      <c r="Y3262" s="12"/>
      <c r="Z3262" s="12"/>
      <c r="AA3262" s="12"/>
      <c r="AB3262" s="12"/>
      <c r="AC3262" s="12"/>
      <c r="AD3262" s="12"/>
    </row>
    <row r="3263" spans="1:30" ht="15.75" thickBot="1" x14ac:dyDescent="0.3">
      <c r="A3263" s="12"/>
      <c r="B3263" s="12"/>
      <c r="C3263" s="12"/>
      <c r="D3263" s="3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2"/>
      <c r="W3263" s="12"/>
      <c r="X3263" s="12"/>
      <c r="Y3263" s="12"/>
      <c r="Z3263" s="12"/>
      <c r="AA3263" s="12"/>
      <c r="AB3263" s="12"/>
      <c r="AC3263" s="12"/>
      <c r="AD3263" s="12"/>
    </row>
    <row r="3264" spans="1:30" ht="15.75" thickBot="1" x14ac:dyDescent="0.3">
      <c r="A3264" s="12"/>
      <c r="B3264" s="12"/>
      <c r="C3264" s="12"/>
      <c r="D3264" s="3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2"/>
      <c r="W3264" s="12"/>
      <c r="X3264" s="12"/>
      <c r="Y3264" s="12"/>
      <c r="Z3264" s="12"/>
      <c r="AA3264" s="12"/>
      <c r="AB3264" s="12"/>
      <c r="AC3264" s="12"/>
      <c r="AD3264" s="12"/>
    </row>
    <row r="3265" spans="1:30" ht="15.75" thickBot="1" x14ac:dyDescent="0.3">
      <c r="A3265" s="12"/>
      <c r="B3265" s="12"/>
      <c r="C3265" s="12"/>
      <c r="D3265" s="3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2"/>
      <c r="W3265" s="12"/>
      <c r="X3265" s="12"/>
      <c r="Y3265" s="12"/>
      <c r="Z3265" s="12"/>
      <c r="AA3265" s="12"/>
      <c r="AB3265" s="12"/>
      <c r="AC3265" s="12"/>
      <c r="AD3265" s="12"/>
    </row>
    <row r="3266" spans="1:30" ht="15.75" thickBot="1" x14ac:dyDescent="0.3">
      <c r="A3266" s="12"/>
      <c r="B3266" s="12"/>
      <c r="C3266" s="12"/>
      <c r="D3266" s="3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2"/>
      <c r="W3266" s="12"/>
      <c r="X3266" s="12"/>
      <c r="Y3266" s="12"/>
      <c r="Z3266" s="12"/>
      <c r="AA3266" s="12"/>
      <c r="AB3266" s="12"/>
      <c r="AC3266" s="12"/>
      <c r="AD3266" s="12"/>
    </row>
    <row r="3267" spans="1:30" ht="15.75" thickBot="1" x14ac:dyDescent="0.3">
      <c r="A3267" s="12"/>
      <c r="B3267" s="12"/>
      <c r="C3267" s="12"/>
      <c r="D3267" s="3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2"/>
      <c r="W3267" s="12"/>
      <c r="X3267" s="12"/>
      <c r="Y3267" s="12"/>
      <c r="Z3267" s="12"/>
      <c r="AA3267" s="12"/>
      <c r="AB3267" s="12"/>
      <c r="AC3267" s="12"/>
      <c r="AD3267" s="12"/>
    </row>
    <row r="3268" spans="1:30" ht="15.75" thickBot="1" x14ac:dyDescent="0.3">
      <c r="A3268" s="12"/>
      <c r="B3268" s="12"/>
      <c r="C3268" s="12"/>
      <c r="D3268" s="3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2"/>
      <c r="W3268" s="12"/>
      <c r="X3268" s="12"/>
      <c r="Y3268" s="12"/>
      <c r="Z3268" s="12"/>
      <c r="AA3268" s="12"/>
      <c r="AB3268" s="12"/>
      <c r="AC3268" s="12"/>
      <c r="AD3268" s="12"/>
    </row>
    <row r="3269" spans="1:30" ht="15.75" thickBot="1" x14ac:dyDescent="0.3">
      <c r="A3269" s="12"/>
      <c r="B3269" s="12"/>
      <c r="C3269" s="12"/>
      <c r="D3269" s="3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2"/>
      <c r="W3269" s="12"/>
      <c r="X3269" s="12"/>
      <c r="Y3269" s="12"/>
      <c r="Z3269" s="12"/>
      <c r="AA3269" s="12"/>
      <c r="AB3269" s="12"/>
      <c r="AC3269" s="12"/>
      <c r="AD3269" s="12"/>
    </row>
    <row r="3270" spans="1:30" ht="15.75" thickBot="1" x14ac:dyDescent="0.3">
      <c r="A3270" s="12"/>
      <c r="B3270" s="12"/>
      <c r="C3270" s="12"/>
      <c r="D3270" s="3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2"/>
      <c r="W3270" s="12"/>
      <c r="X3270" s="12"/>
      <c r="Y3270" s="12"/>
      <c r="Z3270" s="12"/>
      <c r="AA3270" s="12"/>
      <c r="AB3270" s="12"/>
      <c r="AC3270" s="12"/>
      <c r="AD3270" s="12"/>
    </row>
    <row r="3271" spans="1:30" ht="15.75" thickBot="1" x14ac:dyDescent="0.3">
      <c r="A3271" s="12"/>
      <c r="B3271" s="12"/>
      <c r="C3271" s="12"/>
      <c r="D3271" s="3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2"/>
      <c r="W3271" s="12"/>
      <c r="X3271" s="12"/>
      <c r="Y3271" s="12"/>
      <c r="Z3271" s="12"/>
      <c r="AA3271" s="12"/>
      <c r="AB3271" s="12"/>
      <c r="AC3271" s="12"/>
      <c r="AD3271" s="12"/>
    </row>
    <row r="3272" spans="1:30" ht="15.75" thickBot="1" x14ac:dyDescent="0.3">
      <c r="A3272" s="12"/>
      <c r="B3272" s="12"/>
      <c r="C3272" s="12"/>
      <c r="D3272" s="3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2"/>
      <c r="W3272" s="12"/>
      <c r="X3272" s="12"/>
      <c r="Y3272" s="12"/>
      <c r="Z3272" s="12"/>
      <c r="AA3272" s="12"/>
      <c r="AB3272" s="12"/>
      <c r="AC3272" s="12"/>
      <c r="AD3272" s="12"/>
    </row>
    <row r="3273" spans="1:30" ht="15.75" thickBot="1" x14ac:dyDescent="0.3">
      <c r="A3273" s="12"/>
      <c r="B3273" s="12"/>
      <c r="C3273" s="12"/>
      <c r="D3273" s="3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2"/>
      <c r="W3273" s="12"/>
      <c r="X3273" s="12"/>
      <c r="Y3273" s="12"/>
      <c r="Z3273" s="12"/>
      <c r="AA3273" s="12"/>
      <c r="AB3273" s="12"/>
      <c r="AC3273" s="12"/>
      <c r="AD3273" s="12"/>
    </row>
    <row r="3274" spans="1:30" ht="15.75" thickBot="1" x14ac:dyDescent="0.3">
      <c r="A3274" s="12"/>
      <c r="B3274" s="12"/>
      <c r="C3274" s="12"/>
      <c r="D3274" s="3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2"/>
      <c r="W3274" s="12"/>
      <c r="X3274" s="12"/>
      <c r="Y3274" s="12"/>
      <c r="Z3274" s="12"/>
      <c r="AA3274" s="12"/>
      <c r="AB3274" s="12"/>
      <c r="AC3274" s="12"/>
      <c r="AD3274" s="12"/>
    </row>
    <row r="3275" spans="1:30" ht="15.75" thickBot="1" x14ac:dyDescent="0.3">
      <c r="A3275" s="12"/>
      <c r="B3275" s="12"/>
      <c r="C3275" s="12"/>
      <c r="D3275" s="3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2"/>
      <c r="W3275" s="12"/>
      <c r="X3275" s="12"/>
      <c r="Y3275" s="12"/>
      <c r="Z3275" s="12"/>
      <c r="AA3275" s="12"/>
      <c r="AB3275" s="12"/>
      <c r="AC3275" s="12"/>
      <c r="AD3275" s="12"/>
    </row>
    <row r="3276" spans="1:30" ht="15.75" thickBot="1" x14ac:dyDescent="0.3">
      <c r="A3276" s="12"/>
      <c r="B3276" s="12"/>
      <c r="C3276" s="12"/>
      <c r="D3276" s="3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2"/>
      <c r="W3276" s="12"/>
      <c r="X3276" s="12"/>
      <c r="Y3276" s="12"/>
      <c r="Z3276" s="12"/>
      <c r="AA3276" s="12"/>
      <c r="AB3276" s="12"/>
      <c r="AC3276" s="12"/>
      <c r="AD3276" s="12"/>
    </row>
    <row r="3277" spans="1:30" ht="15.75" thickBot="1" x14ac:dyDescent="0.3">
      <c r="A3277" s="12"/>
      <c r="B3277" s="12"/>
      <c r="C3277" s="12"/>
      <c r="D3277" s="3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2"/>
      <c r="W3277" s="12"/>
      <c r="X3277" s="12"/>
      <c r="Y3277" s="12"/>
      <c r="Z3277" s="12"/>
      <c r="AA3277" s="12"/>
      <c r="AB3277" s="12"/>
      <c r="AC3277" s="12"/>
      <c r="AD3277" s="12"/>
    </row>
    <row r="3278" spans="1:30" ht="15.75" thickBot="1" x14ac:dyDescent="0.3">
      <c r="A3278" s="12"/>
      <c r="B3278" s="12"/>
      <c r="C3278" s="12"/>
      <c r="D3278" s="3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2"/>
      <c r="W3278" s="12"/>
      <c r="X3278" s="12"/>
      <c r="Y3278" s="12"/>
      <c r="Z3278" s="12"/>
      <c r="AA3278" s="12"/>
      <c r="AB3278" s="12"/>
      <c r="AC3278" s="12"/>
      <c r="AD3278" s="12"/>
    </row>
    <row r="3279" spans="1:30" ht="15.75" thickBot="1" x14ac:dyDescent="0.3">
      <c r="A3279" s="12"/>
      <c r="B3279" s="12"/>
      <c r="C3279" s="12"/>
      <c r="D3279" s="3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2"/>
      <c r="W3279" s="12"/>
      <c r="X3279" s="12"/>
      <c r="Y3279" s="12"/>
      <c r="Z3279" s="12"/>
      <c r="AA3279" s="12"/>
      <c r="AB3279" s="12"/>
      <c r="AC3279" s="12"/>
      <c r="AD3279" s="12"/>
    </row>
    <row r="3280" spans="1:30" ht="15.75" thickBot="1" x14ac:dyDescent="0.3">
      <c r="A3280" s="12"/>
      <c r="B3280" s="12"/>
      <c r="C3280" s="12"/>
      <c r="D3280" s="3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2"/>
      <c r="W3280" s="12"/>
      <c r="X3280" s="12"/>
      <c r="Y3280" s="12"/>
      <c r="Z3280" s="12"/>
      <c r="AA3280" s="12"/>
      <c r="AB3280" s="12"/>
      <c r="AC3280" s="12"/>
      <c r="AD3280" s="12"/>
    </row>
    <row r="3281" spans="1:30" ht="15.75" thickBot="1" x14ac:dyDescent="0.3">
      <c r="A3281" s="12"/>
      <c r="B3281" s="12"/>
      <c r="C3281" s="12"/>
      <c r="D3281" s="3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2"/>
      <c r="W3281" s="12"/>
      <c r="X3281" s="12"/>
      <c r="Y3281" s="12"/>
      <c r="Z3281" s="12"/>
      <c r="AA3281" s="12"/>
      <c r="AB3281" s="12"/>
      <c r="AC3281" s="12"/>
      <c r="AD3281" s="12"/>
    </row>
    <row r="3282" spans="1:30" ht="15.75" thickBot="1" x14ac:dyDescent="0.3">
      <c r="A3282" s="12"/>
      <c r="B3282" s="12"/>
      <c r="C3282" s="12"/>
      <c r="D3282" s="3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2"/>
      <c r="W3282" s="12"/>
      <c r="X3282" s="12"/>
      <c r="Y3282" s="12"/>
      <c r="Z3282" s="12"/>
      <c r="AA3282" s="12"/>
      <c r="AB3282" s="12"/>
      <c r="AC3282" s="12"/>
      <c r="AD3282" s="12"/>
    </row>
    <row r="3283" spans="1:30" ht="15.75" thickBot="1" x14ac:dyDescent="0.3">
      <c r="A3283" s="12"/>
      <c r="B3283" s="12"/>
      <c r="C3283" s="12"/>
      <c r="D3283" s="3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2"/>
      <c r="W3283" s="12"/>
      <c r="X3283" s="12"/>
      <c r="Y3283" s="12"/>
      <c r="Z3283" s="12"/>
      <c r="AA3283" s="12"/>
      <c r="AB3283" s="12"/>
      <c r="AC3283" s="12"/>
      <c r="AD3283" s="12"/>
    </row>
    <row r="3284" spans="1:30" ht="15.75" thickBot="1" x14ac:dyDescent="0.3">
      <c r="A3284" s="12"/>
      <c r="B3284" s="12"/>
      <c r="C3284" s="12"/>
      <c r="D3284" s="3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2"/>
      <c r="W3284" s="12"/>
      <c r="X3284" s="12"/>
      <c r="Y3284" s="12"/>
      <c r="Z3284" s="12"/>
      <c r="AA3284" s="12"/>
      <c r="AB3284" s="12"/>
      <c r="AC3284" s="12"/>
      <c r="AD3284" s="12"/>
    </row>
    <row r="3285" spans="1:30" ht="15.75" thickBot="1" x14ac:dyDescent="0.3">
      <c r="A3285" s="12"/>
      <c r="B3285" s="12"/>
      <c r="C3285" s="12"/>
      <c r="D3285" s="3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2"/>
      <c r="W3285" s="12"/>
      <c r="X3285" s="12"/>
      <c r="Y3285" s="12"/>
      <c r="Z3285" s="12"/>
      <c r="AA3285" s="12"/>
      <c r="AB3285" s="12"/>
      <c r="AC3285" s="12"/>
      <c r="AD3285" s="12"/>
    </row>
    <row r="3286" spans="1:30" ht="15.75" thickBot="1" x14ac:dyDescent="0.3">
      <c r="A3286" s="12"/>
      <c r="B3286" s="12"/>
      <c r="C3286" s="12"/>
      <c r="D3286" s="3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2"/>
      <c r="W3286" s="12"/>
      <c r="X3286" s="12"/>
      <c r="Y3286" s="12"/>
      <c r="Z3286" s="12"/>
      <c r="AA3286" s="12"/>
      <c r="AB3286" s="12"/>
      <c r="AC3286" s="12"/>
      <c r="AD3286" s="12"/>
    </row>
    <row r="3287" spans="1:30" ht="15.75" thickBot="1" x14ac:dyDescent="0.3">
      <c r="A3287" s="12"/>
      <c r="B3287" s="12"/>
      <c r="C3287" s="12"/>
      <c r="D3287" s="3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2"/>
      <c r="W3287" s="12"/>
      <c r="X3287" s="12"/>
      <c r="Y3287" s="12"/>
      <c r="Z3287" s="12"/>
      <c r="AA3287" s="12"/>
      <c r="AB3287" s="12"/>
      <c r="AC3287" s="12"/>
      <c r="AD3287" s="12"/>
    </row>
    <row r="3288" spans="1:30" ht="15.75" thickBot="1" x14ac:dyDescent="0.3">
      <c r="A3288" s="12"/>
      <c r="B3288" s="12"/>
      <c r="C3288" s="12"/>
      <c r="D3288" s="3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2"/>
      <c r="W3288" s="12"/>
      <c r="X3288" s="12"/>
      <c r="Y3288" s="12"/>
      <c r="Z3288" s="12"/>
      <c r="AA3288" s="12"/>
      <c r="AB3288" s="12"/>
      <c r="AC3288" s="12"/>
      <c r="AD3288" s="12"/>
    </row>
    <row r="3289" spans="1:30" ht="15.75" thickBot="1" x14ac:dyDescent="0.3">
      <c r="A3289" s="12"/>
      <c r="B3289" s="12"/>
      <c r="C3289" s="12"/>
      <c r="D3289" s="3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2"/>
      <c r="W3289" s="12"/>
      <c r="X3289" s="12"/>
      <c r="Y3289" s="12"/>
      <c r="Z3289" s="12"/>
      <c r="AA3289" s="12"/>
      <c r="AB3289" s="12"/>
      <c r="AC3289" s="12"/>
      <c r="AD3289" s="12"/>
    </row>
    <row r="3290" spans="1:30" ht="15.75" thickBot="1" x14ac:dyDescent="0.3">
      <c r="A3290" s="12"/>
      <c r="B3290" s="12"/>
      <c r="C3290" s="12"/>
      <c r="D3290" s="3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2"/>
      <c r="W3290" s="12"/>
      <c r="X3290" s="12"/>
      <c r="Y3290" s="12"/>
      <c r="Z3290" s="12"/>
      <c r="AA3290" s="12"/>
      <c r="AB3290" s="12"/>
      <c r="AC3290" s="12"/>
      <c r="AD3290" s="12"/>
    </row>
    <row r="3291" spans="1:30" ht="15.75" thickBot="1" x14ac:dyDescent="0.3">
      <c r="A3291" s="12"/>
      <c r="B3291" s="12"/>
      <c r="C3291" s="12"/>
      <c r="D3291" s="3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2"/>
      <c r="W3291" s="12"/>
      <c r="X3291" s="12"/>
      <c r="Y3291" s="12"/>
      <c r="Z3291" s="12"/>
      <c r="AA3291" s="12"/>
      <c r="AB3291" s="12"/>
      <c r="AC3291" s="12"/>
      <c r="AD3291" s="12"/>
    </row>
    <row r="3292" spans="1:30" ht="15.75" thickBot="1" x14ac:dyDescent="0.3">
      <c r="A3292" s="12"/>
      <c r="B3292" s="12"/>
      <c r="C3292" s="12"/>
      <c r="D3292" s="3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2"/>
      <c r="W3292" s="12"/>
      <c r="X3292" s="12"/>
      <c r="Y3292" s="12"/>
      <c r="Z3292" s="12"/>
      <c r="AA3292" s="12"/>
      <c r="AB3292" s="12"/>
      <c r="AC3292" s="12"/>
      <c r="AD3292" s="12"/>
    </row>
    <row r="3293" spans="1:30" ht="15.75" thickBot="1" x14ac:dyDescent="0.3">
      <c r="A3293" s="12"/>
      <c r="B3293" s="12"/>
      <c r="C3293" s="12"/>
      <c r="D3293" s="3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2"/>
      <c r="W3293" s="12"/>
      <c r="X3293" s="12"/>
      <c r="Y3293" s="12"/>
      <c r="Z3293" s="12"/>
      <c r="AA3293" s="12"/>
      <c r="AB3293" s="12"/>
      <c r="AC3293" s="12"/>
      <c r="AD3293" s="12"/>
    </row>
    <row r="3294" spans="1:30" ht="15.75" thickBot="1" x14ac:dyDescent="0.3">
      <c r="A3294" s="12"/>
      <c r="B3294" s="12"/>
      <c r="C3294" s="12"/>
      <c r="D3294" s="3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2"/>
      <c r="W3294" s="12"/>
      <c r="X3294" s="12"/>
      <c r="Y3294" s="12"/>
      <c r="Z3294" s="12"/>
      <c r="AA3294" s="12"/>
      <c r="AB3294" s="12"/>
      <c r="AC3294" s="12"/>
      <c r="AD3294" s="12"/>
    </row>
    <row r="3295" spans="1:30" ht="15.75" thickBot="1" x14ac:dyDescent="0.3">
      <c r="A3295" s="12"/>
      <c r="B3295" s="12"/>
      <c r="C3295" s="12"/>
      <c r="D3295" s="3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2"/>
      <c r="W3295" s="12"/>
      <c r="X3295" s="12"/>
      <c r="Y3295" s="12"/>
      <c r="Z3295" s="12"/>
      <c r="AA3295" s="12"/>
      <c r="AB3295" s="12"/>
      <c r="AC3295" s="12"/>
      <c r="AD3295" s="12"/>
    </row>
    <row r="3296" spans="1:30" ht="15.75" thickBot="1" x14ac:dyDescent="0.3">
      <c r="A3296" s="12"/>
      <c r="B3296" s="12"/>
      <c r="C3296" s="12"/>
      <c r="D3296" s="3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2"/>
      <c r="W3296" s="12"/>
      <c r="X3296" s="12"/>
      <c r="Y3296" s="12"/>
      <c r="Z3296" s="12"/>
      <c r="AA3296" s="12"/>
      <c r="AB3296" s="12"/>
      <c r="AC3296" s="12"/>
      <c r="AD3296" s="12"/>
    </row>
    <row r="3297" spans="1:30" ht="15.75" thickBot="1" x14ac:dyDescent="0.3">
      <c r="A3297" s="12"/>
      <c r="B3297" s="12"/>
      <c r="C3297" s="12"/>
      <c r="D3297" s="3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2"/>
      <c r="W3297" s="12"/>
      <c r="X3297" s="12"/>
      <c r="Y3297" s="12"/>
      <c r="Z3297" s="12"/>
      <c r="AA3297" s="12"/>
      <c r="AB3297" s="12"/>
      <c r="AC3297" s="12"/>
      <c r="AD3297" s="12"/>
    </row>
    <row r="3298" spans="1:30" ht="15.75" thickBot="1" x14ac:dyDescent="0.3">
      <c r="A3298" s="12"/>
      <c r="B3298" s="12"/>
      <c r="C3298" s="12"/>
      <c r="D3298" s="3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2"/>
      <c r="W3298" s="12"/>
      <c r="X3298" s="12"/>
      <c r="Y3298" s="12"/>
      <c r="Z3298" s="12"/>
      <c r="AA3298" s="12"/>
      <c r="AB3298" s="12"/>
      <c r="AC3298" s="12"/>
      <c r="AD3298" s="12"/>
    </row>
    <row r="3299" spans="1:30" ht="15.75" thickBot="1" x14ac:dyDescent="0.3">
      <c r="A3299" s="12"/>
      <c r="B3299" s="12"/>
      <c r="C3299" s="12"/>
      <c r="D3299" s="3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2"/>
      <c r="W3299" s="12"/>
      <c r="X3299" s="12"/>
      <c r="Y3299" s="12"/>
      <c r="Z3299" s="12"/>
      <c r="AA3299" s="12"/>
      <c r="AB3299" s="12"/>
      <c r="AC3299" s="12"/>
      <c r="AD3299" s="12"/>
    </row>
    <row r="3300" spans="1:30" ht="15.75" thickBot="1" x14ac:dyDescent="0.3">
      <c r="A3300" s="12"/>
      <c r="B3300" s="12"/>
      <c r="C3300" s="12"/>
      <c r="D3300" s="3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2"/>
      <c r="W3300" s="12"/>
      <c r="X3300" s="12"/>
      <c r="Y3300" s="12"/>
      <c r="Z3300" s="12"/>
      <c r="AA3300" s="12"/>
      <c r="AB3300" s="12"/>
      <c r="AC3300" s="12"/>
      <c r="AD3300" s="12"/>
    </row>
    <row r="3301" spans="1:30" ht="15.75" thickBot="1" x14ac:dyDescent="0.3">
      <c r="A3301" s="12"/>
      <c r="B3301" s="12"/>
      <c r="C3301" s="12"/>
      <c r="D3301" s="3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2"/>
      <c r="W3301" s="12"/>
      <c r="X3301" s="12"/>
      <c r="Y3301" s="12"/>
      <c r="Z3301" s="12"/>
      <c r="AA3301" s="12"/>
      <c r="AB3301" s="12"/>
      <c r="AC3301" s="12"/>
      <c r="AD3301" s="12"/>
    </row>
    <row r="3302" spans="1:30" ht="15.75" thickBot="1" x14ac:dyDescent="0.3">
      <c r="A3302" s="12"/>
      <c r="B3302" s="12"/>
      <c r="C3302" s="12"/>
      <c r="D3302" s="3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2"/>
      <c r="W3302" s="12"/>
      <c r="X3302" s="12"/>
      <c r="Y3302" s="12"/>
      <c r="Z3302" s="12"/>
      <c r="AA3302" s="12"/>
      <c r="AB3302" s="12"/>
      <c r="AC3302" s="12"/>
      <c r="AD3302" s="12"/>
    </row>
    <row r="3303" spans="1:30" ht="15.75" thickBot="1" x14ac:dyDescent="0.3">
      <c r="A3303" s="12"/>
      <c r="B3303" s="12"/>
      <c r="C3303" s="12"/>
      <c r="D3303" s="3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2"/>
      <c r="W3303" s="12"/>
      <c r="X3303" s="12"/>
      <c r="Y3303" s="12"/>
      <c r="Z3303" s="12"/>
      <c r="AA3303" s="12"/>
      <c r="AB3303" s="12"/>
      <c r="AC3303" s="12"/>
      <c r="AD3303" s="12"/>
    </row>
    <row r="3304" spans="1:30" ht="15.75" thickBot="1" x14ac:dyDescent="0.3">
      <c r="A3304" s="12"/>
      <c r="B3304" s="12"/>
      <c r="C3304" s="12"/>
      <c r="D3304" s="3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2"/>
      <c r="W3304" s="12"/>
      <c r="X3304" s="12"/>
      <c r="Y3304" s="12"/>
      <c r="Z3304" s="12"/>
      <c r="AA3304" s="12"/>
      <c r="AB3304" s="12"/>
      <c r="AC3304" s="12"/>
      <c r="AD3304" s="12"/>
    </row>
    <row r="3305" spans="1:30" ht="15.75" thickBot="1" x14ac:dyDescent="0.3">
      <c r="A3305" s="12"/>
      <c r="B3305" s="12"/>
      <c r="C3305" s="12"/>
      <c r="D3305" s="3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2"/>
      <c r="W3305" s="12"/>
      <c r="X3305" s="12"/>
      <c r="Y3305" s="12"/>
      <c r="Z3305" s="12"/>
      <c r="AA3305" s="12"/>
      <c r="AB3305" s="12"/>
      <c r="AC3305" s="12"/>
      <c r="AD3305" s="12"/>
    </row>
    <row r="3306" spans="1:30" ht="15.75" thickBot="1" x14ac:dyDescent="0.3">
      <c r="A3306" s="12"/>
      <c r="B3306" s="12"/>
      <c r="C3306" s="12"/>
      <c r="D3306" s="3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2"/>
      <c r="W3306" s="12"/>
      <c r="X3306" s="12"/>
      <c r="Y3306" s="12"/>
      <c r="Z3306" s="12"/>
      <c r="AA3306" s="12"/>
      <c r="AB3306" s="12"/>
      <c r="AC3306" s="12"/>
      <c r="AD3306" s="12"/>
    </row>
    <row r="3307" spans="1:30" ht="15.75" thickBot="1" x14ac:dyDescent="0.3">
      <c r="A3307" s="12"/>
      <c r="B3307" s="12"/>
      <c r="C3307" s="12"/>
      <c r="D3307" s="3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2"/>
      <c r="W3307" s="12"/>
      <c r="X3307" s="12"/>
      <c r="Y3307" s="12"/>
      <c r="Z3307" s="12"/>
      <c r="AA3307" s="12"/>
      <c r="AB3307" s="12"/>
      <c r="AC3307" s="12"/>
      <c r="AD3307" s="12"/>
    </row>
    <row r="3308" spans="1:30" ht="15.75" thickBot="1" x14ac:dyDescent="0.3">
      <c r="A3308" s="12"/>
      <c r="B3308" s="12"/>
      <c r="C3308" s="12"/>
      <c r="D3308" s="3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2"/>
      <c r="W3308" s="12"/>
      <c r="X3308" s="12"/>
      <c r="Y3308" s="12"/>
      <c r="Z3308" s="12"/>
      <c r="AA3308" s="12"/>
      <c r="AB3308" s="12"/>
      <c r="AC3308" s="12"/>
      <c r="AD3308" s="12"/>
    </row>
    <row r="3309" spans="1:30" ht="15.75" thickBot="1" x14ac:dyDescent="0.3">
      <c r="A3309" s="12"/>
      <c r="B3309" s="12"/>
      <c r="C3309" s="12"/>
      <c r="D3309" s="3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2"/>
      <c r="W3309" s="12"/>
      <c r="X3309" s="12"/>
      <c r="Y3309" s="12"/>
      <c r="Z3309" s="12"/>
      <c r="AA3309" s="12"/>
      <c r="AB3309" s="12"/>
      <c r="AC3309" s="12"/>
      <c r="AD3309" s="12"/>
    </row>
    <row r="3310" spans="1:30" ht="15.75" thickBot="1" x14ac:dyDescent="0.3">
      <c r="A3310" s="12"/>
      <c r="B3310" s="12"/>
      <c r="C3310" s="12"/>
      <c r="D3310" s="3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2"/>
      <c r="W3310" s="12"/>
      <c r="X3310" s="12"/>
      <c r="Y3310" s="12"/>
      <c r="Z3310" s="12"/>
      <c r="AA3310" s="12"/>
      <c r="AB3310" s="12"/>
      <c r="AC3310" s="12"/>
      <c r="AD3310" s="12"/>
    </row>
    <row r="3311" spans="1:30" ht="15.75" thickBot="1" x14ac:dyDescent="0.3">
      <c r="A3311" s="12"/>
      <c r="B3311" s="12"/>
      <c r="C3311" s="12"/>
      <c r="D3311" s="3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2"/>
      <c r="W3311" s="12"/>
      <c r="X3311" s="12"/>
      <c r="Y3311" s="12"/>
      <c r="Z3311" s="12"/>
      <c r="AA3311" s="12"/>
      <c r="AB3311" s="12"/>
      <c r="AC3311" s="12"/>
      <c r="AD3311" s="12"/>
    </row>
    <row r="3312" spans="1:30" ht="15.75" thickBot="1" x14ac:dyDescent="0.3">
      <c r="A3312" s="12"/>
      <c r="B3312" s="12"/>
      <c r="C3312" s="12"/>
      <c r="D3312" s="3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2"/>
      <c r="W3312" s="12"/>
      <c r="X3312" s="12"/>
      <c r="Y3312" s="12"/>
      <c r="Z3312" s="12"/>
      <c r="AA3312" s="12"/>
      <c r="AB3312" s="12"/>
      <c r="AC3312" s="12"/>
      <c r="AD3312" s="12"/>
    </row>
    <row r="3313" spans="1:30" ht="15.75" thickBot="1" x14ac:dyDescent="0.3">
      <c r="A3313" s="12"/>
      <c r="B3313" s="12"/>
      <c r="C3313" s="12"/>
      <c r="D3313" s="3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2"/>
      <c r="W3313" s="12"/>
      <c r="X3313" s="12"/>
      <c r="Y3313" s="12"/>
      <c r="Z3313" s="12"/>
      <c r="AA3313" s="12"/>
      <c r="AB3313" s="12"/>
      <c r="AC3313" s="12"/>
      <c r="AD3313" s="12"/>
    </row>
    <row r="3314" spans="1:30" ht="15.75" thickBot="1" x14ac:dyDescent="0.3">
      <c r="A3314" s="12"/>
      <c r="B3314" s="12"/>
      <c r="C3314" s="12"/>
      <c r="D3314" s="3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2"/>
      <c r="W3314" s="12"/>
      <c r="X3314" s="12"/>
      <c r="Y3314" s="12"/>
      <c r="Z3314" s="12"/>
      <c r="AA3314" s="12"/>
      <c r="AB3314" s="12"/>
      <c r="AC3314" s="12"/>
      <c r="AD3314" s="12"/>
    </row>
    <row r="3315" spans="1:30" ht="15.75" thickBot="1" x14ac:dyDescent="0.3">
      <c r="A3315" s="12"/>
      <c r="B3315" s="12"/>
      <c r="C3315" s="12"/>
      <c r="D3315" s="3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2"/>
      <c r="W3315" s="12"/>
      <c r="X3315" s="12"/>
      <c r="Y3315" s="12"/>
      <c r="Z3315" s="12"/>
      <c r="AA3315" s="12"/>
      <c r="AB3315" s="12"/>
      <c r="AC3315" s="12"/>
      <c r="AD3315" s="12"/>
    </row>
    <row r="3316" spans="1:30" ht="15.75" thickBot="1" x14ac:dyDescent="0.3">
      <c r="A3316" s="12"/>
      <c r="B3316" s="12"/>
      <c r="C3316" s="12"/>
      <c r="D3316" s="3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2"/>
      <c r="W3316" s="12"/>
      <c r="X3316" s="12"/>
      <c r="Y3316" s="12"/>
      <c r="Z3316" s="12"/>
      <c r="AA3316" s="12"/>
      <c r="AB3316" s="12"/>
      <c r="AC3316" s="12"/>
      <c r="AD3316" s="12"/>
    </row>
    <row r="3317" spans="1:30" ht="15.75" thickBot="1" x14ac:dyDescent="0.3">
      <c r="A3317" s="12"/>
      <c r="B3317" s="12"/>
      <c r="C3317" s="12"/>
      <c r="D3317" s="3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2"/>
      <c r="W3317" s="12"/>
      <c r="X3317" s="12"/>
      <c r="Y3317" s="12"/>
      <c r="Z3317" s="12"/>
      <c r="AA3317" s="12"/>
      <c r="AB3317" s="12"/>
      <c r="AC3317" s="12"/>
      <c r="AD3317" s="12"/>
    </row>
    <row r="3318" spans="1:30" ht="15.75" thickBot="1" x14ac:dyDescent="0.3">
      <c r="A3318" s="12"/>
      <c r="B3318" s="12"/>
      <c r="C3318" s="12"/>
      <c r="D3318" s="3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2"/>
      <c r="W3318" s="12"/>
      <c r="X3318" s="12"/>
      <c r="Y3318" s="12"/>
      <c r="Z3318" s="12"/>
      <c r="AA3318" s="12"/>
      <c r="AB3318" s="12"/>
      <c r="AC3318" s="12"/>
      <c r="AD3318" s="12"/>
    </row>
    <row r="3319" spans="1:30" ht="15.75" thickBot="1" x14ac:dyDescent="0.3">
      <c r="A3319" s="12"/>
      <c r="B3319" s="12"/>
      <c r="C3319" s="12"/>
      <c r="D3319" s="3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2"/>
      <c r="W3319" s="12"/>
      <c r="X3319" s="12"/>
      <c r="Y3319" s="12"/>
      <c r="Z3319" s="12"/>
      <c r="AA3319" s="12"/>
      <c r="AB3319" s="12"/>
      <c r="AC3319" s="12"/>
      <c r="AD3319" s="12"/>
    </row>
    <row r="3320" spans="1:30" ht="15.75" thickBot="1" x14ac:dyDescent="0.3">
      <c r="A3320" s="12"/>
      <c r="B3320" s="12"/>
      <c r="C3320" s="12"/>
      <c r="D3320" s="3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2"/>
      <c r="W3320" s="12"/>
      <c r="X3320" s="12"/>
      <c r="Y3320" s="12"/>
      <c r="Z3320" s="12"/>
      <c r="AA3320" s="12"/>
      <c r="AB3320" s="12"/>
      <c r="AC3320" s="12"/>
      <c r="AD3320" s="12"/>
    </row>
    <row r="3321" spans="1:30" ht="15.75" thickBot="1" x14ac:dyDescent="0.3">
      <c r="A3321" s="12"/>
      <c r="B3321" s="12"/>
      <c r="C3321" s="12"/>
      <c r="D3321" s="3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2"/>
      <c r="W3321" s="12"/>
      <c r="X3321" s="12"/>
      <c r="Y3321" s="12"/>
      <c r="Z3321" s="12"/>
      <c r="AA3321" s="12"/>
      <c r="AB3321" s="12"/>
      <c r="AC3321" s="12"/>
      <c r="AD3321" s="12"/>
    </row>
    <row r="3322" spans="1:30" ht="15.75" thickBot="1" x14ac:dyDescent="0.3">
      <c r="A3322" s="12"/>
      <c r="B3322" s="12"/>
      <c r="C3322" s="12"/>
      <c r="D3322" s="3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2"/>
      <c r="W3322" s="12"/>
      <c r="X3322" s="12"/>
      <c r="Y3322" s="12"/>
      <c r="Z3322" s="12"/>
      <c r="AA3322" s="12"/>
      <c r="AB3322" s="12"/>
      <c r="AC3322" s="12"/>
      <c r="AD3322" s="12"/>
    </row>
    <row r="3323" spans="1:30" ht="15.75" thickBot="1" x14ac:dyDescent="0.3">
      <c r="A3323" s="12"/>
      <c r="B3323" s="12"/>
      <c r="C3323" s="12"/>
      <c r="D3323" s="3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2"/>
      <c r="W3323" s="12"/>
      <c r="X3323" s="12"/>
      <c r="Y3323" s="12"/>
      <c r="Z3323" s="12"/>
      <c r="AA3323" s="12"/>
      <c r="AB3323" s="12"/>
      <c r="AC3323" s="12"/>
      <c r="AD3323" s="12"/>
    </row>
    <row r="3324" spans="1:30" ht="15.75" thickBot="1" x14ac:dyDescent="0.3">
      <c r="A3324" s="12"/>
      <c r="B3324" s="12"/>
      <c r="C3324" s="12"/>
      <c r="D3324" s="3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2"/>
      <c r="W3324" s="12"/>
      <c r="X3324" s="12"/>
      <c r="Y3324" s="12"/>
      <c r="Z3324" s="12"/>
      <c r="AA3324" s="12"/>
      <c r="AB3324" s="12"/>
      <c r="AC3324" s="12"/>
      <c r="AD3324" s="12"/>
    </row>
    <row r="3325" spans="1:30" ht="15.75" thickBot="1" x14ac:dyDescent="0.3">
      <c r="A3325" s="12"/>
      <c r="B3325" s="12"/>
      <c r="C3325" s="12"/>
      <c r="D3325" s="3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2"/>
      <c r="W3325" s="12"/>
      <c r="X3325" s="12"/>
      <c r="Y3325" s="12"/>
      <c r="Z3325" s="12"/>
      <c r="AA3325" s="12"/>
      <c r="AB3325" s="12"/>
      <c r="AC3325" s="12"/>
      <c r="AD3325" s="12"/>
    </row>
    <row r="3326" spans="1:30" ht="15.75" thickBot="1" x14ac:dyDescent="0.3">
      <c r="A3326" s="12"/>
      <c r="B3326" s="12"/>
      <c r="C3326" s="12"/>
      <c r="D3326" s="3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2"/>
      <c r="W3326" s="12"/>
      <c r="X3326" s="12"/>
      <c r="Y3326" s="12"/>
      <c r="Z3326" s="12"/>
      <c r="AA3326" s="12"/>
      <c r="AB3326" s="12"/>
      <c r="AC3326" s="12"/>
      <c r="AD3326" s="12"/>
    </row>
    <row r="3327" spans="1:30" ht="15.75" thickBot="1" x14ac:dyDescent="0.3">
      <c r="A3327" s="12"/>
      <c r="B3327" s="12"/>
      <c r="C3327" s="12"/>
      <c r="D3327" s="3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2"/>
      <c r="W3327" s="12"/>
      <c r="X3327" s="12"/>
      <c r="Y3327" s="12"/>
      <c r="Z3327" s="12"/>
      <c r="AA3327" s="12"/>
      <c r="AB3327" s="12"/>
      <c r="AC3327" s="12"/>
      <c r="AD3327" s="12"/>
    </row>
    <row r="3328" spans="1:30" ht="15.75" thickBot="1" x14ac:dyDescent="0.3">
      <c r="A3328" s="12"/>
      <c r="B3328" s="12"/>
      <c r="C3328" s="12"/>
      <c r="D3328" s="3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2"/>
      <c r="W3328" s="12"/>
      <c r="X3328" s="12"/>
      <c r="Y3328" s="12"/>
      <c r="Z3328" s="12"/>
      <c r="AA3328" s="12"/>
      <c r="AB3328" s="12"/>
      <c r="AC3328" s="12"/>
      <c r="AD3328" s="12"/>
    </row>
    <row r="3329" spans="1:30" ht="15.75" thickBot="1" x14ac:dyDescent="0.3">
      <c r="A3329" s="12"/>
      <c r="B3329" s="12"/>
      <c r="C3329" s="12"/>
      <c r="D3329" s="3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2"/>
      <c r="W3329" s="12"/>
      <c r="X3329" s="12"/>
      <c r="Y3329" s="12"/>
      <c r="Z3329" s="12"/>
      <c r="AA3329" s="12"/>
      <c r="AB3329" s="12"/>
      <c r="AC3329" s="12"/>
      <c r="AD3329" s="12"/>
    </row>
    <row r="3330" spans="1:30" ht="15.75" thickBot="1" x14ac:dyDescent="0.3">
      <c r="A3330" s="12"/>
      <c r="B3330" s="12"/>
      <c r="C3330" s="12"/>
      <c r="D3330" s="3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2"/>
      <c r="W3330" s="12"/>
      <c r="X3330" s="12"/>
      <c r="Y3330" s="12"/>
      <c r="Z3330" s="12"/>
      <c r="AA3330" s="12"/>
      <c r="AB3330" s="12"/>
      <c r="AC3330" s="12"/>
      <c r="AD3330" s="12"/>
    </row>
    <row r="3331" spans="1:30" ht="15.75" thickBot="1" x14ac:dyDescent="0.3">
      <c r="A3331" s="12"/>
      <c r="B3331" s="12"/>
      <c r="C3331" s="12"/>
      <c r="D3331" s="3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2"/>
      <c r="W3331" s="12"/>
      <c r="X3331" s="12"/>
      <c r="Y3331" s="12"/>
      <c r="Z3331" s="12"/>
      <c r="AA3331" s="12"/>
      <c r="AB3331" s="12"/>
      <c r="AC3331" s="12"/>
      <c r="AD3331" s="12"/>
    </row>
    <row r="3332" spans="1:30" ht="15.75" thickBot="1" x14ac:dyDescent="0.3">
      <c r="A3332" s="12"/>
      <c r="B3332" s="12"/>
      <c r="C3332" s="12"/>
      <c r="D3332" s="3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2"/>
      <c r="W3332" s="12"/>
      <c r="X3332" s="12"/>
      <c r="Y3332" s="12"/>
      <c r="Z3332" s="12"/>
      <c r="AA3332" s="12"/>
      <c r="AB3332" s="12"/>
      <c r="AC3332" s="12"/>
      <c r="AD3332" s="12"/>
    </row>
    <row r="3333" spans="1:30" ht="15.75" thickBot="1" x14ac:dyDescent="0.3">
      <c r="A3333" s="12"/>
      <c r="B3333" s="12"/>
      <c r="C3333" s="12"/>
      <c r="D3333" s="3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2"/>
      <c r="W3333" s="12"/>
      <c r="X3333" s="12"/>
      <c r="Y3333" s="12"/>
      <c r="Z3333" s="12"/>
      <c r="AA3333" s="12"/>
      <c r="AB3333" s="12"/>
      <c r="AC3333" s="12"/>
      <c r="AD3333" s="12"/>
    </row>
    <row r="3334" spans="1:30" ht="15.75" thickBot="1" x14ac:dyDescent="0.3">
      <c r="A3334" s="12"/>
      <c r="B3334" s="12"/>
      <c r="C3334" s="12"/>
      <c r="D3334" s="3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2"/>
      <c r="W3334" s="12"/>
      <c r="X3334" s="12"/>
      <c r="Y3334" s="12"/>
      <c r="Z3334" s="12"/>
      <c r="AA3334" s="12"/>
      <c r="AB3334" s="12"/>
      <c r="AC3334" s="12"/>
      <c r="AD3334" s="12"/>
    </row>
    <row r="3335" spans="1:30" ht="15.75" thickBot="1" x14ac:dyDescent="0.3">
      <c r="A3335" s="12"/>
      <c r="B3335" s="12"/>
      <c r="C3335" s="12"/>
      <c r="D3335" s="3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2"/>
      <c r="W3335" s="12"/>
      <c r="X3335" s="12"/>
      <c r="Y3335" s="12"/>
      <c r="Z3335" s="12"/>
      <c r="AA3335" s="12"/>
      <c r="AB3335" s="12"/>
      <c r="AC3335" s="12"/>
      <c r="AD3335" s="12"/>
    </row>
    <row r="3336" spans="1:30" ht="15.75" thickBot="1" x14ac:dyDescent="0.3">
      <c r="A3336" s="12"/>
      <c r="B3336" s="12"/>
      <c r="C3336" s="12"/>
      <c r="D3336" s="3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2"/>
      <c r="W3336" s="12"/>
      <c r="X3336" s="12"/>
      <c r="Y3336" s="12"/>
      <c r="Z3336" s="12"/>
      <c r="AA3336" s="12"/>
      <c r="AB3336" s="12"/>
      <c r="AC3336" s="12"/>
      <c r="AD3336" s="12"/>
    </row>
    <row r="3337" spans="1:30" ht="15.75" thickBot="1" x14ac:dyDescent="0.3">
      <c r="A3337" s="12"/>
      <c r="B3337" s="12"/>
      <c r="C3337" s="12"/>
      <c r="D3337" s="3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2"/>
      <c r="W3337" s="12"/>
      <c r="X3337" s="12"/>
      <c r="Y3337" s="12"/>
      <c r="Z3337" s="12"/>
      <c r="AA3337" s="12"/>
      <c r="AB3337" s="12"/>
      <c r="AC3337" s="12"/>
      <c r="AD3337" s="12"/>
    </row>
    <row r="3338" spans="1:30" ht="15.75" thickBot="1" x14ac:dyDescent="0.3">
      <c r="A3338" s="12"/>
      <c r="B3338" s="12"/>
      <c r="C3338" s="12"/>
      <c r="D3338" s="3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2"/>
      <c r="W3338" s="12"/>
      <c r="X3338" s="12"/>
      <c r="Y3338" s="12"/>
      <c r="Z3338" s="12"/>
      <c r="AA3338" s="12"/>
      <c r="AB3338" s="12"/>
      <c r="AC3338" s="12"/>
      <c r="AD3338" s="12"/>
    </row>
    <row r="3339" spans="1:30" ht="15.75" thickBot="1" x14ac:dyDescent="0.3">
      <c r="A3339" s="12"/>
      <c r="B3339" s="12"/>
      <c r="C3339" s="12"/>
      <c r="D3339" s="3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2"/>
      <c r="W3339" s="12"/>
      <c r="X3339" s="12"/>
      <c r="Y3339" s="12"/>
      <c r="Z3339" s="12"/>
      <c r="AA3339" s="12"/>
      <c r="AB3339" s="12"/>
      <c r="AC3339" s="12"/>
      <c r="AD3339" s="12"/>
    </row>
    <row r="3340" spans="1:30" ht="15.75" thickBot="1" x14ac:dyDescent="0.3">
      <c r="A3340" s="12"/>
      <c r="B3340" s="12"/>
      <c r="C3340" s="12"/>
      <c r="D3340" s="3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2"/>
      <c r="W3340" s="12"/>
      <c r="X3340" s="12"/>
      <c r="Y3340" s="12"/>
      <c r="Z3340" s="12"/>
      <c r="AA3340" s="12"/>
      <c r="AB3340" s="12"/>
      <c r="AC3340" s="12"/>
      <c r="AD3340" s="12"/>
    </row>
    <row r="3341" spans="1:30" ht="15.75" thickBot="1" x14ac:dyDescent="0.3">
      <c r="A3341" s="12"/>
      <c r="B3341" s="12"/>
      <c r="C3341" s="12"/>
      <c r="D3341" s="3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2"/>
      <c r="W3341" s="12"/>
      <c r="X3341" s="12"/>
      <c r="Y3341" s="12"/>
      <c r="Z3341" s="12"/>
      <c r="AA3341" s="12"/>
      <c r="AB3341" s="12"/>
      <c r="AC3341" s="12"/>
      <c r="AD3341" s="12"/>
    </row>
    <row r="3342" spans="1:30" ht="15.75" thickBot="1" x14ac:dyDescent="0.3">
      <c r="A3342" s="12"/>
      <c r="B3342" s="12"/>
      <c r="C3342" s="12"/>
      <c r="D3342" s="3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2"/>
      <c r="W3342" s="12"/>
      <c r="X3342" s="12"/>
      <c r="Y3342" s="12"/>
      <c r="Z3342" s="12"/>
      <c r="AA3342" s="12"/>
      <c r="AB3342" s="12"/>
      <c r="AC3342" s="12"/>
      <c r="AD3342" s="12"/>
    </row>
    <row r="3343" spans="1:30" ht="15.75" thickBot="1" x14ac:dyDescent="0.3">
      <c r="A3343" s="12"/>
      <c r="B3343" s="12"/>
      <c r="C3343" s="12"/>
      <c r="D3343" s="3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2"/>
      <c r="W3343" s="12"/>
      <c r="X3343" s="12"/>
      <c r="Y3343" s="12"/>
      <c r="Z3343" s="12"/>
      <c r="AA3343" s="12"/>
      <c r="AB3343" s="12"/>
      <c r="AC3343" s="12"/>
      <c r="AD3343" s="12"/>
    </row>
    <row r="3344" spans="1:30" ht="15.75" thickBot="1" x14ac:dyDescent="0.3">
      <c r="A3344" s="12"/>
      <c r="B3344" s="12"/>
      <c r="C3344" s="12"/>
      <c r="D3344" s="3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2"/>
      <c r="W3344" s="12"/>
      <c r="X3344" s="12"/>
      <c r="Y3344" s="12"/>
      <c r="Z3344" s="12"/>
      <c r="AA3344" s="12"/>
      <c r="AB3344" s="12"/>
      <c r="AC3344" s="12"/>
      <c r="AD3344" s="12"/>
    </row>
    <row r="3345" spans="1:30" ht="15.75" thickBot="1" x14ac:dyDescent="0.3">
      <c r="A3345" s="12"/>
      <c r="B3345" s="12"/>
      <c r="C3345" s="12"/>
      <c r="D3345" s="3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2"/>
      <c r="W3345" s="12"/>
      <c r="X3345" s="12"/>
      <c r="Y3345" s="12"/>
      <c r="Z3345" s="12"/>
      <c r="AA3345" s="12"/>
      <c r="AB3345" s="12"/>
      <c r="AC3345" s="12"/>
      <c r="AD3345" s="12"/>
    </row>
    <row r="3346" spans="1:30" ht="15.75" thickBot="1" x14ac:dyDescent="0.3">
      <c r="A3346" s="12"/>
      <c r="B3346" s="12"/>
      <c r="C3346" s="12"/>
      <c r="D3346" s="3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2"/>
      <c r="W3346" s="12"/>
      <c r="X3346" s="12"/>
      <c r="Y3346" s="12"/>
      <c r="Z3346" s="12"/>
      <c r="AA3346" s="12"/>
      <c r="AB3346" s="12"/>
      <c r="AC3346" s="12"/>
      <c r="AD3346" s="12"/>
    </row>
    <row r="3347" spans="1:30" ht="15.75" thickBot="1" x14ac:dyDescent="0.3">
      <c r="A3347" s="12"/>
      <c r="B3347" s="12"/>
      <c r="C3347" s="12"/>
      <c r="D3347" s="3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2"/>
      <c r="W3347" s="12"/>
      <c r="X3347" s="12"/>
      <c r="Y3347" s="12"/>
      <c r="Z3347" s="12"/>
      <c r="AA3347" s="12"/>
      <c r="AB3347" s="12"/>
      <c r="AC3347" s="12"/>
      <c r="AD3347" s="12"/>
    </row>
    <row r="3348" spans="1:30" ht="15.75" thickBot="1" x14ac:dyDescent="0.3">
      <c r="A3348" s="12"/>
      <c r="B3348" s="12"/>
      <c r="C3348" s="12"/>
      <c r="D3348" s="3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2"/>
      <c r="W3348" s="12"/>
      <c r="X3348" s="12"/>
      <c r="Y3348" s="12"/>
      <c r="Z3348" s="12"/>
      <c r="AA3348" s="12"/>
      <c r="AB3348" s="12"/>
      <c r="AC3348" s="12"/>
      <c r="AD3348" s="12"/>
    </row>
    <row r="3349" spans="1:30" ht="15.75" thickBot="1" x14ac:dyDescent="0.3">
      <c r="A3349" s="12"/>
      <c r="B3349" s="12"/>
      <c r="C3349" s="12"/>
      <c r="D3349" s="3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2"/>
      <c r="W3349" s="12"/>
      <c r="X3349" s="12"/>
      <c r="Y3349" s="12"/>
      <c r="Z3349" s="12"/>
      <c r="AA3349" s="12"/>
      <c r="AB3349" s="12"/>
      <c r="AC3349" s="12"/>
      <c r="AD3349" s="12"/>
    </row>
    <row r="3350" spans="1:30" ht="15.75" thickBot="1" x14ac:dyDescent="0.3">
      <c r="A3350" s="12"/>
      <c r="B3350" s="12"/>
      <c r="C3350" s="12"/>
      <c r="D3350" s="3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2"/>
      <c r="W3350" s="12"/>
      <c r="X3350" s="12"/>
      <c r="Y3350" s="12"/>
      <c r="Z3350" s="12"/>
      <c r="AA3350" s="12"/>
      <c r="AB3350" s="12"/>
      <c r="AC3350" s="12"/>
      <c r="AD3350" s="12"/>
    </row>
    <row r="3351" spans="1:30" ht="15.75" thickBot="1" x14ac:dyDescent="0.3">
      <c r="A3351" s="12"/>
      <c r="B3351" s="12"/>
      <c r="C3351" s="12"/>
      <c r="D3351" s="3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2"/>
      <c r="W3351" s="12"/>
      <c r="X3351" s="12"/>
      <c r="Y3351" s="12"/>
      <c r="Z3351" s="12"/>
      <c r="AA3351" s="12"/>
      <c r="AB3351" s="12"/>
      <c r="AC3351" s="12"/>
      <c r="AD3351" s="12"/>
    </row>
    <row r="3352" spans="1:30" ht="15.75" thickBot="1" x14ac:dyDescent="0.3">
      <c r="A3352" s="12"/>
      <c r="B3352" s="12"/>
      <c r="C3352" s="12"/>
      <c r="D3352" s="3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2"/>
      <c r="W3352" s="12"/>
      <c r="X3352" s="12"/>
      <c r="Y3352" s="12"/>
      <c r="Z3352" s="12"/>
      <c r="AA3352" s="12"/>
      <c r="AB3352" s="12"/>
      <c r="AC3352" s="12"/>
      <c r="AD3352" s="12"/>
    </row>
    <row r="3353" spans="1:30" ht="15.75" thickBot="1" x14ac:dyDescent="0.3">
      <c r="A3353" s="12"/>
      <c r="B3353" s="12"/>
      <c r="C3353" s="12"/>
      <c r="D3353" s="3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2"/>
      <c r="W3353" s="12"/>
      <c r="X3353" s="12"/>
      <c r="Y3353" s="12"/>
      <c r="Z3353" s="12"/>
      <c r="AA3353" s="12"/>
      <c r="AB3353" s="12"/>
      <c r="AC3353" s="12"/>
      <c r="AD3353" s="12"/>
    </row>
    <row r="3354" spans="1:30" ht="15.75" thickBot="1" x14ac:dyDescent="0.3">
      <c r="A3354" s="12"/>
      <c r="B3354" s="12"/>
      <c r="C3354" s="12"/>
      <c r="D3354" s="3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2"/>
      <c r="W3354" s="12"/>
      <c r="X3354" s="12"/>
      <c r="Y3354" s="12"/>
      <c r="Z3354" s="12"/>
      <c r="AA3354" s="12"/>
      <c r="AB3354" s="12"/>
      <c r="AC3354" s="12"/>
      <c r="AD3354" s="12"/>
    </row>
    <row r="3355" spans="1:30" ht="15.75" thickBot="1" x14ac:dyDescent="0.3">
      <c r="A3355" s="12"/>
      <c r="B3355" s="12"/>
      <c r="C3355" s="12"/>
      <c r="D3355" s="3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2"/>
      <c r="W3355" s="12"/>
      <c r="X3355" s="12"/>
      <c r="Y3355" s="12"/>
      <c r="Z3355" s="12"/>
      <c r="AA3355" s="12"/>
      <c r="AB3355" s="12"/>
      <c r="AC3355" s="12"/>
      <c r="AD3355" s="12"/>
    </row>
    <row r="3356" spans="1:30" ht="15.75" thickBot="1" x14ac:dyDescent="0.3">
      <c r="A3356" s="12"/>
      <c r="B3356" s="12"/>
      <c r="C3356" s="12"/>
      <c r="D3356" s="3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2"/>
      <c r="W3356" s="12"/>
      <c r="X3356" s="12"/>
      <c r="Y3356" s="12"/>
      <c r="Z3356" s="12"/>
      <c r="AA3356" s="12"/>
      <c r="AB3356" s="12"/>
      <c r="AC3356" s="12"/>
      <c r="AD3356" s="12"/>
    </row>
    <row r="3357" spans="1:30" ht="15.75" thickBot="1" x14ac:dyDescent="0.3">
      <c r="A3357" s="12"/>
      <c r="B3357" s="12"/>
      <c r="C3357" s="12"/>
      <c r="D3357" s="3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2"/>
      <c r="W3357" s="12"/>
      <c r="X3357" s="12"/>
      <c r="Y3357" s="12"/>
      <c r="Z3357" s="12"/>
      <c r="AA3357" s="12"/>
      <c r="AB3357" s="12"/>
      <c r="AC3357" s="12"/>
      <c r="AD3357" s="12"/>
    </row>
    <row r="3358" spans="1:30" ht="15.75" thickBot="1" x14ac:dyDescent="0.3">
      <c r="A3358" s="12"/>
      <c r="B3358" s="12"/>
      <c r="C3358" s="12"/>
      <c r="D3358" s="3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2"/>
      <c r="W3358" s="12"/>
      <c r="X3358" s="12"/>
      <c r="Y3358" s="12"/>
      <c r="Z3358" s="12"/>
      <c r="AA3358" s="12"/>
      <c r="AB3358" s="12"/>
      <c r="AC3358" s="12"/>
      <c r="AD3358" s="12"/>
    </row>
    <row r="3359" spans="1:30" ht="15.75" thickBot="1" x14ac:dyDescent="0.3">
      <c r="A3359" s="12"/>
      <c r="B3359" s="12"/>
      <c r="C3359" s="12"/>
      <c r="D3359" s="3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2"/>
      <c r="W3359" s="12"/>
      <c r="X3359" s="12"/>
      <c r="Y3359" s="12"/>
      <c r="Z3359" s="12"/>
      <c r="AA3359" s="12"/>
      <c r="AB3359" s="12"/>
      <c r="AC3359" s="12"/>
      <c r="AD3359" s="12"/>
    </row>
    <row r="3360" spans="1:30" ht="15.75" thickBot="1" x14ac:dyDescent="0.3">
      <c r="A3360" s="12"/>
      <c r="B3360" s="12"/>
      <c r="C3360" s="12"/>
      <c r="D3360" s="3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2"/>
      <c r="W3360" s="12"/>
      <c r="X3360" s="12"/>
      <c r="Y3360" s="12"/>
      <c r="Z3360" s="12"/>
      <c r="AA3360" s="12"/>
      <c r="AB3360" s="12"/>
      <c r="AC3360" s="12"/>
      <c r="AD3360" s="12"/>
    </row>
    <row r="3361" spans="1:30" ht="15.75" thickBot="1" x14ac:dyDescent="0.3">
      <c r="A3361" s="12"/>
      <c r="B3361" s="12"/>
      <c r="C3361" s="12"/>
      <c r="D3361" s="3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2"/>
      <c r="W3361" s="12"/>
      <c r="X3361" s="12"/>
      <c r="Y3361" s="12"/>
      <c r="Z3361" s="12"/>
      <c r="AA3361" s="12"/>
      <c r="AB3361" s="12"/>
      <c r="AC3361" s="12"/>
      <c r="AD3361" s="12"/>
    </row>
    <row r="3362" spans="1:30" ht="15.75" thickBot="1" x14ac:dyDescent="0.3">
      <c r="A3362" s="12"/>
      <c r="B3362" s="12"/>
      <c r="C3362" s="12"/>
      <c r="D3362" s="3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2"/>
      <c r="W3362" s="12"/>
      <c r="X3362" s="12"/>
      <c r="Y3362" s="12"/>
      <c r="Z3362" s="12"/>
      <c r="AA3362" s="12"/>
      <c r="AB3362" s="12"/>
      <c r="AC3362" s="12"/>
      <c r="AD3362" s="12"/>
    </row>
    <row r="3363" spans="1:30" ht="15.75" thickBot="1" x14ac:dyDescent="0.3">
      <c r="A3363" s="12"/>
      <c r="B3363" s="12"/>
      <c r="C3363" s="12"/>
      <c r="D3363" s="3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2"/>
      <c r="W3363" s="12"/>
      <c r="X3363" s="12"/>
      <c r="Y3363" s="12"/>
      <c r="Z3363" s="12"/>
      <c r="AA3363" s="12"/>
      <c r="AB3363" s="12"/>
      <c r="AC3363" s="12"/>
      <c r="AD3363" s="12"/>
    </row>
    <row r="3364" spans="1:30" ht="15.75" thickBot="1" x14ac:dyDescent="0.3">
      <c r="A3364" s="12"/>
      <c r="B3364" s="12"/>
      <c r="C3364" s="12"/>
      <c r="D3364" s="3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2"/>
      <c r="W3364" s="12"/>
      <c r="X3364" s="12"/>
      <c r="Y3364" s="12"/>
      <c r="Z3364" s="12"/>
      <c r="AA3364" s="12"/>
      <c r="AB3364" s="12"/>
      <c r="AC3364" s="12"/>
      <c r="AD3364" s="12"/>
    </row>
    <row r="3365" spans="1:30" ht="15.75" thickBot="1" x14ac:dyDescent="0.3">
      <c r="A3365" s="12"/>
      <c r="B3365" s="12"/>
      <c r="C3365" s="12"/>
      <c r="D3365" s="3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2"/>
      <c r="W3365" s="12"/>
      <c r="X3365" s="12"/>
      <c r="Y3365" s="12"/>
      <c r="Z3365" s="12"/>
      <c r="AA3365" s="12"/>
      <c r="AB3365" s="12"/>
      <c r="AC3365" s="12"/>
      <c r="AD3365" s="12"/>
    </row>
    <row r="3366" spans="1:30" ht="15.75" thickBot="1" x14ac:dyDescent="0.3">
      <c r="A3366" s="12"/>
      <c r="B3366" s="12"/>
      <c r="C3366" s="12"/>
      <c r="D3366" s="3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2"/>
      <c r="W3366" s="12"/>
      <c r="X3366" s="12"/>
      <c r="Y3366" s="12"/>
      <c r="Z3366" s="12"/>
      <c r="AA3366" s="12"/>
      <c r="AB3366" s="12"/>
      <c r="AC3366" s="12"/>
      <c r="AD3366" s="12"/>
    </row>
    <row r="3367" spans="1:30" ht="15.75" thickBot="1" x14ac:dyDescent="0.3">
      <c r="A3367" s="12"/>
      <c r="B3367" s="12"/>
      <c r="C3367" s="12"/>
      <c r="D3367" s="3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2"/>
      <c r="W3367" s="12"/>
      <c r="X3367" s="12"/>
      <c r="Y3367" s="12"/>
      <c r="Z3367" s="12"/>
      <c r="AA3367" s="12"/>
      <c r="AB3367" s="12"/>
      <c r="AC3367" s="12"/>
      <c r="AD3367" s="12"/>
    </row>
    <row r="3368" spans="1:30" ht="15.75" thickBot="1" x14ac:dyDescent="0.3">
      <c r="A3368" s="12"/>
      <c r="B3368" s="12"/>
      <c r="C3368" s="12"/>
      <c r="D3368" s="3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2"/>
      <c r="W3368" s="12"/>
      <c r="X3368" s="12"/>
      <c r="Y3368" s="12"/>
      <c r="Z3368" s="12"/>
      <c r="AA3368" s="12"/>
      <c r="AB3368" s="12"/>
      <c r="AC3368" s="12"/>
      <c r="AD3368" s="12"/>
    </row>
    <row r="3369" spans="1:30" ht="15.75" thickBot="1" x14ac:dyDescent="0.3">
      <c r="A3369" s="12"/>
      <c r="B3369" s="12"/>
      <c r="C3369" s="12"/>
      <c r="D3369" s="3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2"/>
      <c r="W3369" s="12"/>
      <c r="X3369" s="12"/>
      <c r="Y3369" s="12"/>
      <c r="Z3369" s="12"/>
      <c r="AA3369" s="12"/>
      <c r="AB3369" s="12"/>
      <c r="AC3369" s="12"/>
      <c r="AD3369" s="12"/>
    </row>
    <row r="3370" spans="1:30" ht="15.75" thickBot="1" x14ac:dyDescent="0.3">
      <c r="A3370" s="12"/>
      <c r="B3370" s="12"/>
      <c r="C3370" s="12"/>
      <c r="D3370" s="3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2"/>
      <c r="W3370" s="12"/>
      <c r="X3370" s="12"/>
      <c r="Y3370" s="12"/>
      <c r="Z3370" s="12"/>
      <c r="AA3370" s="12"/>
      <c r="AB3370" s="12"/>
      <c r="AC3370" s="12"/>
      <c r="AD3370" s="12"/>
    </row>
    <row r="3371" spans="1:30" ht="15.75" thickBot="1" x14ac:dyDescent="0.3">
      <c r="A3371" s="12"/>
      <c r="B3371" s="12"/>
      <c r="C3371" s="12"/>
      <c r="D3371" s="3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2"/>
      <c r="W3371" s="12"/>
      <c r="X3371" s="12"/>
      <c r="Y3371" s="12"/>
      <c r="Z3371" s="12"/>
      <c r="AA3371" s="12"/>
      <c r="AB3371" s="12"/>
      <c r="AC3371" s="12"/>
      <c r="AD3371" s="12"/>
    </row>
    <row r="3372" spans="1:30" ht="15.75" thickBot="1" x14ac:dyDescent="0.3">
      <c r="A3372" s="12"/>
      <c r="B3372" s="12"/>
      <c r="C3372" s="12"/>
      <c r="D3372" s="3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2"/>
      <c r="W3372" s="12"/>
      <c r="X3372" s="12"/>
      <c r="Y3372" s="12"/>
      <c r="Z3372" s="12"/>
      <c r="AA3372" s="12"/>
      <c r="AB3372" s="12"/>
      <c r="AC3372" s="12"/>
      <c r="AD3372" s="12"/>
    </row>
    <row r="3373" spans="1:30" ht="15.75" thickBot="1" x14ac:dyDescent="0.3">
      <c r="A3373" s="12"/>
      <c r="B3373" s="12"/>
      <c r="C3373" s="12"/>
      <c r="D3373" s="3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2"/>
      <c r="W3373" s="12"/>
      <c r="X3373" s="12"/>
      <c r="Y3373" s="12"/>
      <c r="Z3373" s="12"/>
      <c r="AA3373" s="12"/>
      <c r="AB3373" s="12"/>
      <c r="AC3373" s="12"/>
      <c r="AD3373" s="12"/>
    </row>
    <row r="3374" spans="1:30" ht="15.75" thickBot="1" x14ac:dyDescent="0.3">
      <c r="A3374" s="12"/>
      <c r="B3374" s="12"/>
      <c r="C3374" s="12"/>
      <c r="D3374" s="3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2"/>
      <c r="W3374" s="12"/>
      <c r="X3374" s="12"/>
      <c r="Y3374" s="12"/>
      <c r="Z3374" s="12"/>
      <c r="AA3374" s="12"/>
      <c r="AB3374" s="12"/>
      <c r="AC3374" s="12"/>
      <c r="AD3374" s="12"/>
    </row>
    <row r="3375" spans="1:30" ht="15.75" thickBot="1" x14ac:dyDescent="0.3">
      <c r="A3375" s="12"/>
      <c r="B3375" s="12"/>
      <c r="C3375" s="12"/>
      <c r="D3375" s="3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2"/>
      <c r="W3375" s="12"/>
      <c r="X3375" s="12"/>
      <c r="Y3375" s="12"/>
      <c r="Z3375" s="12"/>
      <c r="AA3375" s="12"/>
      <c r="AB3375" s="12"/>
      <c r="AC3375" s="12"/>
      <c r="AD3375" s="12"/>
    </row>
    <row r="3376" spans="1:30" ht="15.75" thickBot="1" x14ac:dyDescent="0.3">
      <c r="A3376" s="12"/>
      <c r="B3376" s="12"/>
      <c r="C3376" s="12"/>
      <c r="D3376" s="3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2"/>
      <c r="W3376" s="12"/>
      <c r="X3376" s="12"/>
      <c r="Y3376" s="12"/>
      <c r="Z3376" s="12"/>
      <c r="AA3376" s="12"/>
      <c r="AB3376" s="12"/>
      <c r="AC3376" s="12"/>
      <c r="AD3376" s="12"/>
    </row>
    <row r="3377" spans="1:30" ht="15.75" thickBot="1" x14ac:dyDescent="0.3">
      <c r="A3377" s="12"/>
      <c r="B3377" s="12"/>
      <c r="C3377" s="12"/>
      <c r="D3377" s="3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2"/>
      <c r="W3377" s="12"/>
      <c r="X3377" s="12"/>
      <c r="Y3377" s="12"/>
      <c r="Z3377" s="12"/>
      <c r="AA3377" s="12"/>
      <c r="AB3377" s="12"/>
      <c r="AC3377" s="12"/>
      <c r="AD3377" s="12"/>
    </row>
    <row r="3378" spans="1:30" ht="15.75" thickBot="1" x14ac:dyDescent="0.3">
      <c r="A3378" s="12"/>
      <c r="B3378" s="12"/>
      <c r="C3378" s="12"/>
      <c r="D3378" s="3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2"/>
      <c r="W3378" s="12"/>
      <c r="X3378" s="12"/>
      <c r="Y3378" s="12"/>
      <c r="Z3378" s="12"/>
      <c r="AA3378" s="12"/>
      <c r="AB3378" s="12"/>
      <c r="AC3378" s="12"/>
      <c r="AD3378" s="12"/>
    </row>
    <row r="3379" spans="1:30" ht="15.75" thickBot="1" x14ac:dyDescent="0.3">
      <c r="A3379" s="12"/>
      <c r="B3379" s="12"/>
      <c r="C3379" s="12"/>
      <c r="D3379" s="3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2"/>
      <c r="W3379" s="12"/>
      <c r="X3379" s="12"/>
      <c r="Y3379" s="12"/>
      <c r="Z3379" s="12"/>
      <c r="AA3379" s="12"/>
      <c r="AB3379" s="12"/>
      <c r="AC3379" s="12"/>
      <c r="AD3379" s="12"/>
    </row>
    <row r="3380" spans="1:30" ht="15.75" thickBot="1" x14ac:dyDescent="0.3">
      <c r="A3380" s="12"/>
      <c r="B3380" s="12"/>
      <c r="C3380" s="12"/>
      <c r="D3380" s="3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2"/>
      <c r="W3380" s="12"/>
      <c r="X3380" s="12"/>
      <c r="Y3380" s="12"/>
      <c r="Z3380" s="12"/>
      <c r="AA3380" s="12"/>
      <c r="AB3380" s="12"/>
      <c r="AC3380" s="12"/>
      <c r="AD3380" s="12"/>
    </row>
    <row r="3381" spans="1:30" ht="15.75" thickBot="1" x14ac:dyDescent="0.3">
      <c r="A3381" s="12"/>
      <c r="B3381" s="12"/>
      <c r="C3381" s="12"/>
      <c r="D3381" s="3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2"/>
      <c r="W3381" s="12"/>
      <c r="X3381" s="12"/>
      <c r="Y3381" s="12"/>
      <c r="Z3381" s="12"/>
      <c r="AA3381" s="12"/>
      <c r="AB3381" s="12"/>
      <c r="AC3381" s="12"/>
      <c r="AD3381" s="12"/>
    </row>
    <row r="3382" spans="1:30" ht="15.75" thickBot="1" x14ac:dyDescent="0.3">
      <c r="A3382" s="12"/>
      <c r="B3382" s="12"/>
      <c r="C3382" s="12"/>
      <c r="D3382" s="3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2"/>
      <c r="W3382" s="12"/>
      <c r="X3382" s="12"/>
      <c r="Y3382" s="12"/>
      <c r="Z3382" s="12"/>
      <c r="AA3382" s="12"/>
      <c r="AB3382" s="12"/>
      <c r="AC3382" s="12"/>
      <c r="AD3382" s="12"/>
    </row>
    <row r="3383" spans="1:30" ht="15.75" thickBot="1" x14ac:dyDescent="0.3">
      <c r="A3383" s="12"/>
      <c r="B3383" s="12"/>
      <c r="C3383" s="12"/>
      <c r="D3383" s="3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2"/>
      <c r="W3383" s="12"/>
      <c r="X3383" s="12"/>
      <c r="Y3383" s="12"/>
      <c r="Z3383" s="12"/>
      <c r="AA3383" s="12"/>
      <c r="AB3383" s="12"/>
      <c r="AC3383" s="12"/>
      <c r="AD3383" s="12"/>
    </row>
    <row r="3384" spans="1:30" ht="15.75" thickBot="1" x14ac:dyDescent="0.3">
      <c r="A3384" s="12"/>
      <c r="B3384" s="12"/>
      <c r="C3384" s="12"/>
      <c r="D3384" s="3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2"/>
      <c r="W3384" s="12"/>
      <c r="X3384" s="12"/>
      <c r="Y3384" s="12"/>
      <c r="Z3384" s="12"/>
      <c r="AA3384" s="12"/>
      <c r="AB3384" s="12"/>
      <c r="AC3384" s="12"/>
      <c r="AD3384" s="12"/>
    </row>
    <row r="3385" spans="1:30" ht="15.75" thickBot="1" x14ac:dyDescent="0.3">
      <c r="A3385" s="12"/>
      <c r="B3385" s="12"/>
      <c r="C3385" s="12"/>
      <c r="D3385" s="3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2"/>
      <c r="W3385" s="12"/>
      <c r="X3385" s="12"/>
      <c r="Y3385" s="12"/>
      <c r="Z3385" s="12"/>
      <c r="AA3385" s="12"/>
      <c r="AB3385" s="12"/>
      <c r="AC3385" s="12"/>
      <c r="AD3385" s="12"/>
    </row>
    <row r="3386" spans="1:30" ht="15.75" thickBot="1" x14ac:dyDescent="0.3">
      <c r="A3386" s="12"/>
      <c r="B3386" s="12"/>
      <c r="C3386" s="12"/>
      <c r="D3386" s="3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2"/>
      <c r="W3386" s="12"/>
      <c r="X3386" s="12"/>
      <c r="Y3386" s="12"/>
      <c r="Z3386" s="12"/>
      <c r="AA3386" s="12"/>
      <c r="AB3386" s="12"/>
      <c r="AC3386" s="12"/>
      <c r="AD3386" s="12"/>
    </row>
    <row r="3387" spans="1:30" ht="15.75" thickBot="1" x14ac:dyDescent="0.3">
      <c r="A3387" s="12"/>
      <c r="B3387" s="12"/>
      <c r="C3387" s="12"/>
      <c r="D3387" s="3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2"/>
      <c r="W3387" s="12"/>
      <c r="X3387" s="12"/>
      <c r="Y3387" s="12"/>
      <c r="Z3387" s="12"/>
      <c r="AA3387" s="12"/>
      <c r="AB3387" s="12"/>
      <c r="AC3387" s="12"/>
      <c r="AD3387" s="12"/>
    </row>
    <row r="3388" spans="1:30" ht="15.75" thickBot="1" x14ac:dyDescent="0.3">
      <c r="A3388" s="12"/>
      <c r="B3388" s="12"/>
      <c r="C3388" s="12"/>
      <c r="D3388" s="3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2"/>
      <c r="W3388" s="12"/>
      <c r="X3388" s="12"/>
      <c r="Y3388" s="12"/>
      <c r="Z3388" s="12"/>
      <c r="AA3388" s="12"/>
      <c r="AB3388" s="12"/>
      <c r="AC3388" s="12"/>
      <c r="AD3388" s="12"/>
    </row>
    <row r="3389" spans="1:30" ht="15.75" thickBot="1" x14ac:dyDescent="0.3">
      <c r="A3389" s="12"/>
      <c r="B3389" s="12"/>
      <c r="C3389" s="12"/>
      <c r="D3389" s="3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2"/>
      <c r="W3389" s="12"/>
      <c r="X3389" s="12"/>
      <c r="Y3389" s="12"/>
      <c r="Z3389" s="12"/>
      <c r="AA3389" s="12"/>
      <c r="AB3389" s="12"/>
      <c r="AC3389" s="12"/>
      <c r="AD3389" s="12"/>
    </row>
    <row r="3390" spans="1:30" ht="15.75" thickBot="1" x14ac:dyDescent="0.3">
      <c r="A3390" s="12"/>
      <c r="B3390" s="12"/>
      <c r="C3390" s="12"/>
      <c r="D3390" s="3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2"/>
      <c r="W3390" s="12"/>
      <c r="X3390" s="12"/>
      <c r="Y3390" s="12"/>
      <c r="Z3390" s="12"/>
      <c r="AA3390" s="12"/>
      <c r="AB3390" s="12"/>
      <c r="AC3390" s="12"/>
      <c r="AD3390" s="12"/>
    </row>
    <row r="3391" spans="1:30" ht="15.75" thickBot="1" x14ac:dyDescent="0.3">
      <c r="A3391" s="12"/>
      <c r="B3391" s="12"/>
      <c r="C3391" s="12"/>
      <c r="D3391" s="3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2"/>
      <c r="W3391" s="12"/>
      <c r="X3391" s="12"/>
      <c r="Y3391" s="12"/>
      <c r="Z3391" s="12"/>
      <c r="AA3391" s="12"/>
      <c r="AB3391" s="12"/>
      <c r="AC3391" s="12"/>
      <c r="AD3391" s="12"/>
    </row>
    <row r="3392" spans="1:30" ht="15.75" thickBot="1" x14ac:dyDescent="0.3">
      <c r="A3392" s="12"/>
      <c r="B3392" s="12"/>
      <c r="C3392" s="12"/>
      <c r="D3392" s="3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2"/>
      <c r="W3392" s="12"/>
      <c r="X3392" s="12"/>
      <c r="Y3392" s="12"/>
      <c r="Z3392" s="12"/>
      <c r="AA3392" s="12"/>
      <c r="AB3392" s="12"/>
      <c r="AC3392" s="12"/>
      <c r="AD3392" s="12"/>
    </row>
    <row r="3393" spans="1:30" ht="15.75" thickBot="1" x14ac:dyDescent="0.3">
      <c r="A3393" s="12"/>
      <c r="B3393" s="12"/>
      <c r="C3393" s="12"/>
      <c r="D3393" s="3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2"/>
      <c r="W3393" s="12"/>
      <c r="X3393" s="12"/>
      <c r="Y3393" s="12"/>
      <c r="Z3393" s="12"/>
      <c r="AA3393" s="12"/>
      <c r="AB3393" s="12"/>
      <c r="AC3393" s="12"/>
      <c r="AD3393" s="12"/>
    </row>
    <row r="3394" spans="1:30" ht="15.75" thickBot="1" x14ac:dyDescent="0.3">
      <c r="A3394" s="12"/>
      <c r="B3394" s="12"/>
      <c r="C3394" s="12"/>
      <c r="D3394" s="3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2"/>
      <c r="W3394" s="12"/>
      <c r="X3394" s="12"/>
      <c r="Y3394" s="12"/>
      <c r="Z3394" s="12"/>
      <c r="AA3394" s="12"/>
      <c r="AB3394" s="12"/>
      <c r="AC3394" s="12"/>
      <c r="AD3394" s="12"/>
    </row>
    <row r="3395" spans="1:30" ht="15.75" thickBot="1" x14ac:dyDescent="0.3">
      <c r="A3395" s="12"/>
      <c r="B3395" s="12"/>
      <c r="C3395" s="12"/>
      <c r="D3395" s="3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2"/>
      <c r="W3395" s="12"/>
      <c r="X3395" s="12"/>
      <c r="Y3395" s="12"/>
      <c r="Z3395" s="12"/>
      <c r="AA3395" s="12"/>
      <c r="AB3395" s="12"/>
      <c r="AC3395" s="12"/>
      <c r="AD3395" s="12"/>
    </row>
    <row r="3396" spans="1:30" ht="15.75" thickBot="1" x14ac:dyDescent="0.3">
      <c r="A3396" s="12"/>
      <c r="B3396" s="12"/>
      <c r="C3396" s="12"/>
      <c r="D3396" s="3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2"/>
      <c r="W3396" s="12"/>
      <c r="X3396" s="12"/>
      <c r="Y3396" s="12"/>
      <c r="Z3396" s="12"/>
      <c r="AA3396" s="12"/>
      <c r="AB3396" s="12"/>
      <c r="AC3396" s="12"/>
      <c r="AD3396" s="12"/>
    </row>
    <row r="3397" spans="1:30" ht="15.75" thickBot="1" x14ac:dyDescent="0.3">
      <c r="A3397" s="12"/>
      <c r="B3397" s="12"/>
      <c r="C3397" s="12"/>
      <c r="D3397" s="3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2"/>
      <c r="W3397" s="12"/>
      <c r="X3397" s="12"/>
      <c r="Y3397" s="12"/>
      <c r="Z3397" s="12"/>
      <c r="AA3397" s="12"/>
      <c r="AB3397" s="12"/>
      <c r="AC3397" s="12"/>
      <c r="AD3397" s="12"/>
    </row>
    <row r="3398" spans="1:30" ht="15.75" thickBot="1" x14ac:dyDescent="0.3">
      <c r="A3398" s="12"/>
      <c r="B3398" s="12"/>
      <c r="C3398" s="12"/>
      <c r="D3398" s="3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2"/>
      <c r="W3398" s="12"/>
      <c r="X3398" s="12"/>
      <c r="Y3398" s="12"/>
      <c r="Z3398" s="12"/>
      <c r="AA3398" s="12"/>
      <c r="AB3398" s="12"/>
      <c r="AC3398" s="12"/>
      <c r="AD3398" s="12"/>
    </row>
    <row r="3399" spans="1:30" ht="15.75" thickBot="1" x14ac:dyDescent="0.3">
      <c r="A3399" s="12"/>
      <c r="B3399" s="12"/>
      <c r="C3399" s="12"/>
      <c r="D3399" s="3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2"/>
      <c r="W3399" s="12"/>
      <c r="X3399" s="12"/>
      <c r="Y3399" s="12"/>
      <c r="Z3399" s="12"/>
      <c r="AA3399" s="12"/>
      <c r="AB3399" s="12"/>
      <c r="AC3399" s="12"/>
      <c r="AD3399" s="12"/>
    </row>
    <row r="3400" spans="1:30" ht="15.75" thickBot="1" x14ac:dyDescent="0.3">
      <c r="A3400" s="12"/>
      <c r="B3400" s="12"/>
      <c r="C3400" s="12"/>
      <c r="D3400" s="3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2"/>
      <c r="W3400" s="12"/>
      <c r="X3400" s="12"/>
      <c r="Y3400" s="12"/>
      <c r="Z3400" s="12"/>
      <c r="AA3400" s="12"/>
      <c r="AB3400" s="12"/>
      <c r="AC3400" s="12"/>
      <c r="AD3400" s="12"/>
    </row>
    <row r="3401" spans="1:30" ht="15.75" thickBot="1" x14ac:dyDescent="0.3">
      <c r="A3401" s="12"/>
      <c r="B3401" s="12"/>
      <c r="C3401" s="12"/>
      <c r="D3401" s="3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2"/>
      <c r="W3401" s="12"/>
      <c r="X3401" s="12"/>
      <c r="Y3401" s="12"/>
      <c r="Z3401" s="12"/>
      <c r="AA3401" s="12"/>
      <c r="AB3401" s="12"/>
      <c r="AC3401" s="12"/>
      <c r="AD3401" s="12"/>
    </row>
    <row r="3402" spans="1:30" ht="15.75" thickBot="1" x14ac:dyDescent="0.3">
      <c r="A3402" s="12"/>
      <c r="B3402" s="12"/>
      <c r="C3402" s="12"/>
      <c r="D3402" s="3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2"/>
      <c r="W3402" s="12"/>
      <c r="X3402" s="12"/>
      <c r="Y3402" s="12"/>
      <c r="Z3402" s="12"/>
      <c r="AA3402" s="12"/>
      <c r="AB3402" s="12"/>
      <c r="AC3402" s="12"/>
      <c r="AD3402" s="12"/>
    </row>
    <row r="3403" spans="1:30" ht="15.75" thickBot="1" x14ac:dyDescent="0.3">
      <c r="A3403" s="12"/>
      <c r="B3403" s="12"/>
      <c r="C3403" s="12"/>
      <c r="D3403" s="3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2"/>
      <c r="W3403" s="12"/>
      <c r="X3403" s="12"/>
      <c r="Y3403" s="12"/>
      <c r="Z3403" s="12"/>
      <c r="AA3403" s="12"/>
      <c r="AB3403" s="12"/>
      <c r="AC3403" s="12"/>
      <c r="AD3403" s="12"/>
    </row>
    <row r="3404" spans="1:30" ht="15.75" thickBot="1" x14ac:dyDescent="0.3">
      <c r="A3404" s="12"/>
      <c r="B3404" s="12"/>
      <c r="C3404" s="12"/>
      <c r="D3404" s="3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2"/>
      <c r="W3404" s="12"/>
      <c r="X3404" s="12"/>
      <c r="Y3404" s="12"/>
      <c r="Z3404" s="12"/>
      <c r="AA3404" s="12"/>
      <c r="AB3404" s="12"/>
      <c r="AC3404" s="12"/>
      <c r="AD3404" s="12"/>
    </row>
    <row r="3405" spans="1:30" ht="15.75" thickBot="1" x14ac:dyDescent="0.3">
      <c r="A3405" s="12"/>
      <c r="B3405" s="12"/>
      <c r="C3405" s="12"/>
      <c r="D3405" s="3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2"/>
      <c r="W3405" s="12"/>
      <c r="X3405" s="12"/>
      <c r="Y3405" s="12"/>
      <c r="Z3405" s="12"/>
      <c r="AA3405" s="12"/>
      <c r="AB3405" s="12"/>
      <c r="AC3405" s="12"/>
      <c r="AD3405" s="12"/>
    </row>
    <row r="3406" spans="1:30" ht="15.75" thickBot="1" x14ac:dyDescent="0.3">
      <c r="A3406" s="12"/>
      <c r="B3406" s="12"/>
      <c r="C3406" s="12"/>
      <c r="D3406" s="3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2"/>
      <c r="W3406" s="12"/>
      <c r="X3406" s="12"/>
      <c r="Y3406" s="12"/>
      <c r="Z3406" s="12"/>
      <c r="AA3406" s="12"/>
      <c r="AB3406" s="12"/>
      <c r="AC3406" s="12"/>
      <c r="AD3406" s="12"/>
    </row>
    <row r="3407" spans="1:30" ht="15.75" thickBot="1" x14ac:dyDescent="0.3">
      <c r="A3407" s="12"/>
      <c r="B3407" s="12"/>
      <c r="C3407" s="12"/>
      <c r="D3407" s="3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2"/>
      <c r="W3407" s="12"/>
      <c r="X3407" s="12"/>
      <c r="Y3407" s="12"/>
      <c r="Z3407" s="12"/>
      <c r="AA3407" s="12"/>
      <c r="AB3407" s="12"/>
      <c r="AC3407" s="12"/>
      <c r="AD3407" s="12"/>
    </row>
    <row r="3408" spans="1:30" ht="15.75" thickBot="1" x14ac:dyDescent="0.3">
      <c r="A3408" s="12"/>
      <c r="B3408" s="12"/>
      <c r="C3408" s="12"/>
      <c r="D3408" s="3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2"/>
      <c r="W3408" s="12"/>
      <c r="X3408" s="12"/>
      <c r="Y3408" s="12"/>
      <c r="Z3408" s="12"/>
      <c r="AA3408" s="12"/>
      <c r="AB3408" s="12"/>
      <c r="AC3408" s="12"/>
      <c r="AD3408" s="12"/>
    </row>
    <row r="3409" spans="1:30" ht="15.75" thickBot="1" x14ac:dyDescent="0.3">
      <c r="A3409" s="12"/>
      <c r="B3409" s="12"/>
      <c r="C3409" s="12"/>
      <c r="D3409" s="3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2"/>
      <c r="W3409" s="12"/>
      <c r="X3409" s="12"/>
      <c r="Y3409" s="12"/>
      <c r="Z3409" s="12"/>
      <c r="AA3409" s="12"/>
      <c r="AB3409" s="12"/>
      <c r="AC3409" s="12"/>
      <c r="AD3409" s="12"/>
    </row>
    <row r="3410" spans="1:30" ht="15.75" thickBot="1" x14ac:dyDescent="0.3">
      <c r="A3410" s="12"/>
      <c r="B3410" s="12"/>
      <c r="C3410" s="12"/>
      <c r="D3410" s="3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2"/>
      <c r="W3410" s="12"/>
      <c r="X3410" s="12"/>
      <c r="Y3410" s="12"/>
      <c r="Z3410" s="12"/>
      <c r="AA3410" s="12"/>
      <c r="AB3410" s="12"/>
      <c r="AC3410" s="12"/>
      <c r="AD3410" s="12"/>
    </row>
    <row r="3411" spans="1:30" ht="15.75" thickBot="1" x14ac:dyDescent="0.3">
      <c r="A3411" s="12"/>
      <c r="B3411" s="12"/>
      <c r="C3411" s="12"/>
      <c r="D3411" s="3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2"/>
      <c r="W3411" s="12"/>
      <c r="X3411" s="12"/>
      <c r="Y3411" s="12"/>
      <c r="Z3411" s="12"/>
      <c r="AA3411" s="12"/>
      <c r="AB3411" s="12"/>
      <c r="AC3411" s="12"/>
      <c r="AD3411" s="12"/>
    </row>
    <row r="3412" spans="1:30" ht="15.75" thickBot="1" x14ac:dyDescent="0.3">
      <c r="A3412" s="12"/>
      <c r="B3412" s="12"/>
      <c r="C3412" s="12"/>
      <c r="D3412" s="3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2"/>
      <c r="W3412" s="12"/>
      <c r="X3412" s="12"/>
      <c r="Y3412" s="12"/>
      <c r="Z3412" s="12"/>
      <c r="AA3412" s="12"/>
      <c r="AB3412" s="12"/>
      <c r="AC3412" s="12"/>
      <c r="AD3412" s="12"/>
    </row>
    <row r="3413" spans="1:30" ht="15.75" thickBot="1" x14ac:dyDescent="0.3">
      <c r="A3413" s="12"/>
      <c r="B3413" s="12"/>
      <c r="C3413" s="12"/>
      <c r="D3413" s="3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2"/>
      <c r="W3413" s="12"/>
      <c r="X3413" s="12"/>
      <c r="Y3413" s="12"/>
      <c r="Z3413" s="12"/>
      <c r="AA3413" s="12"/>
      <c r="AB3413" s="12"/>
      <c r="AC3413" s="12"/>
      <c r="AD3413" s="12"/>
    </row>
    <row r="3414" spans="1:30" ht="15.75" thickBot="1" x14ac:dyDescent="0.3">
      <c r="A3414" s="12"/>
      <c r="B3414" s="12"/>
      <c r="C3414" s="12"/>
      <c r="D3414" s="3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2"/>
      <c r="W3414" s="12"/>
      <c r="X3414" s="12"/>
      <c r="Y3414" s="12"/>
      <c r="Z3414" s="12"/>
      <c r="AA3414" s="12"/>
      <c r="AB3414" s="12"/>
      <c r="AC3414" s="12"/>
      <c r="AD3414" s="12"/>
    </row>
    <row r="3415" spans="1:30" ht="15.75" thickBot="1" x14ac:dyDescent="0.3">
      <c r="A3415" s="12"/>
      <c r="B3415" s="12"/>
      <c r="C3415" s="12"/>
      <c r="D3415" s="3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2"/>
      <c r="W3415" s="12"/>
      <c r="X3415" s="12"/>
      <c r="Y3415" s="12"/>
      <c r="Z3415" s="12"/>
      <c r="AA3415" s="12"/>
      <c r="AB3415" s="12"/>
      <c r="AC3415" s="12"/>
      <c r="AD3415" s="12"/>
    </row>
    <row r="3416" spans="1:30" ht="15.75" thickBot="1" x14ac:dyDescent="0.3">
      <c r="A3416" s="12"/>
      <c r="B3416" s="12"/>
      <c r="C3416" s="12"/>
      <c r="D3416" s="3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2"/>
      <c r="W3416" s="12"/>
      <c r="X3416" s="12"/>
      <c r="Y3416" s="12"/>
      <c r="Z3416" s="12"/>
      <c r="AA3416" s="12"/>
      <c r="AB3416" s="12"/>
      <c r="AC3416" s="12"/>
      <c r="AD3416" s="12"/>
    </row>
    <row r="3417" spans="1:30" ht="15.75" thickBot="1" x14ac:dyDescent="0.3">
      <c r="A3417" s="12"/>
      <c r="B3417" s="12"/>
      <c r="C3417" s="12"/>
      <c r="D3417" s="3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2"/>
      <c r="W3417" s="12"/>
      <c r="X3417" s="12"/>
      <c r="Y3417" s="12"/>
      <c r="Z3417" s="12"/>
      <c r="AA3417" s="12"/>
      <c r="AB3417" s="12"/>
      <c r="AC3417" s="12"/>
      <c r="AD3417" s="12"/>
    </row>
    <row r="3418" spans="1:30" ht="15.75" thickBot="1" x14ac:dyDescent="0.3">
      <c r="A3418" s="12"/>
      <c r="B3418" s="12"/>
      <c r="C3418" s="12"/>
      <c r="D3418" s="3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2"/>
      <c r="W3418" s="12"/>
      <c r="X3418" s="12"/>
      <c r="Y3418" s="12"/>
      <c r="Z3418" s="12"/>
      <c r="AA3418" s="12"/>
      <c r="AB3418" s="12"/>
      <c r="AC3418" s="12"/>
      <c r="AD3418" s="12"/>
    </row>
    <row r="3419" spans="1:30" ht="15.75" thickBot="1" x14ac:dyDescent="0.3">
      <c r="A3419" s="12"/>
      <c r="B3419" s="12"/>
      <c r="C3419" s="12"/>
      <c r="D3419" s="3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2"/>
      <c r="W3419" s="12"/>
      <c r="X3419" s="12"/>
      <c r="Y3419" s="12"/>
      <c r="Z3419" s="12"/>
      <c r="AA3419" s="12"/>
      <c r="AB3419" s="12"/>
      <c r="AC3419" s="12"/>
      <c r="AD3419" s="12"/>
    </row>
    <row r="3420" spans="1:30" ht="15.75" thickBot="1" x14ac:dyDescent="0.3">
      <c r="A3420" s="12"/>
      <c r="B3420" s="12"/>
      <c r="C3420" s="12"/>
      <c r="D3420" s="3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2"/>
      <c r="W3420" s="12"/>
      <c r="X3420" s="12"/>
      <c r="Y3420" s="12"/>
      <c r="Z3420" s="12"/>
      <c r="AA3420" s="12"/>
      <c r="AB3420" s="12"/>
      <c r="AC3420" s="12"/>
      <c r="AD3420" s="12"/>
    </row>
    <row r="3421" spans="1:30" ht="15.75" thickBot="1" x14ac:dyDescent="0.3">
      <c r="A3421" s="12"/>
      <c r="B3421" s="12"/>
      <c r="C3421" s="12"/>
      <c r="D3421" s="3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2"/>
      <c r="W3421" s="12"/>
      <c r="X3421" s="12"/>
      <c r="Y3421" s="12"/>
      <c r="Z3421" s="12"/>
      <c r="AA3421" s="12"/>
      <c r="AB3421" s="12"/>
      <c r="AC3421" s="12"/>
      <c r="AD3421" s="12"/>
    </row>
    <row r="3422" spans="1:30" ht="15.75" thickBot="1" x14ac:dyDescent="0.3">
      <c r="A3422" s="12"/>
      <c r="B3422" s="12"/>
      <c r="C3422" s="12"/>
      <c r="D3422" s="3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2"/>
      <c r="W3422" s="12"/>
      <c r="X3422" s="12"/>
      <c r="Y3422" s="12"/>
      <c r="Z3422" s="12"/>
      <c r="AA3422" s="12"/>
      <c r="AB3422" s="12"/>
      <c r="AC3422" s="12"/>
      <c r="AD3422" s="12"/>
    </row>
    <row r="3423" spans="1:30" ht="15.75" thickBot="1" x14ac:dyDescent="0.3">
      <c r="A3423" s="12"/>
      <c r="B3423" s="12"/>
      <c r="C3423" s="12"/>
      <c r="D3423" s="3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2"/>
      <c r="W3423" s="12"/>
      <c r="X3423" s="12"/>
      <c r="Y3423" s="12"/>
      <c r="Z3423" s="12"/>
      <c r="AA3423" s="12"/>
      <c r="AB3423" s="12"/>
      <c r="AC3423" s="12"/>
      <c r="AD3423" s="12"/>
    </row>
    <row r="3424" spans="1:30" ht="15.75" thickBot="1" x14ac:dyDescent="0.3">
      <c r="A3424" s="12"/>
      <c r="B3424" s="12"/>
      <c r="C3424" s="12"/>
      <c r="D3424" s="3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2"/>
      <c r="W3424" s="12"/>
      <c r="X3424" s="12"/>
      <c r="Y3424" s="12"/>
      <c r="Z3424" s="12"/>
      <c r="AA3424" s="12"/>
      <c r="AB3424" s="12"/>
      <c r="AC3424" s="12"/>
      <c r="AD3424" s="12"/>
    </row>
    <row r="3425" spans="1:30" ht="15.75" thickBot="1" x14ac:dyDescent="0.3">
      <c r="A3425" s="12"/>
      <c r="B3425" s="12"/>
      <c r="C3425" s="12"/>
      <c r="D3425" s="3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2"/>
      <c r="W3425" s="12"/>
      <c r="X3425" s="12"/>
      <c r="Y3425" s="12"/>
      <c r="Z3425" s="12"/>
      <c r="AA3425" s="12"/>
      <c r="AB3425" s="12"/>
      <c r="AC3425" s="12"/>
      <c r="AD3425" s="12"/>
    </row>
    <row r="3426" spans="1:30" ht="15.75" thickBot="1" x14ac:dyDescent="0.3">
      <c r="A3426" s="12"/>
      <c r="B3426" s="12"/>
      <c r="C3426" s="12"/>
      <c r="D3426" s="3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2"/>
      <c r="W3426" s="12"/>
      <c r="X3426" s="12"/>
      <c r="Y3426" s="12"/>
      <c r="Z3426" s="12"/>
      <c r="AA3426" s="12"/>
      <c r="AB3426" s="12"/>
      <c r="AC3426" s="12"/>
      <c r="AD3426" s="12"/>
    </row>
    <row r="3427" spans="1:30" ht="15.75" thickBot="1" x14ac:dyDescent="0.3">
      <c r="A3427" s="12"/>
      <c r="B3427" s="12"/>
      <c r="C3427" s="12"/>
      <c r="D3427" s="3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2"/>
      <c r="W3427" s="12"/>
      <c r="X3427" s="12"/>
      <c r="Y3427" s="12"/>
      <c r="Z3427" s="12"/>
      <c r="AA3427" s="12"/>
      <c r="AB3427" s="12"/>
      <c r="AC3427" s="12"/>
      <c r="AD3427" s="12"/>
    </row>
    <row r="3428" spans="1:30" ht="15.75" thickBot="1" x14ac:dyDescent="0.3">
      <c r="A3428" s="12"/>
      <c r="B3428" s="12"/>
      <c r="C3428" s="12"/>
      <c r="D3428" s="3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2"/>
      <c r="W3428" s="12"/>
      <c r="X3428" s="12"/>
      <c r="Y3428" s="12"/>
      <c r="Z3428" s="12"/>
      <c r="AA3428" s="12"/>
      <c r="AB3428" s="12"/>
      <c r="AC3428" s="12"/>
      <c r="AD3428" s="12"/>
    </row>
    <row r="3429" spans="1:30" ht="15.75" thickBot="1" x14ac:dyDescent="0.3">
      <c r="A3429" s="12"/>
      <c r="B3429" s="12"/>
      <c r="C3429" s="12"/>
      <c r="D3429" s="3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2"/>
      <c r="W3429" s="12"/>
      <c r="X3429" s="12"/>
      <c r="Y3429" s="12"/>
      <c r="Z3429" s="12"/>
      <c r="AA3429" s="12"/>
      <c r="AB3429" s="12"/>
      <c r="AC3429" s="12"/>
      <c r="AD3429" s="12"/>
    </row>
    <row r="3430" spans="1:30" ht="15.75" thickBot="1" x14ac:dyDescent="0.3">
      <c r="A3430" s="12"/>
      <c r="B3430" s="12"/>
      <c r="C3430" s="12"/>
      <c r="D3430" s="3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2"/>
      <c r="W3430" s="12"/>
      <c r="X3430" s="12"/>
      <c r="Y3430" s="12"/>
      <c r="Z3430" s="12"/>
      <c r="AA3430" s="12"/>
      <c r="AB3430" s="12"/>
      <c r="AC3430" s="12"/>
      <c r="AD3430" s="12"/>
    </row>
    <row r="3431" spans="1:30" ht="15.75" thickBot="1" x14ac:dyDescent="0.3">
      <c r="A3431" s="12"/>
      <c r="B3431" s="12"/>
      <c r="C3431" s="12"/>
      <c r="D3431" s="3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2"/>
      <c r="W3431" s="12"/>
      <c r="X3431" s="12"/>
      <c r="Y3431" s="12"/>
      <c r="Z3431" s="12"/>
      <c r="AA3431" s="12"/>
      <c r="AB3431" s="12"/>
      <c r="AC3431" s="12"/>
      <c r="AD3431" s="12"/>
    </row>
    <row r="3432" spans="1:30" ht="15.75" thickBot="1" x14ac:dyDescent="0.3">
      <c r="A3432" s="12"/>
      <c r="B3432" s="12"/>
      <c r="C3432" s="12"/>
      <c r="D3432" s="3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2"/>
      <c r="W3432" s="12"/>
      <c r="X3432" s="12"/>
      <c r="Y3432" s="12"/>
      <c r="Z3432" s="12"/>
      <c r="AA3432" s="12"/>
      <c r="AB3432" s="12"/>
      <c r="AC3432" s="12"/>
      <c r="AD3432" s="12"/>
    </row>
    <row r="3433" spans="1:30" ht="15.75" thickBot="1" x14ac:dyDescent="0.3">
      <c r="A3433" s="12"/>
      <c r="B3433" s="12"/>
      <c r="C3433" s="12"/>
      <c r="D3433" s="3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2"/>
      <c r="W3433" s="12"/>
      <c r="X3433" s="12"/>
      <c r="Y3433" s="12"/>
      <c r="Z3433" s="12"/>
      <c r="AA3433" s="12"/>
      <c r="AB3433" s="12"/>
      <c r="AC3433" s="12"/>
      <c r="AD3433" s="12"/>
    </row>
    <row r="3434" spans="1:30" ht="15.75" thickBot="1" x14ac:dyDescent="0.3">
      <c r="A3434" s="12"/>
      <c r="B3434" s="12"/>
      <c r="C3434" s="12"/>
      <c r="D3434" s="3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2"/>
      <c r="W3434" s="12"/>
      <c r="X3434" s="12"/>
      <c r="Y3434" s="12"/>
      <c r="Z3434" s="12"/>
      <c r="AA3434" s="12"/>
      <c r="AB3434" s="12"/>
      <c r="AC3434" s="12"/>
      <c r="AD3434" s="12"/>
    </row>
    <row r="3435" spans="1:30" ht="15.75" thickBot="1" x14ac:dyDescent="0.3">
      <c r="A3435" s="12"/>
      <c r="B3435" s="12"/>
      <c r="C3435" s="12"/>
      <c r="D3435" s="3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2"/>
      <c r="W3435" s="12"/>
      <c r="X3435" s="12"/>
      <c r="Y3435" s="12"/>
      <c r="Z3435" s="12"/>
      <c r="AA3435" s="12"/>
      <c r="AB3435" s="12"/>
      <c r="AC3435" s="12"/>
      <c r="AD3435" s="12"/>
    </row>
    <row r="3436" spans="1:30" ht="15.75" thickBot="1" x14ac:dyDescent="0.3">
      <c r="A3436" s="12"/>
      <c r="B3436" s="12"/>
      <c r="C3436" s="12"/>
      <c r="D3436" s="3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2"/>
      <c r="W3436" s="12"/>
      <c r="X3436" s="12"/>
      <c r="Y3436" s="12"/>
      <c r="Z3436" s="12"/>
      <c r="AA3436" s="12"/>
      <c r="AB3436" s="12"/>
      <c r="AC3436" s="12"/>
      <c r="AD3436" s="12"/>
    </row>
    <row r="3437" spans="1:30" ht="15.75" thickBot="1" x14ac:dyDescent="0.3">
      <c r="A3437" s="12"/>
      <c r="B3437" s="12"/>
      <c r="C3437" s="12"/>
      <c r="D3437" s="3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2"/>
      <c r="W3437" s="12"/>
      <c r="X3437" s="12"/>
      <c r="Y3437" s="12"/>
      <c r="Z3437" s="12"/>
      <c r="AA3437" s="12"/>
      <c r="AB3437" s="12"/>
      <c r="AC3437" s="12"/>
      <c r="AD3437" s="12"/>
    </row>
    <row r="3438" spans="1:30" ht="15.75" thickBot="1" x14ac:dyDescent="0.3">
      <c r="A3438" s="12"/>
      <c r="B3438" s="12"/>
      <c r="C3438" s="12"/>
      <c r="D3438" s="3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2"/>
      <c r="W3438" s="12"/>
      <c r="X3438" s="12"/>
      <c r="Y3438" s="12"/>
      <c r="Z3438" s="12"/>
      <c r="AA3438" s="12"/>
      <c r="AB3438" s="12"/>
      <c r="AC3438" s="12"/>
      <c r="AD3438" s="12"/>
    </row>
    <row r="3439" spans="1:30" ht="15.75" thickBot="1" x14ac:dyDescent="0.3">
      <c r="A3439" s="12"/>
      <c r="B3439" s="12"/>
      <c r="C3439" s="12"/>
      <c r="D3439" s="3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2"/>
      <c r="W3439" s="12"/>
      <c r="X3439" s="12"/>
      <c r="Y3439" s="12"/>
      <c r="Z3439" s="12"/>
      <c r="AA3439" s="12"/>
      <c r="AB3439" s="12"/>
      <c r="AC3439" s="12"/>
      <c r="AD3439" s="12"/>
    </row>
    <row r="3440" spans="1:30" ht="15.75" thickBot="1" x14ac:dyDescent="0.3">
      <c r="A3440" s="12"/>
      <c r="B3440" s="12"/>
      <c r="C3440" s="12"/>
      <c r="D3440" s="3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2"/>
      <c r="W3440" s="12"/>
      <c r="X3440" s="12"/>
      <c r="Y3440" s="12"/>
      <c r="Z3440" s="12"/>
      <c r="AA3440" s="12"/>
      <c r="AB3440" s="12"/>
      <c r="AC3440" s="12"/>
      <c r="AD3440" s="12"/>
    </row>
    <row r="3441" spans="1:30" ht="15.75" thickBot="1" x14ac:dyDescent="0.3">
      <c r="A3441" s="12"/>
      <c r="B3441" s="12"/>
      <c r="C3441" s="12"/>
      <c r="D3441" s="3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2"/>
      <c r="W3441" s="12"/>
      <c r="X3441" s="12"/>
      <c r="Y3441" s="12"/>
      <c r="Z3441" s="12"/>
      <c r="AA3441" s="12"/>
      <c r="AB3441" s="12"/>
      <c r="AC3441" s="12"/>
      <c r="AD3441" s="12"/>
    </row>
    <row r="3442" spans="1:30" ht="15.75" thickBot="1" x14ac:dyDescent="0.3">
      <c r="A3442" s="12"/>
      <c r="B3442" s="12"/>
      <c r="C3442" s="12"/>
      <c r="D3442" s="3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2"/>
      <c r="W3442" s="12"/>
      <c r="X3442" s="12"/>
      <c r="Y3442" s="12"/>
      <c r="Z3442" s="12"/>
      <c r="AA3442" s="12"/>
      <c r="AB3442" s="12"/>
      <c r="AC3442" s="12"/>
      <c r="AD3442" s="12"/>
    </row>
    <row r="3443" spans="1:30" ht="15.75" thickBot="1" x14ac:dyDescent="0.3">
      <c r="A3443" s="12"/>
      <c r="B3443" s="12"/>
      <c r="C3443" s="12"/>
      <c r="D3443" s="3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2"/>
      <c r="W3443" s="12"/>
      <c r="X3443" s="12"/>
      <c r="Y3443" s="12"/>
      <c r="Z3443" s="12"/>
      <c r="AA3443" s="12"/>
      <c r="AB3443" s="12"/>
      <c r="AC3443" s="12"/>
      <c r="AD3443" s="12"/>
    </row>
    <row r="3444" spans="1:30" ht="15.75" thickBot="1" x14ac:dyDescent="0.3">
      <c r="A3444" s="12"/>
      <c r="B3444" s="12"/>
      <c r="C3444" s="12"/>
      <c r="D3444" s="3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2"/>
      <c r="W3444" s="12"/>
      <c r="X3444" s="12"/>
      <c r="Y3444" s="12"/>
      <c r="Z3444" s="12"/>
      <c r="AA3444" s="12"/>
      <c r="AB3444" s="12"/>
      <c r="AC3444" s="12"/>
      <c r="AD3444" s="12"/>
    </row>
    <row r="3445" spans="1:30" ht="15.75" thickBot="1" x14ac:dyDescent="0.3">
      <c r="A3445" s="12"/>
      <c r="B3445" s="12"/>
      <c r="C3445" s="12"/>
      <c r="D3445" s="3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2"/>
      <c r="W3445" s="12"/>
      <c r="X3445" s="12"/>
      <c r="Y3445" s="12"/>
      <c r="Z3445" s="12"/>
      <c r="AA3445" s="12"/>
      <c r="AB3445" s="12"/>
      <c r="AC3445" s="12"/>
      <c r="AD3445" s="12"/>
    </row>
    <row r="3446" spans="1:30" ht="15.75" thickBot="1" x14ac:dyDescent="0.3">
      <c r="A3446" s="12"/>
      <c r="B3446" s="12"/>
      <c r="C3446" s="12"/>
      <c r="D3446" s="3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2"/>
      <c r="W3446" s="12"/>
      <c r="X3446" s="12"/>
      <c r="Y3446" s="12"/>
      <c r="Z3446" s="12"/>
      <c r="AA3446" s="12"/>
      <c r="AB3446" s="12"/>
      <c r="AC3446" s="12"/>
      <c r="AD3446" s="12"/>
    </row>
    <row r="3447" spans="1:30" ht="15.75" thickBot="1" x14ac:dyDescent="0.3">
      <c r="A3447" s="12"/>
      <c r="B3447" s="12"/>
      <c r="C3447" s="12"/>
      <c r="D3447" s="3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2"/>
      <c r="W3447" s="12"/>
      <c r="X3447" s="12"/>
      <c r="Y3447" s="12"/>
      <c r="Z3447" s="12"/>
      <c r="AA3447" s="12"/>
      <c r="AB3447" s="12"/>
      <c r="AC3447" s="12"/>
      <c r="AD3447" s="12"/>
    </row>
    <row r="3448" spans="1:30" ht="15.75" thickBot="1" x14ac:dyDescent="0.3">
      <c r="A3448" s="12"/>
      <c r="B3448" s="12"/>
      <c r="C3448" s="12"/>
      <c r="D3448" s="3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2"/>
      <c r="W3448" s="12"/>
      <c r="X3448" s="12"/>
      <c r="Y3448" s="12"/>
      <c r="Z3448" s="12"/>
      <c r="AA3448" s="12"/>
      <c r="AB3448" s="12"/>
      <c r="AC3448" s="12"/>
      <c r="AD3448" s="12"/>
    </row>
    <row r="3449" spans="1:30" ht="15.75" thickBot="1" x14ac:dyDescent="0.3">
      <c r="A3449" s="12"/>
      <c r="B3449" s="12"/>
      <c r="C3449" s="12"/>
      <c r="D3449" s="3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2"/>
      <c r="W3449" s="12"/>
      <c r="X3449" s="12"/>
      <c r="Y3449" s="12"/>
      <c r="Z3449" s="12"/>
      <c r="AA3449" s="12"/>
      <c r="AB3449" s="12"/>
      <c r="AC3449" s="12"/>
      <c r="AD3449" s="12"/>
    </row>
    <row r="3450" spans="1:30" ht="15.75" thickBot="1" x14ac:dyDescent="0.3">
      <c r="A3450" s="12"/>
      <c r="B3450" s="12"/>
      <c r="C3450" s="12"/>
      <c r="D3450" s="3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2"/>
      <c r="W3450" s="12"/>
      <c r="X3450" s="12"/>
      <c r="Y3450" s="12"/>
      <c r="Z3450" s="12"/>
      <c r="AA3450" s="12"/>
      <c r="AB3450" s="12"/>
      <c r="AC3450" s="12"/>
      <c r="AD3450" s="12"/>
    </row>
    <row r="3451" spans="1:30" ht="15.75" thickBot="1" x14ac:dyDescent="0.3">
      <c r="A3451" s="12"/>
      <c r="B3451" s="12"/>
      <c r="C3451" s="12"/>
      <c r="D3451" s="3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2"/>
      <c r="W3451" s="12"/>
      <c r="X3451" s="12"/>
      <c r="Y3451" s="12"/>
      <c r="Z3451" s="12"/>
      <c r="AA3451" s="12"/>
      <c r="AB3451" s="12"/>
      <c r="AC3451" s="12"/>
      <c r="AD3451" s="12"/>
    </row>
    <row r="3452" spans="1:30" ht="15.75" thickBot="1" x14ac:dyDescent="0.3">
      <c r="A3452" s="12"/>
      <c r="B3452" s="12"/>
      <c r="C3452" s="12"/>
      <c r="D3452" s="3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2"/>
      <c r="W3452" s="12"/>
      <c r="X3452" s="12"/>
      <c r="Y3452" s="12"/>
      <c r="Z3452" s="12"/>
      <c r="AA3452" s="12"/>
      <c r="AB3452" s="12"/>
      <c r="AC3452" s="12"/>
      <c r="AD3452" s="12"/>
    </row>
    <row r="3453" spans="1:30" ht="15.75" thickBot="1" x14ac:dyDescent="0.3">
      <c r="A3453" s="12"/>
      <c r="B3453" s="12"/>
      <c r="C3453" s="12"/>
      <c r="D3453" s="3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2"/>
      <c r="W3453" s="12"/>
      <c r="X3453" s="12"/>
      <c r="Y3453" s="12"/>
      <c r="Z3453" s="12"/>
      <c r="AA3453" s="12"/>
      <c r="AB3453" s="12"/>
      <c r="AC3453" s="12"/>
      <c r="AD3453" s="12"/>
    </row>
    <row r="3454" spans="1:30" ht="15.75" thickBot="1" x14ac:dyDescent="0.3">
      <c r="A3454" s="12"/>
      <c r="B3454" s="12"/>
      <c r="C3454" s="12"/>
      <c r="D3454" s="3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2"/>
      <c r="W3454" s="12"/>
      <c r="X3454" s="12"/>
      <c r="Y3454" s="12"/>
      <c r="Z3454" s="12"/>
      <c r="AA3454" s="12"/>
      <c r="AB3454" s="12"/>
      <c r="AC3454" s="12"/>
      <c r="AD3454" s="12"/>
    </row>
    <row r="3455" spans="1:30" ht="15.75" thickBot="1" x14ac:dyDescent="0.3">
      <c r="A3455" s="12"/>
      <c r="B3455" s="12"/>
      <c r="C3455" s="12"/>
      <c r="D3455" s="3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2"/>
      <c r="W3455" s="12"/>
      <c r="X3455" s="12"/>
      <c r="Y3455" s="12"/>
      <c r="Z3455" s="12"/>
      <c r="AA3455" s="12"/>
      <c r="AB3455" s="12"/>
      <c r="AC3455" s="12"/>
      <c r="AD3455" s="12"/>
    </row>
    <row r="3456" spans="1:30" ht="15.75" thickBot="1" x14ac:dyDescent="0.3">
      <c r="A3456" s="12"/>
      <c r="B3456" s="12"/>
      <c r="C3456" s="12"/>
      <c r="D3456" s="3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2"/>
      <c r="W3456" s="12"/>
      <c r="X3456" s="12"/>
      <c r="Y3456" s="12"/>
      <c r="Z3456" s="12"/>
      <c r="AA3456" s="12"/>
      <c r="AB3456" s="12"/>
      <c r="AC3456" s="12"/>
      <c r="AD3456" s="12"/>
    </row>
    <row r="3457" spans="1:30" ht="15.75" thickBot="1" x14ac:dyDescent="0.3">
      <c r="A3457" s="12"/>
      <c r="B3457" s="12"/>
      <c r="C3457" s="12"/>
      <c r="D3457" s="3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2"/>
      <c r="W3457" s="12"/>
      <c r="X3457" s="12"/>
      <c r="Y3457" s="12"/>
      <c r="Z3457" s="12"/>
      <c r="AA3457" s="12"/>
      <c r="AB3457" s="12"/>
      <c r="AC3457" s="12"/>
      <c r="AD3457" s="12"/>
    </row>
    <row r="3458" spans="1:30" ht="15.75" thickBot="1" x14ac:dyDescent="0.3">
      <c r="A3458" s="12"/>
      <c r="B3458" s="12"/>
      <c r="C3458" s="12"/>
      <c r="D3458" s="3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2"/>
      <c r="W3458" s="12"/>
      <c r="X3458" s="12"/>
      <c r="Y3458" s="12"/>
      <c r="Z3458" s="12"/>
      <c r="AA3458" s="12"/>
      <c r="AB3458" s="12"/>
      <c r="AC3458" s="12"/>
      <c r="AD3458" s="12"/>
    </row>
    <row r="3459" spans="1:30" ht="15.75" thickBot="1" x14ac:dyDescent="0.3">
      <c r="A3459" s="12"/>
      <c r="B3459" s="12"/>
      <c r="C3459" s="12"/>
      <c r="D3459" s="3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2"/>
      <c r="W3459" s="12"/>
      <c r="X3459" s="12"/>
      <c r="Y3459" s="12"/>
      <c r="Z3459" s="12"/>
      <c r="AA3459" s="12"/>
      <c r="AB3459" s="12"/>
      <c r="AC3459" s="12"/>
      <c r="AD3459" s="12"/>
    </row>
    <row r="3460" spans="1:30" ht="15.75" thickBot="1" x14ac:dyDescent="0.3">
      <c r="A3460" s="12"/>
      <c r="B3460" s="12"/>
      <c r="C3460" s="12"/>
      <c r="D3460" s="3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2"/>
      <c r="W3460" s="12"/>
      <c r="X3460" s="12"/>
      <c r="Y3460" s="12"/>
      <c r="Z3460" s="12"/>
      <c r="AA3460" s="12"/>
      <c r="AB3460" s="12"/>
      <c r="AC3460" s="12"/>
      <c r="AD3460" s="12"/>
    </row>
    <row r="3461" spans="1:30" ht="15.75" thickBot="1" x14ac:dyDescent="0.3">
      <c r="A3461" s="12"/>
      <c r="B3461" s="12"/>
      <c r="C3461" s="12"/>
      <c r="D3461" s="3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2"/>
      <c r="W3461" s="12"/>
      <c r="X3461" s="12"/>
      <c r="Y3461" s="12"/>
      <c r="Z3461" s="12"/>
      <c r="AA3461" s="12"/>
      <c r="AB3461" s="12"/>
      <c r="AC3461" s="12"/>
      <c r="AD3461" s="12"/>
    </row>
    <row r="3462" spans="1:30" ht="15.75" thickBot="1" x14ac:dyDescent="0.3">
      <c r="A3462" s="12"/>
      <c r="B3462" s="12"/>
      <c r="C3462" s="12"/>
      <c r="D3462" s="3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2"/>
      <c r="W3462" s="12"/>
      <c r="X3462" s="12"/>
      <c r="Y3462" s="12"/>
      <c r="Z3462" s="12"/>
      <c r="AA3462" s="12"/>
      <c r="AB3462" s="12"/>
      <c r="AC3462" s="12"/>
      <c r="AD3462" s="12"/>
    </row>
    <row r="3463" spans="1:30" ht="15.75" thickBot="1" x14ac:dyDescent="0.3">
      <c r="A3463" s="12"/>
      <c r="B3463" s="12"/>
      <c r="C3463" s="12"/>
      <c r="D3463" s="3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2"/>
      <c r="W3463" s="12"/>
      <c r="X3463" s="12"/>
      <c r="Y3463" s="12"/>
      <c r="Z3463" s="12"/>
      <c r="AA3463" s="12"/>
      <c r="AB3463" s="12"/>
      <c r="AC3463" s="12"/>
      <c r="AD3463" s="12"/>
    </row>
    <row r="3464" spans="1:30" ht="15.75" thickBot="1" x14ac:dyDescent="0.3">
      <c r="A3464" s="12"/>
      <c r="B3464" s="12"/>
      <c r="C3464" s="12"/>
      <c r="D3464" s="3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2"/>
      <c r="W3464" s="12"/>
      <c r="X3464" s="12"/>
      <c r="Y3464" s="12"/>
      <c r="Z3464" s="12"/>
      <c r="AA3464" s="12"/>
      <c r="AB3464" s="12"/>
      <c r="AC3464" s="12"/>
      <c r="AD3464" s="12"/>
    </row>
    <row r="3465" spans="1:30" ht="15.75" thickBot="1" x14ac:dyDescent="0.3">
      <c r="A3465" s="12"/>
      <c r="B3465" s="12"/>
      <c r="C3465" s="12"/>
      <c r="D3465" s="3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2"/>
      <c r="W3465" s="12"/>
      <c r="X3465" s="12"/>
      <c r="Y3465" s="12"/>
      <c r="Z3465" s="12"/>
      <c r="AA3465" s="12"/>
      <c r="AB3465" s="12"/>
      <c r="AC3465" s="12"/>
      <c r="AD3465" s="12"/>
    </row>
    <row r="3466" spans="1:30" ht="15.75" thickBot="1" x14ac:dyDescent="0.3">
      <c r="A3466" s="12"/>
      <c r="B3466" s="12"/>
      <c r="C3466" s="12"/>
      <c r="D3466" s="3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2"/>
      <c r="W3466" s="12"/>
      <c r="X3466" s="12"/>
      <c r="Y3466" s="12"/>
      <c r="Z3466" s="12"/>
      <c r="AA3466" s="12"/>
      <c r="AB3466" s="12"/>
      <c r="AC3466" s="12"/>
      <c r="AD3466" s="12"/>
    </row>
    <row r="3467" spans="1:30" ht="15.75" thickBot="1" x14ac:dyDescent="0.3">
      <c r="A3467" s="12"/>
      <c r="B3467" s="12"/>
      <c r="C3467" s="12"/>
      <c r="D3467" s="3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2"/>
      <c r="W3467" s="12"/>
      <c r="X3467" s="12"/>
      <c r="Y3467" s="12"/>
      <c r="Z3467" s="12"/>
      <c r="AA3467" s="12"/>
      <c r="AB3467" s="12"/>
      <c r="AC3467" s="12"/>
      <c r="AD3467" s="12"/>
    </row>
    <row r="3468" spans="1:30" ht="15.75" thickBot="1" x14ac:dyDescent="0.3">
      <c r="A3468" s="12"/>
      <c r="B3468" s="12"/>
      <c r="C3468" s="12"/>
      <c r="D3468" s="3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2"/>
      <c r="W3468" s="12"/>
      <c r="X3468" s="12"/>
      <c r="Y3468" s="12"/>
      <c r="Z3468" s="12"/>
      <c r="AA3468" s="12"/>
      <c r="AB3468" s="12"/>
      <c r="AC3468" s="12"/>
      <c r="AD3468" s="12"/>
    </row>
    <row r="3469" spans="1:30" ht="15.75" thickBot="1" x14ac:dyDescent="0.3">
      <c r="A3469" s="12"/>
      <c r="B3469" s="12"/>
      <c r="C3469" s="12"/>
      <c r="D3469" s="3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2"/>
      <c r="W3469" s="12"/>
      <c r="X3469" s="12"/>
      <c r="Y3469" s="12"/>
      <c r="Z3469" s="12"/>
      <c r="AA3469" s="12"/>
      <c r="AB3469" s="12"/>
      <c r="AC3469" s="12"/>
      <c r="AD3469" s="12"/>
    </row>
    <row r="3470" spans="1:30" ht="15.75" thickBot="1" x14ac:dyDescent="0.3">
      <c r="A3470" s="12"/>
      <c r="B3470" s="12"/>
      <c r="C3470" s="12"/>
      <c r="D3470" s="3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2"/>
      <c r="W3470" s="12"/>
      <c r="X3470" s="12"/>
      <c r="Y3470" s="12"/>
      <c r="Z3470" s="12"/>
      <c r="AA3470" s="12"/>
      <c r="AB3470" s="12"/>
      <c r="AC3470" s="12"/>
      <c r="AD3470" s="12"/>
    </row>
    <row r="3471" spans="1:30" ht="15.75" thickBot="1" x14ac:dyDescent="0.3">
      <c r="A3471" s="12"/>
      <c r="B3471" s="12"/>
      <c r="C3471" s="12"/>
      <c r="D3471" s="3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2"/>
      <c r="W3471" s="12"/>
      <c r="X3471" s="12"/>
      <c r="Y3471" s="12"/>
      <c r="Z3471" s="12"/>
      <c r="AA3471" s="12"/>
      <c r="AB3471" s="12"/>
      <c r="AC3471" s="12"/>
      <c r="AD3471" s="12"/>
    </row>
    <row r="3472" spans="1:30" ht="15.75" thickBot="1" x14ac:dyDescent="0.3">
      <c r="A3472" s="12"/>
      <c r="B3472" s="12"/>
      <c r="C3472" s="12"/>
      <c r="D3472" s="3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2"/>
      <c r="W3472" s="12"/>
      <c r="X3472" s="12"/>
      <c r="Y3472" s="12"/>
      <c r="Z3472" s="12"/>
      <c r="AA3472" s="12"/>
      <c r="AB3472" s="12"/>
      <c r="AC3472" s="12"/>
      <c r="AD3472" s="12"/>
    </row>
    <row r="3473" spans="1:30" ht="15.75" thickBot="1" x14ac:dyDescent="0.3">
      <c r="A3473" s="12"/>
      <c r="B3473" s="12"/>
      <c r="C3473" s="12"/>
      <c r="D3473" s="3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2"/>
      <c r="W3473" s="12"/>
      <c r="X3473" s="12"/>
      <c r="Y3473" s="12"/>
      <c r="Z3473" s="12"/>
      <c r="AA3473" s="12"/>
      <c r="AB3473" s="12"/>
      <c r="AC3473" s="12"/>
      <c r="AD3473" s="12"/>
    </row>
    <row r="3474" spans="1:30" ht="15.75" thickBot="1" x14ac:dyDescent="0.3">
      <c r="A3474" s="12"/>
      <c r="B3474" s="12"/>
      <c r="C3474" s="12"/>
      <c r="D3474" s="3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2"/>
      <c r="W3474" s="12"/>
      <c r="X3474" s="12"/>
      <c r="Y3474" s="12"/>
      <c r="Z3474" s="12"/>
      <c r="AA3474" s="12"/>
      <c r="AB3474" s="12"/>
      <c r="AC3474" s="12"/>
      <c r="AD3474" s="12"/>
    </row>
    <row r="3475" spans="1:30" ht="15.75" thickBot="1" x14ac:dyDescent="0.3">
      <c r="A3475" s="12"/>
      <c r="B3475" s="12"/>
      <c r="C3475" s="12"/>
      <c r="D3475" s="3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2"/>
      <c r="W3475" s="12"/>
      <c r="X3475" s="12"/>
      <c r="Y3475" s="12"/>
      <c r="Z3475" s="12"/>
      <c r="AA3475" s="12"/>
      <c r="AB3475" s="12"/>
      <c r="AC3475" s="12"/>
      <c r="AD3475" s="12"/>
    </row>
    <row r="3476" spans="1:30" ht="15.75" thickBot="1" x14ac:dyDescent="0.3">
      <c r="A3476" s="12"/>
      <c r="B3476" s="12"/>
      <c r="C3476" s="12"/>
      <c r="D3476" s="3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2"/>
      <c r="W3476" s="12"/>
      <c r="X3476" s="12"/>
      <c r="Y3476" s="12"/>
      <c r="Z3476" s="12"/>
      <c r="AA3476" s="12"/>
      <c r="AB3476" s="12"/>
      <c r="AC3476" s="12"/>
      <c r="AD3476" s="12"/>
    </row>
    <row r="3477" spans="1:30" ht="15.75" thickBot="1" x14ac:dyDescent="0.3">
      <c r="A3477" s="12"/>
      <c r="B3477" s="12"/>
      <c r="C3477" s="12"/>
      <c r="D3477" s="3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2"/>
      <c r="W3477" s="12"/>
      <c r="X3477" s="12"/>
      <c r="Y3477" s="12"/>
      <c r="Z3477" s="12"/>
      <c r="AA3477" s="12"/>
      <c r="AB3477" s="12"/>
      <c r="AC3477" s="12"/>
      <c r="AD3477" s="12"/>
    </row>
    <row r="3478" spans="1:30" ht="15.75" thickBot="1" x14ac:dyDescent="0.3">
      <c r="A3478" s="12"/>
      <c r="B3478" s="12"/>
      <c r="C3478" s="12"/>
      <c r="D3478" s="3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2"/>
      <c r="W3478" s="12"/>
      <c r="X3478" s="12"/>
      <c r="Y3478" s="12"/>
      <c r="Z3478" s="12"/>
      <c r="AA3478" s="12"/>
      <c r="AB3478" s="12"/>
      <c r="AC3478" s="12"/>
      <c r="AD3478" s="12"/>
    </row>
    <row r="3479" spans="1:30" ht="15.75" thickBot="1" x14ac:dyDescent="0.3">
      <c r="A3479" s="12"/>
      <c r="B3479" s="12"/>
      <c r="C3479" s="12"/>
      <c r="D3479" s="3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2"/>
      <c r="W3479" s="12"/>
      <c r="X3479" s="12"/>
      <c r="Y3479" s="12"/>
      <c r="Z3479" s="12"/>
      <c r="AA3479" s="12"/>
      <c r="AB3479" s="12"/>
      <c r="AC3479" s="12"/>
      <c r="AD3479" s="12"/>
    </row>
    <row r="3480" spans="1:30" ht="15.75" thickBot="1" x14ac:dyDescent="0.3">
      <c r="A3480" s="12"/>
      <c r="B3480" s="12"/>
      <c r="C3480" s="12"/>
      <c r="D3480" s="3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2"/>
      <c r="W3480" s="12"/>
      <c r="X3480" s="12"/>
      <c r="Y3480" s="12"/>
      <c r="Z3480" s="12"/>
      <c r="AA3480" s="12"/>
      <c r="AB3480" s="12"/>
      <c r="AC3480" s="12"/>
      <c r="AD3480" s="12"/>
    </row>
    <row r="3481" spans="1:30" ht="15.75" thickBot="1" x14ac:dyDescent="0.3">
      <c r="A3481" s="12"/>
      <c r="B3481" s="12"/>
      <c r="C3481" s="12"/>
      <c r="D3481" s="3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2"/>
      <c r="W3481" s="12"/>
      <c r="X3481" s="12"/>
      <c r="Y3481" s="12"/>
      <c r="Z3481" s="12"/>
      <c r="AA3481" s="12"/>
      <c r="AB3481" s="12"/>
      <c r="AC3481" s="12"/>
      <c r="AD3481" s="12"/>
    </row>
    <row r="3482" spans="1:30" ht="15.75" thickBot="1" x14ac:dyDescent="0.3">
      <c r="A3482" s="12"/>
      <c r="B3482" s="12"/>
      <c r="C3482" s="12"/>
      <c r="D3482" s="3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2"/>
      <c r="W3482" s="12"/>
      <c r="X3482" s="12"/>
      <c r="Y3482" s="12"/>
      <c r="Z3482" s="12"/>
      <c r="AA3482" s="12"/>
      <c r="AB3482" s="12"/>
      <c r="AC3482" s="12"/>
      <c r="AD3482" s="12"/>
    </row>
    <row r="3483" spans="1:30" ht="15.75" thickBot="1" x14ac:dyDescent="0.3">
      <c r="A3483" s="12"/>
      <c r="B3483" s="12"/>
      <c r="C3483" s="12"/>
      <c r="D3483" s="3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2"/>
      <c r="W3483" s="12"/>
      <c r="X3483" s="12"/>
      <c r="Y3483" s="12"/>
      <c r="Z3483" s="12"/>
      <c r="AA3483" s="12"/>
      <c r="AB3483" s="12"/>
      <c r="AC3483" s="12"/>
      <c r="AD3483" s="12"/>
    </row>
    <row r="3484" spans="1:30" ht="15.75" thickBot="1" x14ac:dyDescent="0.3">
      <c r="A3484" s="12"/>
      <c r="B3484" s="12"/>
      <c r="C3484" s="12"/>
      <c r="D3484" s="3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2"/>
      <c r="W3484" s="12"/>
      <c r="X3484" s="12"/>
      <c r="Y3484" s="12"/>
      <c r="Z3484" s="12"/>
      <c r="AA3484" s="12"/>
      <c r="AB3484" s="12"/>
      <c r="AC3484" s="12"/>
      <c r="AD3484" s="12"/>
    </row>
    <row r="3485" spans="1:30" ht="15.75" thickBot="1" x14ac:dyDescent="0.3">
      <c r="A3485" s="12"/>
      <c r="B3485" s="12"/>
      <c r="C3485" s="12"/>
      <c r="D3485" s="3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2"/>
      <c r="W3485" s="12"/>
      <c r="X3485" s="12"/>
      <c r="Y3485" s="12"/>
      <c r="Z3485" s="12"/>
      <c r="AA3485" s="12"/>
      <c r="AB3485" s="12"/>
      <c r="AC3485" s="12"/>
      <c r="AD3485" s="12"/>
    </row>
    <row r="3486" spans="1:30" ht="15.75" thickBot="1" x14ac:dyDescent="0.3">
      <c r="A3486" s="12"/>
      <c r="B3486" s="12"/>
      <c r="C3486" s="12"/>
      <c r="D3486" s="3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2"/>
      <c r="W3486" s="12"/>
      <c r="X3486" s="12"/>
      <c r="Y3486" s="12"/>
      <c r="Z3486" s="12"/>
      <c r="AA3486" s="12"/>
      <c r="AB3486" s="12"/>
      <c r="AC3486" s="12"/>
      <c r="AD3486" s="12"/>
    </row>
    <row r="3487" spans="1:30" ht="15.75" thickBot="1" x14ac:dyDescent="0.3">
      <c r="A3487" s="12"/>
      <c r="B3487" s="12"/>
      <c r="C3487" s="12"/>
      <c r="D3487" s="3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2"/>
      <c r="W3487" s="12"/>
      <c r="X3487" s="12"/>
      <c r="Y3487" s="12"/>
      <c r="Z3487" s="12"/>
      <c r="AA3487" s="12"/>
      <c r="AB3487" s="12"/>
      <c r="AC3487" s="12"/>
      <c r="AD3487" s="12"/>
    </row>
    <row r="3488" spans="1:30" ht="15.75" thickBot="1" x14ac:dyDescent="0.3">
      <c r="A3488" s="12"/>
      <c r="B3488" s="12"/>
      <c r="C3488" s="12"/>
      <c r="D3488" s="3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2"/>
      <c r="W3488" s="12"/>
      <c r="X3488" s="12"/>
      <c r="Y3488" s="12"/>
      <c r="Z3488" s="12"/>
      <c r="AA3488" s="12"/>
      <c r="AB3488" s="12"/>
      <c r="AC3488" s="12"/>
      <c r="AD3488" s="12"/>
    </row>
    <row r="3489" spans="1:30" ht="15.75" thickBot="1" x14ac:dyDescent="0.3">
      <c r="A3489" s="12"/>
      <c r="B3489" s="12"/>
      <c r="C3489" s="12"/>
      <c r="D3489" s="3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2"/>
      <c r="W3489" s="12"/>
      <c r="X3489" s="12"/>
      <c r="Y3489" s="12"/>
      <c r="Z3489" s="12"/>
      <c r="AA3489" s="12"/>
      <c r="AB3489" s="12"/>
      <c r="AC3489" s="12"/>
      <c r="AD3489" s="12"/>
    </row>
    <row r="3490" spans="1:30" ht="15.75" thickBot="1" x14ac:dyDescent="0.3">
      <c r="A3490" s="12"/>
      <c r="B3490" s="12"/>
      <c r="C3490" s="12"/>
      <c r="D3490" s="3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2"/>
      <c r="W3490" s="12"/>
      <c r="X3490" s="12"/>
      <c r="Y3490" s="12"/>
      <c r="Z3490" s="12"/>
      <c r="AA3490" s="12"/>
      <c r="AB3490" s="12"/>
      <c r="AC3490" s="12"/>
      <c r="AD3490" s="12"/>
    </row>
    <row r="3491" spans="1:30" ht="15.75" thickBot="1" x14ac:dyDescent="0.3">
      <c r="A3491" s="12"/>
      <c r="B3491" s="12"/>
      <c r="C3491" s="12"/>
      <c r="D3491" s="3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2"/>
      <c r="W3491" s="12"/>
      <c r="X3491" s="12"/>
      <c r="Y3491" s="12"/>
      <c r="Z3491" s="12"/>
      <c r="AA3491" s="12"/>
      <c r="AB3491" s="12"/>
      <c r="AC3491" s="12"/>
      <c r="AD3491" s="12"/>
    </row>
    <row r="3492" spans="1:30" ht="15.75" thickBot="1" x14ac:dyDescent="0.3">
      <c r="A3492" s="12"/>
      <c r="B3492" s="12"/>
      <c r="C3492" s="12"/>
      <c r="D3492" s="3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2"/>
      <c r="W3492" s="12"/>
      <c r="X3492" s="12"/>
      <c r="Y3492" s="12"/>
      <c r="Z3492" s="12"/>
      <c r="AA3492" s="12"/>
      <c r="AB3492" s="12"/>
      <c r="AC3492" s="12"/>
      <c r="AD3492" s="12"/>
    </row>
    <row r="3493" spans="1:30" ht="15.75" thickBot="1" x14ac:dyDescent="0.3">
      <c r="A3493" s="12"/>
      <c r="B3493" s="12"/>
      <c r="C3493" s="12"/>
      <c r="D3493" s="3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2"/>
      <c r="W3493" s="12"/>
      <c r="X3493" s="12"/>
      <c r="Y3493" s="12"/>
      <c r="Z3493" s="12"/>
      <c r="AA3493" s="12"/>
      <c r="AB3493" s="12"/>
      <c r="AC3493" s="12"/>
      <c r="AD3493" s="12"/>
    </row>
    <row r="3494" spans="1:30" ht="15.75" thickBot="1" x14ac:dyDescent="0.3">
      <c r="A3494" s="12"/>
      <c r="B3494" s="12"/>
      <c r="C3494" s="12"/>
      <c r="D3494" s="3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2"/>
      <c r="W3494" s="12"/>
      <c r="X3494" s="12"/>
      <c r="Y3494" s="12"/>
      <c r="Z3494" s="12"/>
      <c r="AA3494" s="12"/>
      <c r="AB3494" s="12"/>
      <c r="AC3494" s="12"/>
      <c r="AD3494" s="12"/>
    </row>
    <row r="3495" spans="1:30" ht="15.75" thickBot="1" x14ac:dyDescent="0.3">
      <c r="A3495" s="12"/>
      <c r="B3495" s="12"/>
      <c r="C3495" s="12"/>
      <c r="D3495" s="3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2"/>
      <c r="W3495" s="12"/>
      <c r="X3495" s="12"/>
      <c r="Y3495" s="12"/>
      <c r="Z3495" s="12"/>
      <c r="AA3495" s="12"/>
      <c r="AB3495" s="12"/>
      <c r="AC3495" s="12"/>
      <c r="AD3495" s="12"/>
    </row>
    <row r="3496" spans="1:30" ht="15.75" thickBot="1" x14ac:dyDescent="0.3">
      <c r="A3496" s="12"/>
      <c r="B3496" s="12"/>
      <c r="C3496" s="12"/>
      <c r="D3496" s="3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2"/>
      <c r="W3496" s="12"/>
      <c r="X3496" s="12"/>
      <c r="Y3496" s="12"/>
      <c r="Z3496" s="12"/>
      <c r="AA3496" s="12"/>
      <c r="AB3496" s="12"/>
      <c r="AC3496" s="12"/>
      <c r="AD3496" s="12"/>
    </row>
    <row r="3497" spans="1:30" ht="15.75" thickBot="1" x14ac:dyDescent="0.3">
      <c r="A3497" s="12"/>
      <c r="B3497" s="12"/>
      <c r="C3497" s="12"/>
      <c r="D3497" s="3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2"/>
      <c r="W3497" s="12"/>
      <c r="X3497" s="12"/>
      <c r="Y3497" s="12"/>
      <c r="Z3497" s="12"/>
      <c r="AA3497" s="12"/>
      <c r="AB3497" s="12"/>
      <c r="AC3497" s="12"/>
      <c r="AD3497" s="12"/>
    </row>
    <row r="3498" spans="1:30" ht="15.75" thickBot="1" x14ac:dyDescent="0.3">
      <c r="A3498" s="12"/>
      <c r="B3498" s="12"/>
      <c r="C3498" s="12"/>
      <c r="D3498" s="3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2"/>
      <c r="W3498" s="12"/>
      <c r="X3498" s="12"/>
      <c r="Y3498" s="12"/>
      <c r="Z3498" s="12"/>
      <c r="AA3498" s="12"/>
      <c r="AB3498" s="12"/>
      <c r="AC3498" s="12"/>
      <c r="AD3498" s="12"/>
    </row>
    <row r="3499" spans="1:30" ht="15.75" thickBot="1" x14ac:dyDescent="0.3">
      <c r="A3499" s="12"/>
      <c r="B3499" s="12"/>
      <c r="C3499" s="12"/>
      <c r="D3499" s="3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2"/>
      <c r="W3499" s="12"/>
      <c r="X3499" s="12"/>
      <c r="Y3499" s="12"/>
      <c r="Z3499" s="12"/>
      <c r="AA3499" s="12"/>
      <c r="AB3499" s="12"/>
      <c r="AC3499" s="12"/>
      <c r="AD3499" s="12"/>
    </row>
    <row r="3500" spans="1:30" ht="15.75" thickBot="1" x14ac:dyDescent="0.3">
      <c r="A3500" s="12"/>
      <c r="B3500" s="12"/>
      <c r="C3500" s="12"/>
      <c r="D3500" s="3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2"/>
      <c r="W3500" s="12"/>
      <c r="X3500" s="12"/>
      <c r="Y3500" s="12"/>
      <c r="Z3500" s="12"/>
      <c r="AA3500" s="12"/>
      <c r="AB3500" s="12"/>
      <c r="AC3500" s="12"/>
      <c r="AD3500" s="12"/>
    </row>
    <row r="3501" spans="1:30" ht="15.75" thickBot="1" x14ac:dyDescent="0.3">
      <c r="A3501" s="12"/>
      <c r="B3501" s="12"/>
      <c r="C3501" s="12"/>
      <c r="D3501" s="3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2"/>
      <c r="W3501" s="12"/>
      <c r="X3501" s="12"/>
      <c r="Y3501" s="12"/>
      <c r="Z3501" s="12"/>
      <c r="AA3501" s="12"/>
      <c r="AB3501" s="12"/>
      <c r="AC3501" s="12"/>
      <c r="AD3501" s="12"/>
    </row>
    <row r="3502" spans="1:30" ht="15.75" thickBot="1" x14ac:dyDescent="0.3">
      <c r="A3502" s="12"/>
      <c r="B3502" s="12"/>
      <c r="C3502" s="12"/>
      <c r="D3502" s="3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2"/>
      <c r="W3502" s="12"/>
      <c r="X3502" s="12"/>
      <c r="Y3502" s="12"/>
      <c r="Z3502" s="12"/>
      <c r="AA3502" s="12"/>
      <c r="AB3502" s="12"/>
      <c r="AC3502" s="12"/>
      <c r="AD3502" s="12"/>
    </row>
    <row r="3503" spans="1:30" ht="15.75" thickBot="1" x14ac:dyDescent="0.3">
      <c r="A3503" s="12"/>
      <c r="B3503" s="12"/>
      <c r="C3503" s="12"/>
      <c r="D3503" s="3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2"/>
      <c r="W3503" s="12"/>
      <c r="X3503" s="12"/>
      <c r="Y3503" s="12"/>
      <c r="Z3503" s="12"/>
      <c r="AA3503" s="12"/>
      <c r="AB3503" s="12"/>
      <c r="AC3503" s="12"/>
      <c r="AD3503" s="12"/>
    </row>
    <row r="3504" spans="1:30" ht="15.75" thickBot="1" x14ac:dyDescent="0.3">
      <c r="A3504" s="12"/>
      <c r="B3504" s="12"/>
      <c r="C3504" s="12"/>
      <c r="D3504" s="3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2"/>
      <c r="W3504" s="12"/>
      <c r="X3504" s="12"/>
      <c r="Y3504" s="12"/>
      <c r="Z3504" s="12"/>
      <c r="AA3504" s="12"/>
      <c r="AB3504" s="12"/>
      <c r="AC3504" s="12"/>
      <c r="AD3504" s="12"/>
    </row>
    <row r="3505" spans="1:30" ht="15.75" thickBot="1" x14ac:dyDescent="0.3">
      <c r="A3505" s="12"/>
      <c r="B3505" s="12"/>
      <c r="C3505" s="12"/>
      <c r="D3505" s="3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2"/>
      <c r="W3505" s="12"/>
      <c r="X3505" s="12"/>
      <c r="Y3505" s="12"/>
      <c r="Z3505" s="12"/>
      <c r="AA3505" s="12"/>
      <c r="AB3505" s="12"/>
      <c r="AC3505" s="12"/>
      <c r="AD3505" s="12"/>
    </row>
    <row r="3506" spans="1:30" ht="15.75" thickBot="1" x14ac:dyDescent="0.3">
      <c r="A3506" s="12"/>
      <c r="B3506" s="12"/>
      <c r="C3506" s="12"/>
      <c r="D3506" s="3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2"/>
      <c r="W3506" s="12"/>
      <c r="X3506" s="12"/>
      <c r="Y3506" s="12"/>
      <c r="Z3506" s="12"/>
      <c r="AA3506" s="12"/>
      <c r="AB3506" s="12"/>
      <c r="AC3506" s="12"/>
      <c r="AD3506" s="12"/>
    </row>
    <row r="3507" spans="1:30" ht="15.75" thickBot="1" x14ac:dyDescent="0.3">
      <c r="A3507" s="12"/>
      <c r="B3507" s="12"/>
      <c r="C3507" s="12"/>
      <c r="D3507" s="3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2"/>
      <c r="W3507" s="12"/>
      <c r="X3507" s="12"/>
      <c r="Y3507" s="12"/>
      <c r="Z3507" s="12"/>
      <c r="AA3507" s="12"/>
      <c r="AB3507" s="12"/>
      <c r="AC3507" s="12"/>
      <c r="AD3507" s="12"/>
    </row>
    <row r="3508" spans="1:30" ht="15.75" thickBot="1" x14ac:dyDescent="0.3">
      <c r="A3508" s="12"/>
      <c r="B3508" s="12"/>
      <c r="C3508" s="12"/>
      <c r="D3508" s="3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2"/>
      <c r="W3508" s="12"/>
      <c r="X3508" s="12"/>
      <c r="Y3508" s="12"/>
      <c r="Z3508" s="12"/>
      <c r="AA3508" s="12"/>
      <c r="AB3508" s="12"/>
      <c r="AC3508" s="12"/>
      <c r="AD3508" s="12"/>
    </row>
    <row r="3509" spans="1:30" ht="15.75" thickBot="1" x14ac:dyDescent="0.3">
      <c r="A3509" s="12"/>
      <c r="B3509" s="12"/>
      <c r="C3509" s="12"/>
      <c r="D3509" s="3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2"/>
      <c r="W3509" s="12"/>
      <c r="X3509" s="12"/>
      <c r="Y3509" s="12"/>
      <c r="Z3509" s="12"/>
      <c r="AA3509" s="12"/>
      <c r="AB3509" s="12"/>
      <c r="AC3509" s="12"/>
      <c r="AD3509" s="12"/>
    </row>
    <row r="3510" spans="1:30" ht="15.75" thickBot="1" x14ac:dyDescent="0.3">
      <c r="A3510" s="12"/>
      <c r="B3510" s="12"/>
      <c r="C3510" s="12"/>
      <c r="D3510" s="3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2"/>
      <c r="W3510" s="12"/>
      <c r="X3510" s="12"/>
      <c r="Y3510" s="12"/>
      <c r="Z3510" s="12"/>
      <c r="AA3510" s="12"/>
      <c r="AB3510" s="12"/>
      <c r="AC3510" s="12"/>
      <c r="AD3510" s="12"/>
    </row>
    <row r="3511" spans="1:30" ht="15.75" thickBot="1" x14ac:dyDescent="0.3">
      <c r="A3511" s="12"/>
      <c r="B3511" s="12"/>
      <c r="C3511" s="12"/>
      <c r="D3511" s="3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2"/>
      <c r="W3511" s="12"/>
      <c r="X3511" s="12"/>
      <c r="Y3511" s="12"/>
      <c r="Z3511" s="12"/>
      <c r="AA3511" s="12"/>
      <c r="AB3511" s="12"/>
      <c r="AC3511" s="12"/>
      <c r="AD3511" s="12"/>
    </row>
    <row r="3512" spans="1:30" ht="15.75" thickBot="1" x14ac:dyDescent="0.3">
      <c r="A3512" s="12"/>
      <c r="B3512" s="12"/>
      <c r="C3512" s="12"/>
      <c r="D3512" s="3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2"/>
      <c r="W3512" s="12"/>
      <c r="X3512" s="12"/>
      <c r="Y3512" s="12"/>
      <c r="Z3512" s="12"/>
      <c r="AA3512" s="12"/>
      <c r="AB3512" s="12"/>
      <c r="AC3512" s="12"/>
      <c r="AD3512" s="12"/>
    </row>
    <row r="3513" spans="1:30" ht="15.75" thickBot="1" x14ac:dyDescent="0.3">
      <c r="A3513" s="12"/>
      <c r="B3513" s="12"/>
      <c r="C3513" s="12"/>
      <c r="D3513" s="3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2"/>
      <c r="W3513" s="12"/>
      <c r="X3513" s="12"/>
      <c r="Y3513" s="12"/>
      <c r="Z3513" s="12"/>
      <c r="AA3513" s="12"/>
      <c r="AB3513" s="12"/>
      <c r="AC3513" s="12"/>
      <c r="AD3513" s="12"/>
    </row>
    <row r="3514" spans="1:30" ht="15.75" thickBot="1" x14ac:dyDescent="0.3">
      <c r="A3514" s="12"/>
      <c r="B3514" s="12"/>
      <c r="C3514" s="12"/>
      <c r="D3514" s="3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2"/>
      <c r="W3514" s="12"/>
      <c r="X3514" s="12"/>
      <c r="Y3514" s="12"/>
      <c r="Z3514" s="12"/>
      <c r="AA3514" s="12"/>
      <c r="AB3514" s="12"/>
      <c r="AC3514" s="12"/>
      <c r="AD3514" s="12"/>
    </row>
    <row r="3515" spans="1:30" ht="15.75" thickBot="1" x14ac:dyDescent="0.3">
      <c r="A3515" s="12"/>
      <c r="B3515" s="12"/>
      <c r="C3515" s="12"/>
      <c r="D3515" s="3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2"/>
      <c r="W3515" s="12"/>
      <c r="X3515" s="12"/>
      <c r="Y3515" s="12"/>
      <c r="Z3515" s="12"/>
      <c r="AA3515" s="12"/>
      <c r="AB3515" s="12"/>
      <c r="AC3515" s="12"/>
      <c r="AD3515" s="12"/>
    </row>
    <row r="3516" spans="1:30" ht="15.75" thickBot="1" x14ac:dyDescent="0.3">
      <c r="A3516" s="12"/>
      <c r="B3516" s="12"/>
      <c r="C3516" s="12"/>
      <c r="D3516" s="3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2"/>
      <c r="W3516" s="12"/>
      <c r="X3516" s="12"/>
      <c r="Y3516" s="12"/>
      <c r="Z3516" s="12"/>
      <c r="AA3516" s="12"/>
      <c r="AB3516" s="12"/>
      <c r="AC3516" s="12"/>
      <c r="AD3516" s="12"/>
    </row>
    <row r="3517" spans="1:30" ht="15.75" thickBot="1" x14ac:dyDescent="0.3">
      <c r="A3517" s="12"/>
      <c r="B3517" s="12"/>
      <c r="C3517" s="12"/>
      <c r="D3517" s="3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2"/>
      <c r="W3517" s="12"/>
      <c r="X3517" s="12"/>
      <c r="Y3517" s="12"/>
      <c r="Z3517" s="12"/>
      <c r="AA3517" s="12"/>
      <c r="AB3517" s="12"/>
      <c r="AC3517" s="12"/>
      <c r="AD3517" s="12"/>
    </row>
    <row r="3518" spans="1:30" ht="15.75" thickBot="1" x14ac:dyDescent="0.3">
      <c r="A3518" s="12"/>
      <c r="B3518" s="12"/>
      <c r="C3518" s="12"/>
      <c r="D3518" s="3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2"/>
      <c r="W3518" s="12"/>
      <c r="X3518" s="12"/>
      <c r="Y3518" s="12"/>
      <c r="Z3518" s="12"/>
      <c r="AA3518" s="12"/>
      <c r="AB3518" s="12"/>
      <c r="AC3518" s="12"/>
      <c r="AD3518" s="12"/>
    </row>
    <row r="3519" spans="1:30" ht="15.75" thickBot="1" x14ac:dyDescent="0.3">
      <c r="A3519" s="12"/>
      <c r="B3519" s="12"/>
      <c r="C3519" s="12"/>
      <c r="D3519" s="3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2"/>
      <c r="W3519" s="12"/>
      <c r="X3519" s="12"/>
      <c r="Y3519" s="12"/>
      <c r="Z3519" s="12"/>
      <c r="AA3519" s="12"/>
      <c r="AB3519" s="12"/>
      <c r="AC3519" s="12"/>
      <c r="AD3519" s="12"/>
    </row>
    <row r="3520" spans="1:30" ht="15.75" thickBot="1" x14ac:dyDescent="0.3">
      <c r="A3520" s="12"/>
      <c r="B3520" s="12"/>
      <c r="C3520" s="12"/>
      <c r="D3520" s="3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2"/>
      <c r="W3520" s="12"/>
      <c r="X3520" s="12"/>
      <c r="Y3520" s="12"/>
      <c r="Z3520" s="12"/>
      <c r="AA3520" s="12"/>
      <c r="AB3520" s="12"/>
      <c r="AC3520" s="12"/>
      <c r="AD3520" s="12"/>
    </row>
    <row r="3521" spans="1:30" ht="15.75" thickBot="1" x14ac:dyDescent="0.3">
      <c r="A3521" s="12"/>
      <c r="B3521" s="12"/>
      <c r="C3521" s="12"/>
      <c r="D3521" s="3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2"/>
      <c r="W3521" s="12"/>
      <c r="X3521" s="12"/>
      <c r="Y3521" s="12"/>
      <c r="Z3521" s="12"/>
      <c r="AA3521" s="12"/>
      <c r="AB3521" s="12"/>
      <c r="AC3521" s="12"/>
      <c r="AD3521" s="12"/>
    </row>
    <row r="3522" spans="1:30" ht="15.75" thickBot="1" x14ac:dyDescent="0.3">
      <c r="A3522" s="12"/>
      <c r="B3522" s="12"/>
      <c r="C3522" s="12"/>
      <c r="D3522" s="3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2"/>
      <c r="W3522" s="12"/>
      <c r="X3522" s="12"/>
      <c r="Y3522" s="12"/>
      <c r="Z3522" s="12"/>
      <c r="AA3522" s="12"/>
      <c r="AB3522" s="12"/>
      <c r="AC3522" s="12"/>
      <c r="AD3522" s="12"/>
    </row>
    <row r="3523" spans="1:30" ht="15.75" thickBot="1" x14ac:dyDescent="0.3">
      <c r="A3523" s="12"/>
      <c r="B3523" s="12"/>
      <c r="C3523" s="12"/>
      <c r="D3523" s="3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2"/>
      <c r="W3523" s="12"/>
      <c r="X3523" s="12"/>
      <c r="Y3523" s="12"/>
      <c r="Z3523" s="12"/>
      <c r="AA3523" s="12"/>
      <c r="AB3523" s="12"/>
      <c r="AC3523" s="12"/>
      <c r="AD3523" s="12"/>
    </row>
    <row r="3524" spans="1:30" ht="15.75" thickBot="1" x14ac:dyDescent="0.3">
      <c r="A3524" s="12"/>
      <c r="B3524" s="12"/>
      <c r="C3524" s="12"/>
      <c r="D3524" s="3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2"/>
      <c r="W3524" s="12"/>
      <c r="X3524" s="12"/>
      <c r="Y3524" s="12"/>
      <c r="Z3524" s="12"/>
      <c r="AA3524" s="12"/>
      <c r="AB3524" s="12"/>
      <c r="AC3524" s="12"/>
      <c r="AD3524" s="12"/>
    </row>
    <row r="3525" spans="1:30" ht="15.75" thickBot="1" x14ac:dyDescent="0.3">
      <c r="A3525" s="12"/>
      <c r="B3525" s="12"/>
      <c r="C3525" s="12"/>
      <c r="D3525" s="3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2"/>
      <c r="W3525" s="12"/>
      <c r="X3525" s="12"/>
      <c r="Y3525" s="12"/>
      <c r="Z3525" s="12"/>
      <c r="AA3525" s="12"/>
      <c r="AB3525" s="12"/>
      <c r="AC3525" s="12"/>
      <c r="AD3525" s="12"/>
    </row>
    <row r="3526" spans="1:30" ht="15.75" thickBot="1" x14ac:dyDescent="0.3">
      <c r="A3526" s="12"/>
      <c r="B3526" s="12"/>
      <c r="C3526" s="12"/>
      <c r="D3526" s="3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2"/>
      <c r="W3526" s="12"/>
      <c r="X3526" s="12"/>
      <c r="Y3526" s="12"/>
      <c r="Z3526" s="12"/>
      <c r="AA3526" s="12"/>
      <c r="AB3526" s="12"/>
      <c r="AC3526" s="12"/>
      <c r="AD3526" s="12"/>
    </row>
    <row r="3527" spans="1:30" ht="15.75" thickBot="1" x14ac:dyDescent="0.3">
      <c r="A3527" s="12"/>
      <c r="B3527" s="12"/>
      <c r="C3527" s="12"/>
      <c r="D3527" s="3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2"/>
      <c r="W3527" s="12"/>
      <c r="X3527" s="12"/>
      <c r="Y3527" s="12"/>
      <c r="Z3527" s="12"/>
      <c r="AA3527" s="12"/>
      <c r="AB3527" s="12"/>
      <c r="AC3527" s="12"/>
      <c r="AD3527" s="12"/>
    </row>
    <row r="3528" spans="1:30" ht="15.75" thickBot="1" x14ac:dyDescent="0.3">
      <c r="A3528" s="12"/>
      <c r="B3528" s="12"/>
      <c r="C3528" s="12"/>
      <c r="D3528" s="3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2"/>
      <c r="W3528" s="12"/>
      <c r="X3528" s="12"/>
      <c r="Y3528" s="12"/>
      <c r="Z3528" s="12"/>
      <c r="AA3528" s="12"/>
      <c r="AB3528" s="12"/>
      <c r="AC3528" s="12"/>
      <c r="AD3528" s="12"/>
    </row>
    <row r="3529" spans="1:30" ht="15.75" thickBot="1" x14ac:dyDescent="0.3">
      <c r="A3529" s="12"/>
      <c r="B3529" s="12"/>
      <c r="C3529" s="12"/>
      <c r="D3529" s="3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2"/>
      <c r="W3529" s="12"/>
      <c r="X3529" s="12"/>
      <c r="Y3529" s="12"/>
      <c r="Z3529" s="12"/>
      <c r="AA3529" s="12"/>
      <c r="AB3529" s="12"/>
      <c r="AC3529" s="12"/>
      <c r="AD3529" s="12"/>
    </row>
    <row r="3530" spans="1:30" ht="15.75" thickBot="1" x14ac:dyDescent="0.3">
      <c r="A3530" s="12"/>
      <c r="B3530" s="12"/>
      <c r="C3530" s="12"/>
      <c r="D3530" s="3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2"/>
      <c r="W3530" s="12"/>
      <c r="X3530" s="12"/>
      <c r="Y3530" s="12"/>
      <c r="Z3530" s="12"/>
      <c r="AA3530" s="12"/>
      <c r="AB3530" s="12"/>
      <c r="AC3530" s="12"/>
      <c r="AD3530" s="12"/>
    </row>
    <row r="3531" spans="1:30" ht="15.75" thickBot="1" x14ac:dyDescent="0.3">
      <c r="A3531" s="12"/>
      <c r="B3531" s="12"/>
      <c r="C3531" s="12"/>
      <c r="D3531" s="3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2"/>
      <c r="W3531" s="12"/>
      <c r="X3531" s="12"/>
      <c r="Y3531" s="12"/>
      <c r="Z3531" s="12"/>
      <c r="AA3531" s="12"/>
      <c r="AB3531" s="12"/>
      <c r="AC3531" s="12"/>
      <c r="AD3531" s="12"/>
    </row>
    <row r="3532" spans="1:30" ht="15.75" thickBot="1" x14ac:dyDescent="0.3">
      <c r="A3532" s="12"/>
      <c r="B3532" s="12"/>
      <c r="C3532" s="12"/>
      <c r="D3532" s="3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2"/>
      <c r="W3532" s="12"/>
      <c r="X3532" s="12"/>
      <c r="Y3532" s="12"/>
      <c r="Z3532" s="12"/>
      <c r="AA3532" s="12"/>
      <c r="AB3532" s="12"/>
      <c r="AC3532" s="12"/>
      <c r="AD3532" s="12"/>
    </row>
    <row r="3533" spans="1:30" ht="15.75" thickBot="1" x14ac:dyDescent="0.3">
      <c r="A3533" s="12"/>
      <c r="B3533" s="12"/>
      <c r="C3533" s="12"/>
      <c r="D3533" s="3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2"/>
      <c r="W3533" s="12"/>
      <c r="X3533" s="12"/>
      <c r="Y3533" s="12"/>
      <c r="Z3533" s="12"/>
      <c r="AA3533" s="12"/>
      <c r="AB3533" s="12"/>
      <c r="AC3533" s="12"/>
      <c r="AD3533" s="12"/>
    </row>
    <row r="3534" spans="1:30" ht="15.75" thickBot="1" x14ac:dyDescent="0.3">
      <c r="A3534" s="12"/>
      <c r="B3534" s="12"/>
      <c r="C3534" s="12"/>
      <c r="D3534" s="3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2"/>
      <c r="W3534" s="12"/>
      <c r="X3534" s="12"/>
      <c r="Y3534" s="12"/>
      <c r="Z3534" s="12"/>
      <c r="AA3534" s="12"/>
      <c r="AB3534" s="12"/>
      <c r="AC3534" s="12"/>
      <c r="AD3534" s="12"/>
    </row>
    <row r="3535" spans="1:30" ht="15.75" thickBot="1" x14ac:dyDescent="0.3">
      <c r="A3535" s="12"/>
      <c r="B3535" s="12"/>
      <c r="C3535" s="12"/>
      <c r="D3535" s="3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2"/>
      <c r="W3535" s="12"/>
      <c r="X3535" s="12"/>
      <c r="Y3535" s="12"/>
      <c r="Z3535" s="12"/>
      <c r="AA3535" s="12"/>
      <c r="AB3535" s="12"/>
      <c r="AC3535" s="12"/>
      <c r="AD3535" s="12"/>
    </row>
    <row r="3536" spans="1:30" ht="15.75" thickBot="1" x14ac:dyDescent="0.3">
      <c r="A3536" s="12"/>
      <c r="B3536" s="12"/>
      <c r="C3536" s="12"/>
      <c r="D3536" s="3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2"/>
      <c r="W3536" s="12"/>
      <c r="X3536" s="12"/>
      <c r="Y3536" s="12"/>
      <c r="Z3536" s="12"/>
      <c r="AA3536" s="12"/>
      <c r="AB3536" s="12"/>
      <c r="AC3536" s="12"/>
      <c r="AD3536" s="12"/>
    </row>
    <row r="3537" spans="1:30" ht="15.75" thickBot="1" x14ac:dyDescent="0.3">
      <c r="A3537" s="12"/>
      <c r="B3537" s="12"/>
      <c r="C3537" s="12"/>
      <c r="D3537" s="3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2"/>
      <c r="W3537" s="12"/>
      <c r="X3537" s="12"/>
      <c r="Y3537" s="12"/>
      <c r="Z3537" s="12"/>
      <c r="AA3537" s="12"/>
      <c r="AB3537" s="12"/>
      <c r="AC3537" s="12"/>
      <c r="AD3537" s="12"/>
    </row>
    <row r="3538" spans="1:30" ht="15.75" thickBot="1" x14ac:dyDescent="0.3">
      <c r="A3538" s="12"/>
      <c r="B3538" s="12"/>
      <c r="C3538" s="12"/>
      <c r="D3538" s="3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2"/>
      <c r="W3538" s="12"/>
      <c r="X3538" s="12"/>
      <c r="Y3538" s="12"/>
      <c r="Z3538" s="12"/>
      <c r="AA3538" s="12"/>
      <c r="AB3538" s="12"/>
      <c r="AC3538" s="12"/>
      <c r="AD3538" s="12"/>
    </row>
    <row r="3539" spans="1:30" ht="15.75" thickBot="1" x14ac:dyDescent="0.3">
      <c r="A3539" s="12"/>
      <c r="B3539" s="12"/>
      <c r="C3539" s="12"/>
      <c r="D3539" s="3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2"/>
      <c r="W3539" s="12"/>
      <c r="X3539" s="12"/>
      <c r="Y3539" s="12"/>
      <c r="Z3539" s="12"/>
      <c r="AA3539" s="12"/>
      <c r="AB3539" s="12"/>
      <c r="AC3539" s="12"/>
      <c r="AD3539" s="12"/>
    </row>
    <row r="3540" spans="1:30" ht="15.75" thickBot="1" x14ac:dyDescent="0.3">
      <c r="A3540" s="12"/>
      <c r="B3540" s="12"/>
      <c r="C3540" s="12"/>
      <c r="D3540" s="3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2"/>
      <c r="W3540" s="12"/>
      <c r="X3540" s="12"/>
      <c r="Y3540" s="12"/>
      <c r="Z3540" s="12"/>
      <c r="AA3540" s="12"/>
      <c r="AB3540" s="12"/>
      <c r="AC3540" s="12"/>
      <c r="AD3540" s="12"/>
    </row>
    <row r="3541" spans="1:30" ht="15.75" thickBot="1" x14ac:dyDescent="0.3">
      <c r="A3541" s="12"/>
      <c r="B3541" s="12"/>
      <c r="C3541" s="12"/>
      <c r="D3541" s="3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2"/>
      <c r="W3541" s="12"/>
      <c r="X3541" s="12"/>
      <c r="Y3541" s="12"/>
      <c r="Z3541" s="12"/>
      <c r="AA3541" s="12"/>
      <c r="AB3541" s="12"/>
      <c r="AC3541" s="12"/>
      <c r="AD3541" s="12"/>
    </row>
    <row r="3542" spans="1:30" ht="15.75" thickBot="1" x14ac:dyDescent="0.3">
      <c r="A3542" s="12"/>
      <c r="B3542" s="12"/>
      <c r="C3542" s="12"/>
      <c r="D3542" s="3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2"/>
      <c r="W3542" s="12"/>
      <c r="X3542" s="12"/>
      <c r="Y3542" s="12"/>
      <c r="Z3542" s="12"/>
      <c r="AA3542" s="12"/>
      <c r="AB3542" s="12"/>
      <c r="AC3542" s="12"/>
      <c r="AD3542" s="12"/>
    </row>
    <row r="3543" spans="1:30" ht="15.75" thickBot="1" x14ac:dyDescent="0.3">
      <c r="A3543" s="12"/>
      <c r="B3543" s="12"/>
      <c r="C3543" s="12"/>
      <c r="D3543" s="3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2"/>
      <c r="W3543" s="12"/>
      <c r="X3543" s="12"/>
      <c r="Y3543" s="12"/>
      <c r="Z3543" s="12"/>
      <c r="AA3543" s="12"/>
      <c r="AB3543" s="12"/>
      <c r="AC3543" s="12"/>
      <c r="AD3543" s="12"/>
    </row>
    <row r="3544" spans="1:30" ht="15.75" thickBot="1" x14ac:dyDescent="0.3">
      <c r="A3544" s="12"/>
      <c r="B3544" s="12"/>
      <c r="C3544" s="12"/>
      <c r="D3544" s="3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2"/>
      <c r="W3544" s="12"/>
      <c r="X3544" s="12"/>
      <c r="Y3544" s="12"/>
      <c r="Z3544" s="12"/>
      <c r="AA3544" s="12"/>
      <c r="AB3544" s="12"/>
      <c r="AC3544" s="12"/>
      <c r="AD3544" s="12"/>
    </row>
    <row r="3545" spans="1:30" ht="15.75" thickBot="1" x14ac:dyDescent="0.3">
      <c r="A3545" s="12"/>
      <c r="B3545" s="12"/>
      <c r="C3545" s="12"/>
      <c r="D3545" s="3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2"/>
      <c r="W3545" s="12"/>
      <c r="X3545" s="12"/>
      <c r="Y3545" s="12"/>
      <c r="Z3545" s="12"/>
      <c r="AA3545" s="12"/>
      <c r="AB3545" s="12"/>
      <c r="AC3545" s="12"/>
      <c r="AD3545" s="12"/>
    </row>
    <row r="3546" spans="1:30" ht="15.75" thickBot="1" x14ac:dyDescent="0.3">
      <c r="A3546" s="12"/>
      <c r="B3546" s="12"/>
      <c r="C3546" s="12"/>
      <c r="D3546" s="3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2"/>
      <c r="W3546" s="12"/>
      <c r="X3546" s="12"/>
      <c r="Y3546" s="12"/>
      <c r="Z3546" s="12"/>
      <c r="AA3546" s="12"/>
      <c r="AB3546" s="12"/>
      <c r="AC3546" s="12"/>
      <c r="AD3546" s="12"/>
    </row>
    <row r="3547" spans="1:30" ht="15.75" thickBot="1" x14ac:dyDescent="0.3">
      <c r="A3547" s="12"/>
      <c r="B3547" s="12"/>
      <c r="C3547" s="12"/>
      <c r="D3547" s="3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2"/>
      <c r="W3547" s="12"/>
      <c r="X3547" s="12"/>
      <c r="Y3547" s="12"/>
      <c r="Z3547" s="12"/>
      <c r="AA3547" s="12"/>
      <c r="AB3547" s="12"/>
      <c r="AC3547" s="12"/>
      <c r="AD3547" s="12"/>
    </row>
    <row r="3548" spans="1:30" ht="15.75" thickBot="1" x14ac:dyDescent="0.3">
      <c r="A3548" s="12"/>
      <c r="B3548" s="12"/>
      <c r="C3548" s="12"/>
      <c r="D3548" s="3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2"/>
      <c r="W3548" s="12"/>
      <c r="X3548" s="12"/>
      <c r="Y3548" s="12"/>
      <c r="Z3548" s="12"/>
      <c r="AA3548" s="12"/>
      <c r="AB3548" s="12"/>
      <c r="AC3548" s="12"/>
      <c r="AD3548" s="12"/>
    </row>
    <row r="3549" spans="1:30" ht="15.75" thickBot="1" x14ac:dyDescent="0.3">
      <c r="A3549" s="12"/>
      <c r="B3549" s="12"/>
      <c r="C3549" s="12"/>
      <c r="D3549" s="3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2"/>
      <c r="W3549" s="12"/>
      <c r="X3549" s="12"/>
      <c r="Y3549" s="12"/>
      <c r="Z3549" s="12"/>
      <c r="AA3549" s="12"/>
      <c r="AB3549" s="12"/>
      <c r="AC3549" s="12"/>
      <c r="AD3549" s="12"/>
    </row>
    <row r="3550" spans="1:30" ht="15.75" thickBot="1" x14ac:dyDescent="0.3">
      <c r="A3550" s="12"/>
      <c r="B3550" s="12"/>
      <c r="C3550" s="12"/>
      <c r="D3550" s="3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2"/>
      <c r="W3550" s="12"/>
      <c r="X3550" s="12"/>
      <c r="Y3550" s="12"/>
      <c r="Z3550" s="12"/>
      <c r="AA3550" s="12"/>
      <c r="AB3550" s="12"/>
      <c r="AC3550" s="12"/>
      <c r="AD3550" s="12"/>
    </row>
    <row r="3551" spans="1:30" ht="15.75" thickBot="1" x14ac:dyDescent="0.3">
      <c r="A3551" s="12"/>
      <c r="B3551" s="12"/>
      <c r="C3551" s="12"/>
      <c r="D3551" s="3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2"/>
      <c r="W3551" s="12"/>
      <c r="X3551" s="12"/>
      <c r="Y3551" s="12"/>
      <c r="Z3551" s="12"/>
      <c r="AA3551" s="12"/>
      <c r="AB3551" s="12"/>
      <c r="AC3551" s="12"/>
      <c r="AD3551" s="12"/>
    </row>
    <row r="3552" spans="1:30" ht="15.75" thickBot="1" x14ac:dyDescent="0.3">
      <c r="A3552" s="12"/>
      <c r="B3552" s="12"/>
      <c r="C3552" s="12"/>
      <c r="D3552" s="3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2"/>
      <c r="W3552" s="12"/>
      <c r="X3552" s="12"/>
      <c r="Y3552" s="12"/>
      <c r="Z3552" s="12"/>
      <c r="AA3552" s="12"/>
      <c r="AB3552" s="12"/>
      <c r="AC3552" s="12"/>
      <c r="AD3552" s="12"/>
    </row>
    <row r="3553" spans="1:30" ht="15.75" thickBot="1" x14ac:dyDescent="0.3">
      <c r="A3553" s="12"/>
      <c r="B3553" s="12"/>
      <c r="C3553" s="12"/>
      <c r="D3553" s="3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2"/>
      <c r="W3553" s="12"/>
      <c r="X3553" s="12"/>
      <c r="Y3553" s="12"/>
      <c r="Z3553" s="12"/>
      <c r="AA3553" s="12"/>
      <c r="AB3553" s="12"/>
      <c r="AC3553" s="12"/>
      <c r="AD3553" s="12"/>
    </row>
    <row r="3554" spans="1:30" ht="15.75" thickBot="1" x14ac:dyDescent="0.3">
      <c r="A3554" s="12"/>
      <c r="B3554" s="12"/>
      <c r="C3554" s="12"/>
      <c r="D3554" s="3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2"/>
      <c r="W3554" s="12"/>
      <c r="X3554" s="12"/>
      <c r="Y3554" s="12"/>
      <c r="Z3554" s="12"/>
      <c r="AA3554" s="12"/>
      <c r="AB3554" s="12"/>
      <c r="AC3554" s="12"/>
      <c r="AD3554" s="12"/>
    </row>
    <row r="3555" spans="1:30" ht="15.75" thickBot="1" x14ac:dyDescent="0.3">
      <c r="A3555" s="12"/>
      <c r="B3555" s="12"/>
      <c r="C3555" s="12"/>
      <c r="D3555" s="3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2"/>
      <c r="W3555" s="12"/>
      <c r="X3555" s="12"/>
      <c r="Y3555" s="12"/>
      <c r="Z3555" s="12"/>
      <c r="AA3555" s="12"/>
      <c r="AB3555" s="12"/>
      <c r="AC3555" s="12"/>
      <c r="AD3555" s="12"/>
    </row>
    <row r="3556" spans="1:30" ht="15.75" thickBot="1" x14ac:dyDescent="0.3">
      <c r="A3556" s="12"/>
      <c r="B3556" s="12"/>
      <c r="C3556" s="12"/>
      <c r="D3556" s="3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2"/>
      <c r="W3556" s="12"/>
      <c r="X3556" s="12"/>
      <c r="Y3556" s="12"/>
      <c r="Z3556" s="12"/>
      <c r="AA3556" s="12"/>
      <c r="AB3556" s="12"/>
      <c r="AC3556" s="12"/>
      <c r="AD3556" s="12"/>
    </row>
    <row r="3557" spans="1:30" ht="15.75" thickBot="1" x14ac:dyDescent="0.3">
      <c r="A3557" s="12"/>
      <c r="B3557" s="12"/>
      <c r="C3557" s="12"/>
      <c r="D3557" s="3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2"/>
      <c r="W3557" s="12"/>
      <c r="X3557" s="12"/>
      <c r="Y3557" s="12"/>
      <c r="Z3557" s="12"/>
      <c r="AA3557" s="12"/>
      <c r="AB3557" s="12"/>
      <c r="AC3557" s="12"/>
      <c r="AD3557" s="12"/>
    </row>
    <row r="3558" spans="1:30" ht="15.75" thickBot="1" x14ac:dyDescent="0.3">
      <c r="A3558" s="12"/>
      <c r="B3558" s="12"/>
      <c r="C3558" s="12"/>
      <c r="D3558" s="3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2"/>
      <c r="W3558" s="12"/>
      <c r="X3558" s="12"/>
      <c r="Y3558" s="12"/>
      <c r="Z3558" s="12"/>
      <c r="AA3558" s="12"/>
      <c r="AB3558" s="12"/>
      <c r="AC3558" s="12"/>
      <c r="AD3558" s="12"/>
    </row>
    <row r="3559" spans="1:30" ht="15.75" thickBot="1" x14ac:dyDescent="0.3">
      <c r="A3559" s="12"/>
      <c r="B3559" s="12"/>
      <c r="C3559" s="12"/>
      <c r="D3559" s="3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2"/>
      <c r="W3559" s="12"/>
      <c r="X3559" s="12"/>
      <c r="Y3559" s="12"/>
      <c r="Z3559" s="12"/>
      <c r="AA3559" s="12"/>
      <c r="AB3559" s="12"/>
      <c r="AC3559" s="12"/>
      <c r="AD3559" s="12"/>
    </row>
    <row r="3560" spans="1:30" ht="15.75" thickBot="1" x14ac:dyDescent="0.3">
      <c r="A3560" s="12"/>
      <c r="B3560" s="12"/>
      <c r="C3560" s="12"/>
      <c r="D3560" s="3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2"/>
      <c r="W3560" s="12"/>
      <c r="X3560" s="12"/>
      <c r="Y3560" s="12"/>
      <c r="Z3560" s="12"/>
      <c r="AA3560" s="12"/>
      <c r="AB3560" s="12"/>
      <c r="AC3560" s="12"/>
      <c r="AD3560" s="12"/>
    </row>
    <row r="3561" spans="1:30" ht="15.75" thickBot="1" x14ac:dyDescent="0.3">
      <c r="A3561" s="12"/>
      <c r="B3561" s="12"/>
      <c r="C3561" s="12"/>
      <c r="D3561" s="3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2"/>
      <c r="W3561" s="12"/>
      <c r="X3561" s="12"/>
      <c r="Y3561" s="12"/>
      <c r="Z3561" s="12"/>
      <c r="AA3561" s="12"/>
      <c r="AB3561" s="12"/>
      <c r="AC3561" s="12"/>
      <c r="AD3561" s="12"/>
    </row>
    <row r="3562" spans="1:30" ht="15.75" thickBot="1" x14ac:dyDescent="0.3">
      <c r="A3562" s="12"/>
      <c r="B3562" s="12"/>
      <c r="C3562" s="12"/>
      <c r="D3562" s="3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2"/>
      <c r="W3562" s="12"/>
      <c r="X3562" s="12"/>
      <c r="Y3562" s="12"/>
      <c r="Z3562" s="12"/>
      <c r="AA3562" s="12"/>
      <c r="AB3562" s="12"/>
      <c r="AC3562" s="12"/>
      <c r="AD3562" s="12"/>
    </row>
    <row r="3563" spans="1:30" ht="15.75" thickBot="1" x14ac:dyDescent="0.3">
      <c r="A3563" s="12"/>
      <c r="B3563" s="12"/>
      <c r="C3563" s="12"/>
      <c r="D3563" s="3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2"/>
      <c r="W3563" s="12"/>
      <c r="X3563" s="12"/>
      <c r="Y3563" s="12"/>
      <c r="Z3563" s="12"/>
      <c r="AA3563" s="12"/>
      <c r="AB3563" s="12"/>
      <c r="AC3563" s="12"/>
      <c r="AD3563" s="12"/>
    </row>
    <row r="3564" spans="1:30" ht="15.75" thickBot="1" x14ac:dyDescent="0.3">
      <c r="A3564" s="12"/>
      <c r="B3564" s="12"/>
      <c r="C3564" s="12"/>
      <c r="D3564" s="3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2"/>
      <c r="W3564" s="12"/>
      <c r="X3564" s="12"/>
      <c r="Y3564" s="12"/>
      <c r="Z3564" s="12"/>
      <c r="AA3564" s="12"/>
      <c r="AB3564" s="12"/>
      <c r="AC3564" s="12"/>
      <c r="AD3564" s="12"/>
    </row>
    <row r="3565" spans="1:30" ht="15.75" thickBot="1" x14ac:dyDescent="0.3">
      <c r="A3565" s="12"/>
      <c r="B3565" s="12"/>
      <c r="C3565" s="12"/>
      <c r="D3565" s="3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2"/>
      <c r="W3565" s="12"/>
      <c r="X3565" s="12"/>
      <c r="Y3565" s="12"/>
      <c r="Z3565" s="12"/>
      <c r="AA3565" s="12"/>
      <c r="AB3565" s="12"/>
      <c r="AC3565" s="12"/>
      <c r="AD3565" s="12"/>
    </row>
    <row r="3566" spans="1:30" ht="15.75" thickBot="1" x14ac:dyDescent="0.3">
      <c r="A3566" s="12"/>
      <c r="B3566" s="12"/>
      <c r="C3566" s="12"/>
      <c r="D3566" s="3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2"/>
      <c r="W3566" s="12"/>
      <c r="X3566" s="12"/>
      <c r="Y3566" s="12"/>
      <c r="Z3566" s="12"/>
      <c r="AA3566" s="12"/>
      <c r="AB3566" s="12"/>
      <c r="AC3566" s="12"/>
      <c r="AD3566" s="12"/>
    </row>
    <row r="3567" spans="1:30" ht="15.75" thickBot="1" x14ac:dyDescent="0.3">
      <c r="A3567" s="12"/>
      <c r="B3567" s="12"/>
      <c r="C3567" s="12"/>
      <c r="D3567" s="3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2"/>
      <c r="W3567" s="12"/>
      <c r="X3567" s="12"/>
      <c r="Y3567" s="12"/>
      <c r="Z3567" s="12"/>
      <c r="AA3567" s="12"/>
      <c r="AB3567" s="12"/>
      <c r="AC3567" s="12"/>
      <c r="AD3567" s="12"/>
    </row>
    <row r="3568" spans="1:30" ht="15.75" thickBot="1" x14ac:dyDescent="0.3">
      <c r="A3568" s="12"/>
      <c r="B3568" s="12"/>
      <c r="C3568" s="12"/>
      <c r="D3568" s="3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2"/>
      <c r="W3568" s="12"/>
      <c r="X3568" s="12"/>
      <c r="Y3568" s="12"/>
      <c r="Z3568" s="12"/>
      <c r="AA3568" s="12"/>
      <c r="AB3568" s="12"/>
      <c r="AC3568" s="12"/>
      <c r="AD3568" s="12"/>
    </row>
    <row r="3569" spans="1:30" ht="15.75" thickBot="1" x14ac:dyDescent="0.3">
      <c r="A3569" s="12"/>
      <c r="B3569" s="12"/>
      <c r="C3569" s="12"/>
      <c r="D3569" s="3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2"/>
      <c r="W3569" s="12"/>
      <c r="X3569" s="12"/>
      <c r="Y3569" s="12"/>
      <c r="Z3569" s="12"/>
      <c r="AA3569" s="12"/>
      <c r="AB3569" s="12"/>
      <c r="AC3569" s="12"/>
      <c r="AD3569" s="12"/>
    </row>
    <row r="3570" spans="1:30" ht="15.75" thickBot="1" x14ac:dyDescent="0.3">
      <c r="A3570" s="12"/>
      <c r="B3570" s="12"/>
      <c r="C3570" s="12"/>
      <c r="D3570" s="3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2"/>
      <c r="W3570" s="12"/>
      <c r="X3570" s="12"/>
      <c r="Y3570" s="12"/>
      <c r="Z3570" s="12"/>
      <c r="AA3570" s="12"/>
      <c r="AB3570" s="12"/>
      <c r="AC3570" s="12"/>
      <c r="AD3570" s="12"/>
    </row>
    <row r="3571" spans="1:30" ht="15.75" thickBot="1" x14ac:dyDescent="0.3">
      <c r="A3571" s="12"/>
      <c r="B3571" s="12"/>
      <c r="C3571" s="12"/>
      <c r="D3571" s="3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2"/>
      <c r="W3571" s="12"/>
      <c r="X3571" s="12"/>
      <c r="Y3571" s="12"/>
      <c r="Z3571" s="12"/>
      <c r="AA3571" s="12"/>
      <c r="AB3571" s="12"/>
      <c r="AC3571" s="12"/>
      <c r="AD3571" s="12"/>
    </row>
    <row r="3572" spans="1:30" ht="15.75" thickBot="1" x14ac:dyDescent="0.3">
      <c r="A3572" s="12"/>
      <c r="B3572" s="12"/>
      <c r="C3572" s="12"/>
      <c r="D3572" s="3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2"/>
      <c r="W3572" s="12"/>
      <c r="X3572" s="12"/>
      <c r="Y3572" s="12"/>
      <c r="Z3572" s="12"/>
      <c r="AA3572" s="12"/>
      <c r="AB3572" s="12"/>
      <c r="AC3572" s="12"/>
      <c r="AD3572" s="12"/>
    </row>
    <row r="3573" spans="1:30" ht="15.75" thickBot="1" x14ac:dyDescent="0.3">
      <c r="A3573" s="12"/>
      <c r="B3573" s="12"/>
      <c r="C3573" s="12"/>
      <c r="D3573" s="3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2"/>
      <c r="W3573" s="12"/>
      <c r="X3573" s="12"/>
      <c r="Y3573" s="12"/>
      <c r="Z3573" s="12"/>
      <c r="AA3573" s="12"/>
      <c r="AB3573" s="12"/>
      <c r="AC3573" s="12"/>
      <c r="AD3573" s="12"/>
    </row>
    <row r="3574" spans="1:30" ht="15.75" thickBot="1" x14ac:dyDescent="0.3">
      <c r="A3574" s="12"/>
      <c r="B3574" s="12"/>
      <c r="C3574" s="12"/>
      <c r="D3574" s="3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2"/>
      <c r="W3574" s="12"/>
      <c r="X3574" s="12"/>
      <c r="Y3574" s="12"/>
      <c r="Z3574" s="12"/>
      <c r="AA3574" s="12"/>
      <c r="AB3574" s="12"/>
      <c r="AC3574" s="12"/>
      <c r="AD3574" s="12"/>
    </row>
    <row r="3575" spans="1:30" ht="15.75" thickBot="1" x14ac:dyDescent="0.3">
      <c r="A3575" s="12"/>
      <c r="B3575" s="12"/>
      <c r="C3575" s="12"/>
      <c r="D3575" s="3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2"/>
      <c r="W3575" s="12"/>
      <c r="X3575" s="12"/>
      <c r="Y3575" s="12"/>
      <c r="Z3575" s="12"/>
      <c r="AA3575" s="12"/>
      <c r="AB3575" s="12"/>
      <c r="AC3575" s="12"/>
      <c r="AD3575" s="12"/>
    </row>
    <row r="3576" spans="1:30" ht="15.75" thickBot="1" x14ac:dyDescent="0.3">
      <c r="A3576" s="12"/>
      <c r="B3576" s="12"/>
      <c r="C3576" s="12"/>
      <c r="D3576" s="3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2"/>
      <c r="W3576" s="12"/>
      <c r="X3576" s="12"/>
      <c r="Y3576" s="12"/>
      <c r="Z3576" s="12"/>
      <c r="AA3576" s="12"/>
      <c r="AB3576" s="12"/>
      <c r="AC3576" s="12"/>
      <c r="AD3576" s="12"/>
    </row>
    <row r="3577" spans="1:30" ht="15.75" thickBot="1" x14ac:dyDescent="0.3">
      <c r="A3577" s="12"/>
      <c r="B3577" s="12"/>
      <c r="C3577" s="12"/>
      <c r="D3577" s="3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2"/>
      <c r="W3577" s="12"/>
      <c r="X3577" s="12"/>
      <c r="Y3577" s="12"/>
      <c r="Z3577" s="12"/>
      <c r="AA3577" s="12"/>
      <c r="AB3577" s="12"/>
      <c r="AC3577" s="12"/>
      <c r="AD3577" s="12"/>
    </row>
    <row r="3578" spans="1:30" ht="15.75" thickBot="1" x14ac:dyDescent="0.3">
      <c r="A3578" s="12"/>
      <c r="B3578" s="12"/>
      <c r="C3578" s="12"/>
      <c r="D3578" s="3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2"/>
      <c r="W3578" s="12"/>
      <c r="X3578" s="12"/>
      <c r="Y3578" s="12"/>
      <c r="Z3578" s="12"/>
      <c r="AA3578" s="12"/>
      <c r="AB3578" s="12"/>
      <c r="AC3578" s="12"/>
      <c r="AD3578" s="12"/>
    </row>
    <row r="3579" spans="1:30" ht="15.75" thickBot="1" x14ac:dyDescent="0.3">
      <c r="A3579" s="12"/>
      <c r="B3579" s="12"/>
      <c r="C3579" s="12"/>
      <c r="D3579" s="3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2"/>
      <c r="W3579" s="12"/>
      <c r="X3579" s="12"/>
      <c r="Y3579" s="12"/>
      <c r="Z3579" s="12"/>
      <c r="AA3579" s="12"/>
      <c r="AB3579" s="12"/>
      <c r="AC3579" s="12"/>
      <c r="AD3579" s="12"/>
    </row>
    <row r="3580" spans="1:30" ht="15.75" thickBot="1" x14ac:dyDescent="0.3">
      <c r="A3580" s="12"/>
      <c r="B3580" s="12"/>
      <c r="C3580" s="12"/>
      <c r="D3580" s="3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2"/>
      <c r="W3580" s="12"/>
      <c r="X3580" s="12"/>
      <c r="Y3580" s="12"/>
      <c r="Z3580" s="12"/>
      <c r="AA3580" s="12"/>
      <c r="AB3580" s="12"/>
      <c r="AC3580" s="12"/>
      <c r="AD3580" s="12"/>
    </row>
    <row r="3581" spans="1:30" ht="15.75" thickBot="1" x14ac:dyDescent="0.3">
      <c r="A3581" s="12"/>
      <c r="B3581" s="12"/>
      <c r="C3581" s="12"/>
      <c r="D3581" s="3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2"/>
      <c r="W3581" s="12"/>
      <c r="X3581" s="12"/>
      <c r="Y3581" s="12"/>
      <c r="Z3581" s="12"/>
      <c r="AA3581" s="12"/>
      <c r="AB3581" s="12"/>
      <c r="AC3581" s="12"/>
      <c r="AD3581" s="12"/>
    </row>
    <row r="3582" spans="1:30" ht="15.75" thickBot="1" x14ac:dyDescent="0.3">
      <c r="A3582" s="12"/>
      <c r="B3582" s="12"/>
      <c r="C3582" s="12"/>
      <c r="D3582" s="3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2"/>
      <c r="W3582" s="12"/>
      <c r="X3582" s="12"/>
      <c r="Y3582" s="12"/>
      <c r="Z3582" s="12"/>
      <c r="AA3582" s="12"/>
      <c r="AB3582" s="12"/>
      <c r="AC3582" s="12"/>
      <c r="AD3582" s="12"/>
    </row>
    <row r="3583" spans="1:30" ht="15.75" thickBot="1" x14ac:dyDescent="0.3">
      <c r="A3583" s="12"/>
      <c r="B3583" s="12"/>
      <c r="C3583" s="12"/>
      <c r="D3583" s="3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2"/>
      <c r="W3583" s="12"/>
      <c r="X3583" s="12"/>
      <c r="Y3583" s="12"/>
      <c r="Z3583" s="12"/>
      <c r="AA3583" s="12"/>
      <c r="AB3583" s="12"/>
      <c r="AC3583" s="12"/>
      <c r="AD3583" s="12"/>
    </row>
    <row r="3584" spans="1:30" ht="15.75" thickBot="1" x14ac:dyDescent="0.3">
      <c r="A3584" s="12"/>
      <c r="B3584" s="12"/>
      <c r="C3584" s="12"/>
      <c r="D3584" s="3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2"/>
      <c r="W3584" s="12"/>
      <c r="X3584" s="12"/>
      <c r="Y3584" s="12"/>
      <c r="Z3584" s="12"/>
      <c r="AA3584" s="12"/>
      <c r="AB3584" s="12"/>
      <c r="AC3584" s="12"/>
      <c r="AD3584" s="12"/>
    </row>
    <row r="3585" spans="1:30" ht="15.75" thickBot="1" x14ac:dyDescent="0.3">
      <c r="A3585" s="12"/>
      <c r="B3585" s="12"/>
      <c r="C3585" s="12"/>
      <c r="D3585" s="3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2"/>
      <c r="W3585" s="12"/>
      <c r="X3585" s="12"/>
      <c r="Y3585" s="12"/>
      <c r="Z3585" s="12"/>
      <c r="AA3585" s="12"/>
      <c r="AB3585" s="12"/>
      <c r="AC3585" s="12"/>
      <c r="AD3585" s="12"/>
    </row>
    <row r="3586" spans="1:30" ht="15.75" thickBot="1" x14ac:dyDescent="0.3">
      <c r="A3586" s="12"/>
      <c r="B3586" s="12"/>
      <c r="C3586" s="12"/>
      <c r="D3586" s="3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2"/>
      <c r="W3586" s="12"/>
      <c r="X3586" s="12"/>
      <c r="Y3586" s="12"/>
      <c r="Z3586" s="12"/>
      <c r="AA3586" s="12"/>
      <c r="AB3586" s="12"/>
      <c r="AC3586" s="12"/>
      <c r="AD3586" s="12"/>
    </row>
    <row r="3587" spans="1:30" ht="15.75" thickBot="1" x14ac:dyDescent="0.3">
      <c r="A3587" s="12"/>
      <c r="B3587" s="12"/>
      <c r="C3587" s="12"/>
      <c r="D3587" s="3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2"/>
      <c r="W3587" s="12"/>
      <c r="X3587" s="12"/>
      <c r="Y3587" s="12"/>
      <c r="Z3587" s="12"/>
      <c r="AA3587" s="12"/>
      <c r="AB3587" s="12"/>
      <c r="AC3587" s="12"/>
      <c r="AD3587" s="12"/>
    </row>
    <row r="3588" spans="1:30" ht="15.75" thickBot="1" x14ac:dyDescent="0.3">
      <c r="A3588" s="12"/>
      <c r="B3588" s="12"/>
      <c r="C3588" s="12"/>
      <c r="D3588" s="3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2"/>
      <c r="W3588" s="12"/>
      <c r="X3588" s="12"/>
      <c r="Y3588" s="12"/>
      <c r="Z3588" s="12"/>
      <c r="AA3588" s="12"/>
      <c r="AB3588" s="12"/>
      <c r="AC3588" s="12"/>
      <c r="AD3588" s="12"/>
    </row>
    <row r="3589" spans="1:30" ht="15.75" thickBot="1" x14ac:dyDescent="0.3">
      <c r="A3589" s="12"/>
      <c r="B3589" s="12"/>
      <c r="C3589" s="12"/>
      <c r="D3589" s="3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2"/>
      <c r="W3589" s="12"/>
      <c r="X3589" s="12"/>
      <c r="Y3589" s="12"/>
      <c r="Z3589" s="12"/>
      <c r="AA3589" s="12"/>
      <c r="AB3589" s="12"/>
      <c r="AC3589" s="12"/>
      <c r="AD3589" s="12"/>
    </row>
    <row r="3590" spans="1:30" ht="15.75" thickBot="1" x14ac:dyDescent="0.3">
      <c r="A3590" s="12"/>
      <c r="B3590" s="12"/>
      <c r="C3590" s="12"/>
      <c r="D3590" s="3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2"/>
      <c r="W3590" s="12"/>
      <c r="X3590" s="12"/>
      <c r="Y3590" s="12"/>
      <c r="Z3590" s="12"/>
      <c r="AA3590" s="12"/>
      <c r="AB3590" s="12"/>
      <c r="AC3590" s="12"/>
      <c r="AD3590" s="12"/>
    </row>
    <row r="3591" spans="1:30" ht="15.75" thickBot="1" x14ac:dyDescent="0.3">
      <c r="A3591" s="12"/>
      <c r="B3591" s="12"/>
      <c r="C3591" s="12"/>
      <c r="D3591" s="3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2"/>
      <c r="W3591" s="12"/>
      <c r="X3591" s="12"/>
      <c r="Y3591" s="12"/>
      <c r="Z3591" s="12"/>
      <c r="AA3591" s="12"/>
      <c r="AB3591" s="12"/>
      <c r="AC3591" s="12"/>
      <c r="AD3591" s="12"/>
    </row>
    <row r="3592" spans="1:30" ht="15.75" thickBot="1" x14ac:dyDescent="0.3">
      <c r="A3592" s="12"/>
      <c r="B3592" s="12"/>
      <c r="C3592" s="12"/>
      <c r="D3592" s="3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2"/>
      <c r="W3592" s="12"/>
      <c r="X3592" s="12"/>
      <c r="Y3592" s="12"/>
      <c r="Z3592" s="12"/>
      <c r="AA3592" s="12"/>
      <c r="AB3592" s="12"/>
      <c r="AC3592" s="12"/>
      <c r="AD3592" s="12"/>
    </row>
    <row r="3593" spans="1:30" ht="15.75" thickBot="1" x14ac:dyDescent="0.3">
      <c r="A3593" s="12"/>
      <c r="B3593" s="12"/>
      <c r="C3593" s="12"/>
      <c r="D3593" s="3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2"/>
      <c r="W3593" s="12"/>
      <c r="X3593" s="12"/>
      <c r="Y3593" s="12"/>
      <c r="Z3593" s="12"/>
      <c r="AA3593" s="12"/>
      <c r="AB3593" s="12"/>
      <c r="AC3593" s="12"/>
      <c r="AD3593" s="12"/>
    </row>
    <row r="3594" spans="1:30" ht="15.75" thickBot="1" x14ac:dyDescent="0.3">
      <c r="A3594" s="12"/>
      <c r="B3594" s="12"/>
      <c r="C3594" s="12"/>
      <c r="D3594" s="3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2"/>
      <c r="W3594" s="12"/>
      <c r="X3594" s="12"/>
      <c r="Y3594" s="12"/>
      <c r="Z3594" s="12"/>
      <c r="AA3594" s="12"/>
      <c r="AB3594" s="12"/>
      <c r="AC3594" s="12"/>
      <c r="AD3594" s="12"/>
    </row>
    <row r="3595" spans="1:30" ht="15.75" thickBot="1" x14ac:dyDescent="0.3">
      <c r="A3595" s="12"/>
      <c r="B3595" s="12"/>
      <c r="C3595" s="12"/>
      <c r="D3595" s="3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2"/>
      <c r="W3595" s="12"/>
      <c r="X3595" s="12"/>
      <c r="Y3595" s="12"/>
      <c r="Z3595" s="12"/>
      <c r="AA3595" s="12"/>
      <c r="AB3595" s="12"/>
      <c r="AC3595" s="12"/>
      <c r="AD3595" s="12"/>
    </row>
    <row r="3596" spans="1:30" ht="15.75" thickBot="1" x14ac:dyDescent="0.3">
      <c r="A3596" s="12"/>
      <c r="B3596" s="12"/>
      <c r="C3596" s="12"/>
      <c r="D3596" s="3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2"/>
      <c r="W3596" s="12"/>
      <c r="X3596" s="12"/>
      <c r="Y3596" s="12"/>
      <c r="Z3596" s="12"/>
      <c r="AA3596" s="12"/>
      <c r="AB3596" s="12"/>
      <c r="AC3596" s="12"/>
      <c r="AD3596" s="12"/>
    </row>
    <row r="3597" spans="1:30" ht="15.75" thickBot="1" x14ac:dyDescent="0.3">
      <c r="A3597" s="12"/>
      <c r="B3597" s="12"/>
      <c r="C3597" s="12"/>
      <c r="D3597" s="3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2"/>
      <c r="W3597" s="12"/>
      <c r="X3597" s="12"/>
      <c r="Y3597" s="12"/>
      <c r="Z3597" s="12"/>
      <c r="AA3597" s="12"/>
      <c r="AB3597" s="12"/>
      <c r="AC3597" s="12"/>
      <c r="AD3597" s="12"/>
    </row>
    <row r="3598" spans="1:30" ht="15.75" thickBot="1" x14ac:dyDescent="0.3">
      <c r="A3598" s="12"/>
      <c r="B3598" s="12"/>
      <c r="C3598" s="12"/>
      <c r="D3598" s="3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2"/>
      <c r="W3598" s="12"/>
      <c r="X3598" s="12"/>
      <c r="Y3598" s="12"/>
      <c r="Z3598" s="12"/>
      <c r="AA3598" s="12"/>
      <c r="AB3598" s="12"/>
      <c r="AC3598" s="12"/>
      <c r="AD3598" s="12"/>
    </row>
    <row r="3599" spans="1:30" ht="15.75" thickBot="1" x14ac:dyDescent="0.3">
      <c r="A3599" s="12"/>
      <c r="B3599" s="12"/>
      <c r="C3599" s="12"/>
      <c r="D3599" s="3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2"/>
      <c r="W3599" s="12"/>
      <c r="X3599" s="12"/>
      <c r="Y3599" s="12"/>
      <c r="Z3599" s="12"/>
      <c r="AA3599" s="12"/>
      <c r="AB3599" s="12"/>
      <c r="AC3599" s="12"/>
      <c r="AD3599" s="12"/>
    </row>
    <row r="3600" spans="1:30" ht="15.75" thickBot="1" x14ac:dyDescent="0.3">
      <c r="A3600" s="12"/>
      <c r="B3600" s="12"/>
      <c r="C3600" s="12"/>
      <c r="D3600" s="3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2"/>
      <c r="W3600" s="12"/>
      <c r="X3600" s="12"/>
      <c r="Y3600" s="12"/>
      <c r="Z3600" s="12"/>
      <c r="AA3600" s="12"/>
      <c r="AB3600" s="12"/>
      <c r="AC3600" s="12"/>
      <c r="AD3600" s="12"/>
    </row>
    <row r="3601" spans="1:30" ht="15.75" thickBot="1" x14ac:dyDescent="0.3">
      <c r="A3601" s="12"/>
      <c r="B3601" s="12"/>
      <c r="C3601" s="12"/>
      <c r="D3601" s="3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2"/>
      <c r="W3601" s="12"/>
      <c r="X3601" s="12"/>
      <c r="Y3601" s="12"/>
      <c r="Z3601" s="12"/>
      <c r="AA3601" s="12"/>
      <c r="AB3601" s="12"/>
      <c r="AC3601" s="12"/>
      <c r="AD3601" s="12"/>
    </row>
    <row r="3602" spans="1:30" ht="15.75" thickBot="1" x14ac:dyDescent="0.3">
      <c r="A3602" s="12"/>
      <c r="B3602" s="12"/>
      <c r="C3602" s="12"/>
      <c r="D3602" s="3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2"/>
      <c r="W3602" s="12"/>
      <c r="X3602" s="12"/>
      <c r="Y3602" s="12"/>
      <c r="Z3602" s="12"/>
      <c r="AA3602" s="12"/>
      <c r="AB3602" s="12"/>
      <c r="AC3602" s="12"/>
      <c r="AD3602" s="12"/>
    </row>
    <row r="3603" spans="1:30" ht="15.75" thickBot="1" x14ac:dyDescent="0.3">
      <c r="A3603" s="12"/>
      <c r="B3603" s="12"/>
      <c r="C3603" s="12"/>
      <c r="D3603" s="3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2"/>
      <c r="W3603" s="12"/>
      <c r="X3603" s="12"/>
      <c r="Y3603" s="12"/>
      <c r="Z3603" s="12"/>
      <c r="AA3603" s="12"/>
      <c r="AB3603" s="12"/>
      <c r="AC3603" s="12"/>
      <c r="AD3603" s="12"/>
    </row>
    <row r="3604" spans="1:30" ht="15.75" thickBot="1" x14ac:dyDescent="0.3">
      <c r="A3604" s="12"/>
      <c r="B3604" s="12"/>
      <c r="C3604" s="12"/>
      <c r="D3604" s="3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2"/>
      <c r="W3604" s="12"/>
      <c r="X3604" s="12"/>
      <c r="Y3604" s="12"/>
      <c r="Z3604" s="12"/>
      <c r="AA3604" s="12"/>
      <c r="AB3604" s="12"/>
      <c r="AC3604" s="12"/>
      <c r="AD3604" s="12"/>
    </row>
    <row r="3605" spans="1:30" ht="15.75" thickBot="1" x14ac:dyDescent="0.3">
      <c r="A3605" s="12"/>
      <c r="B3605" s="12"/>
      <c r="C3605" s="12"/>
      <c r="D3605" s="3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2"/>
      <c r="W3605" s="12"/>
      <c r="X3605" s="12"/>
      <c r="Y3605" s="12"/>
      <c r="Z3605" s="12"/>
      <c r="AA3605" s="12"/>
      <c r="AB3605" s="12"/>
      <c r="AC3605" s="12"/>
      <c r="AD3605" s="12"/>
    </row>
    <row r="3606" spans="1:30" ht="15.75" thickBot="1" x14ac:dyDescent="0.3">
      <c r="A3606" s="12"/>
      <c r="B3606" s="12"/>
      <c r="C3606" s="12"/>
      <c r="D3606" s="3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2"/>
      <c r="W3606" s="12"/>
      <c r="X3606" s="12"/>
      <c r="Y3606" s="12"/>
      <c r="Z3606" s="12"/>
      <c r="AA3606" s="12"/>
      <c r="AB3606" s="12"/>
      <c r="AC3606" s="12"/>
      <c r="AD3606" s="12"/>
    </row>
    <row r="3607" spans="1:30" ht="15.75" thickBot="1" x14ac:dyDescent="0.3">
      <c r="A3607" s="12"/>
      <c r="B3607" s="12"/>
      <c r="C3607" s="12"/>
      <c r="D3607" s="3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2"/>
      <c r="W3607" s="12"/>
      <c r="X3607" s="12"/>
      <c r="Y3607" s="12"/>
      <c r="Z3607" s="12"/>
      <c r="AA3607" s="12"/>
      <c r="AB3607" s="12"/>
      <c r="AC3607" s="12"/>
      <c r="AD3607" s="12"/>
    </row>
    <row r="3608" spans="1:30" ht="15.75" thickBot="1" x14ac:dyDescent="0.3">
      <c r="A3608" s="12"/>
      <c r="B3608" s="12"/>
      <c r="C3608" s="12"/>
      <c r="D3608" s="3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2"/>
      <c r="W3608" s="12"/>
      <c r="X3608" s="12"/>
      <c r="Y3608" s="12"/>
      <c r="Z3608" s="12"/>
      <c r="AA3608" s="12"/>
      <c r="AB3608" s="12"/>
      <c r="AC3608" s="12"/>
      <c r="AD3608" s="12"/>
    </row>
    <row r="3609" spans="1:30" ht="15.75" thickBot="1" x14ac:dyDescent="0.3">
      <c r="A3609" s="12"/>
      <c r="B3609" s="12"/>
      <c r="C3609" s="12"/>
      <c r="D3609" s="3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2"/>
      <c r="W3609" s="12"/>
      <c r="X3609" s="12"/>
      <c r="Y3609" s="12"/>
      <c r="Z3609" s="12"/>
      <c r="AA3609" s="12"/>
      <c r="AB3609" s="12"/>
      <c r="AC3609" s="12"/>
      <c r="AD3609" s="12"/>
    </row>
    <row r="3610" spans="1:30" ht="15.75" thickBot="1" x14ac:dyDescent="0.3">
      <c r="A3610" s="12"/>
      <c r="B3610" s="12"/>
      <c r="C3610" s="12"/>
      <c r="D3610" s="3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2"/>
      <c r="W3610" s="12"/>
      <c r="X3610" s="12"/>
      <c r="Y3610" s="12"/>
      <c r="Z3610" s="12"/>
      <c r="AA3610" s="12"/>
      <c r="AB3610" s="12"/>
      <c r="AC3610" s="12"/>
      <c r="AD3610" s="12"/>
    </row>
    <row r="3611" spans="1:30" ht="15.75" thickBot="1" x14ac:dyDescent="0.3">
      <c r="A3611" s="12"/>
      <c r="B3611" s="12"/>
      <c r="C3611" s="12"/>
      <c r="D3611" s="3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2"/>
      <c r="W3611" s="12"/>
      <c r="X3611" s="12"/>
      <c r="Y3611" s="12"/>
      <c r="Z3611" s="12"/>
      <c r="AA3611" s="12"/>
      <c r="AB3611" s="12"/>
      <c r="AC3611" s="12"/>
      <c r="AD3611" s="12"/>
    </row>
    <row r="3612" spans="1:30" ht="15.75" thickBot="1" x14ac:dyDescent="0.3">
      <c r="A3612" s="12"/>
      <c r="B3612" s="12"/>
      <c r="C3612" s="12"/>
      <c r="D3612" s="3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2"/>
      <c r="W3612" s="12"/>
      <c r="X3612" s="12"/>
      <c r="Y3612" s="12"/>
      <c r="Z3612" s="12"/>
      <c r="AA3612" s="12"/>
      <c r="AB3612" s="12"/>
      <c r="AC3612" s="12"/>
      <c r="AD3612" s="12"/>
    </row>
    <row r="3613" spans="1:30" ht="15.75" thickBot="1" x14ac:dyDescent="0.3">
      <c r="A3613" s="12"/>
      <c r="B3613" s="12"/>
      <c r="C3613" s="12"/>
      <c r="D3613" s="3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2"/>
      <c r="W3613" s="12"/>
      <c r="X3613" s="12"/>
      <c r="Y3613" s="12"/>
      <c r="Z3613" s="12"/>
      <c r="AA3613" s="12"/>
      <c r="AB3613" s="12"/>
      <c r="AC3613" s="12"/>
      <c r="AD3613" s="12"/>
    </row>
    <row r="3614" spans="1:30" ht="15.75" thickBot="1" x14ac:dyDescent="0.3">
      <c r="A3614" s="12"/>
      <c r="B3614" s="12"/>
      <c r="C3614" s="12"/>
      <c r="D3614" s="3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2"/>
      <c r="W3614" s="12"/>
      <c r="X3614" s="12"/>
      <c r="Y3614" s="12"/>
      <c r="Z3614" s="12"/>
      <c r="AA3614" s="12"/>
      <c r="AB3614" s="12"/>
      <c r="AC3614" s="12"/>
      <c r="AD3614" s="12"/>
    </row>
    <row r="3615" spans="1:30" ht="15.75" thickBot="1" x14ac:dyDescent="0.3">
      <c r="A3615" s="12"/>
      <c r="B3615" s="12"/>
      <c r="C3615" s="12"/>
      <c r="D3615" s="3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2"/>
      <c r="W3615" s="12"/>
      <c r="X3615" s="12"/>
      <c r="Y3615" s="12"/>
      <c r="Z3615" s="12"/>
      <c r="AA3615" s="12"/>
      <c r="AB3615" s="12"/>
      <c r="AC3615" s="12"/>
      <c r="AD3615" s="12"/>
    </row>
    <row r="3616" spans="1:30" ht="15.75" thickBot="1" x14ac:dyDescent="0.3">
      <c r="A3616" s="12"/>
      <c r="B3616" s="12"/>
      <c r="C3616" s="12"/>
      <c r="D3616" s="3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2"/>
      <c r="W3616" s="12"/>
      <c r="X3616" s="12"/>
      <c r="Y3616" s="12"/>
      <c r="Z3616" s="12"/>
      <c r="AA3616" s="12"/>
      <c r="AB3616" s="12"/>
      <c r="AC3616" s="12"/>
      <c r="AD3616" s="12"/>
    </row>
    <row r="3617" spans="1:30" ht="15.75" thickBot="1" x14ac:dyDescent="0.3">
      <c r="A3617" s="12"/>
      <c r="B3617" s="12"/>
      <c r="C3617" s="12"/>
      <c r="D3617" s="3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2"/>
      <c r="W3617" s="12"/>
      <c r="X3617" s="12"/>
      <c r="Y3617" s="12"/>
      <c r="Z3617" s="12"/>
      <c r="AA3617" s="12"/>
      <c r="AB3617" s="12"/>
      <c r="AC3617" s="12"/>
      <c r="AD3617" s="12"/>
    </row>
    <row r="3618" spans="1:30" ht="15.75" thickBot="1" x14ac:dyDescent="0.3">
      <c r="A3618" s="12"/>
      <c r="B3618" s="12"/>
      <c r="C3618" s="12"/>
      <c r="D3618" s="3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2"/>
      <c r="W3618" s="12"/>
      <c r="X3618" s="12"/>
      <c r="Y3618" s="12"/>
      <c r="Z3618" s="12"/>
      <c r="AA3618" s="12"/>
      <c r="AB3618" s="12"/>
      <c r="AC3618" s="12"/>
      <c r="AD3618" s="12"/>
    </row>
    <row r="3619" spans="1:30" ht="15.75" thickBot="1" x14ac:dyDescent="0.3">
      <c r="A3619" s="12"/>
      <c r="B3619" s="12"/>
      <c r="C3619" s="12"/>
      <c r="D3619" s="3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2"/>
      <c r="W3619" s="12"/>
      <c r="X3619" s="12"/>
      <c r="Y3619" s="12"/>
      <c r="Z3619" s="12"/>
      <c r="AA3619" s="12"/>
      <c r="AB3619" s="12"/>
      <c r="AC3619" s="12"/>
      <c r="AD3619" s="12"/>
    </row>
    <row r="3620" spans="1:30" ht="15.75" thickBot="1" x14ac:dyDescent="0.3">
      <c r="A3620" s="12"/>
      <c r="B3620" s="12"/>
      <c r="C3620" s="12"/>
      <c r="D3620" s="3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2"/>
      <c r="W3620" s="12"/>
      <c r="X3620" s="12"/>
      <c r="Y3620" s="12"/>
      <c r="Z3620" s="12"/>
      <c r="AA3620" s="12"/>
      <c r="AB3620" s="12"/>
      <c r="AC3620" s="12"/>
      <c r="AD3620" s="12"/>
    </row>
    <row r="3621" spans="1:30" ht="15.75" thickBot="1" x14ac:dyDescent="0.3">
      <c r="A3621" s="12"/>
      <c r="B3621" s="12"/>
      <c r="C3621" s="12"/>
      <c r="D3621" s="3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2"/>
      <c r="W3621" s="12"/>
      <c r="X3621" s="12"/>
      <c r="Y3621" s="12"/>
      <c r="Z3621" s="12"/>
      <c r="AA3621" s="12"/>
      <c r="AB3621" s="12"/>
      <c r="AC3621" s="12"/>
      <c r="AD3621" s="12"/>
    </row>
    <row r="3622" spans="1:30" ht="15.75" thickBot="1" x14ac:dyDescent="0.3">
      <c r="A3622" s="12"/>
      <c r="B3622" s="12"/>
      <c r="C3622" s="12"/>
      <c r="D3622" s="3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2"/>
      <c r="W3622" s="12"/>
      <c r="X3622" s="12"/>
      <c r="Y3622" s="12"/>
      <c r="Z3622" s="12"/>
      <c r="AA3622" s="12"/>
      <c r="AB3622" s="12"/>
      <c r="AC3622" s="12"/>
      <c r="AD3622" s="12"/>
    </row>
    <row r="3623" spans="1:30" ht="15.75" thickBot="1" x14ac:dyDescent="0.3">
      <c r="A3623" s="12"/>
      <c r="B3623" s="12"/>
      <c r="C3623" s="12"/>
      <c r="D3623" s="3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2"/>
      <c r="W3623" s="12"/>
      <c r="X3623" s="12"/>
      <c r="Y3623" s="12"/>
      <c r="Z3623" s="12"/>
      <c r="AA3623" s="12"/>
      <c r="AB3623" s="12"/>
      <c r="AC3623" s="12"/>
      <c r="AD3623" s="12"/>
    </row>
    <row r="3624" spans="1:30" ht="15.75" thickBot="1" x14ac:dyDescent="0.3">
      <c r="A3624" s="12"/>
      <c r="B3624" s="12"/>
      <c r="C3624" s="12"/>
      <c r="D3624" s="3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2"/>
      <c r="W3624" s="12"/>
      <c r="X3624" s="12"/>
      <c r="Y3624" s="12"/>
      <c r="Z3624" s="12"/>
      <c r="AA3624" s="12"/>
      <c r="AB3624" s="12"/>
      <c r="AC3624" s="12"/>
      <c r="AD3624" s="12"/>
    </row>
    <row r="3625" spans="1:30" ht="15.75" thickBot="1" x14ac:dyDescent="0.3">
      <c r="A3625" s="12"/>
      <c r="B3625" s="12"/>
      <c r="C3625" s="12"/>
      <c r="D3625" s="3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2"/>
      <c r="W3625" s="12"/>
      <c r="X3625" s="12"/>
      <c r="Y3625" s="12"/>
      <c r="Z3625" s="12"/>
      <c r="AA3625" s="12"/>
      <c r="AB3625" s="12"/>
      <c r="AC3625" s="12"/>
      <c r="AD3625" s="12"/>
    </row>
    <row r="3626" spans="1:30" ht="15.75" thickBot="1" x14ac:dyDescent="0.3">
      <c r="A3626" s="12"/>
      <c r="B3626" s="12"/>
      <c r="C3626" s="12"/>
      <c r="D3626" s="3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2"/>
      <c r="W3626" s="12"/>
      <c r="X3626" s="12"/>
      <c r="Y3626" s="12"/>
      <c r="Z3626" s="12"/>
      <c r="AA3626" s="12"/>
      <c r="AB3626" s="12"/>
      <c r="AC3626" s="12"/>
      <c r="AD3626" s="12"/>
    </row>
    <row r="3627" spans="1:30" ht="15.75" thickBot="1" x14ac:dyDescent="0.3">
      <c r="A3627" s="12"/>
      <c r="B3627" s="12"/>
      <c r="C3627" s="12"/>
      <c r="D3627" s="3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2"/>
      <c r="W3627" s="12"/>
      <c r="X3627" s="12"/>
      <c r="Y3627" s="12"/>
      <c r="Z3627" s="12"/>
      <c r="AA3627" s="12"/>
      <c r="AB3627" s="12"/>
      <c r="AC3627" s="12"/>
      <c r="AD3627" s="12"/>
    </row>
    <row r="3628" spans="1:30" ht="15.75" thickBot="1" x14ac:dyDescent="0.3">
      <c r="A3628" s="12"/>
      <c r="B3628" s="12"/>
      <c r="C3628" s="12"/>
      <c r="D3628" s="3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2"/>
      <c r="W3628" s="12"/>
      <c r="X3628" s="12"/>
      <c r="Y3628" s="12"/>
      <c r="Z3628" s="12"/>
      <c r="AA3628" s="12"/>
      <c r="AB3628" s="12"/>
      <c r="AC3628" s="12"/>
      <c r="AD3628" s="12"/>
    </row>
    <row r="3629" spans="1:30" ht="15.75" thickBot="1" x14ac:dyDescent="0.3">
      <c r="A3629" s="12"/>
      <c r="B3629" s="12"/>
      <c r="C3629" s="12"/>
      <c r="D3629" s="3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2"/>
      <c r="W3629" s="12"/>
      <c r="X3629" s="12"/>
      <c r="Y3629" s="12"/>
      <c r="Z3629" s="12"/>
      <c r="AA3629" s="12"/>
      <c r="AB3629" s="12"/>
      <c r="AC3629" s="12"/>
      <c r="AD3629" s="12"/>
    </row>
    <row r="3630" spans="1:30" ht="15.75" thickBot="1" x14ac:dyDescent="0.3">
      <c r="A3630" s="12"/>
      <c r="B3630" s="12"/>
      <c r="C3630" s="12"/>
      <c r="D3630" s="3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2"/>
      <c r="W3630" s="12"/>
      <c r="X3630" s="12"/>
      <c r="Y3630" s="12"/>
      <c r="Z3630" s="12"/>
      <c r="AA3630" s="12"/>
      <c r="AB3630" s="12"/>
      <c r="AC3630" s="12"/>
      <c r="AD3630" s="12"/>
    </row>
    <row r="3631" spans="1:30" ht="15.75" thickBot="1" x14ac:dyDescent="0.3">
      <c r="A3631" s="12"/>
      <c r="B3631" s="12"/>
      <c r="C3631" s="12"/>
      <c r="D3631" s="3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2"/>
      <c r="W3631" s="12"/>
      <c r="X3631" s="12"/>
      <c r="Y3631" s="12"/>
      <c r="Z3631" s="12"/>
      <c r="AA3631" s="12"/>
      <c r="AB3631" s="12"/>
      <c r="AC3631" s="12"/>
      <c r="AD3631" s="12"/>
    </row>
    <row r="3632" spans="1:30" ht="15.75" thickBot="1" x14ac:dyDescent="0.3">
      <c r="A3632" s="12"/>
      <c r="B3632" s="12"/>
      <c r="C3632" s="12"/>
      <c r="D3632" s="3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2"/>
      <c r="W3632" s="12"/>
      <c r="X3632" s="12"/>
      <c r="Y3632" s="12"/>
      <c r="Z3632" s="12"/>
      <c r="AA3632" s="12"/>
      <c r="AB3632" s="12"/>
      <c r="AC3632" s="12"/>
      <c r="AD3632" s="12"/>
    </row>
    <row r="3633" spans="1:30" ht="15.75" thickBot="1" x14ac:dyDescent="0.3">
      <c r="A3633" s="12"/>
      <c r="B3633" s="12"/>
      <c r="C3633" s="12"/>
      <c r="D3633" s="3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2"/>
      <c r="W3633" s="12"/>
      <c r="X3633" s="12"/>
      <c r="Y3633" s="12"/>
      <c r="Z3633" s="12"/>
      <c r="AA3633" s="12"/>
      <c r="AB3633" s="12"/>
      <c r="AC3633" s="12"/>
      <c r="AD3633" s="12"/>
    </row>
    <row r="3634" spans="1:30" ht="15.75" thickBot="1" x14ac:dyDescent="0.3">
      <c r="A3634" s="12"/>
      <c r="B3634" s="12"/>
      <c r="C3634" s="12"/>
      <c r="D3634" s="3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2"/>
      <c r="W3634" s="12"/>
      <c r="X3634" s="12"/>
      <c r="Y3634" s="12"/>
      <c r="Z3634" s="12"/>
      <c r="AA3634" s="12"/>
      <c r="AB3634" s="12"/>
      <c r="AC3634" s="12"/>
      <c r="AD3634" s="12"/>
    </row>
    <row r="3635" spans="1:30" ht="15.75" thickBot="1" x14ac:dyDescent="0.3">
      <c r="A3635" s="12"/>
      <c r="B3635" s="12"/>
      <c r="C3635" s="12"/>
      <c r="D3635" s="3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2"/>
      <c r="W3635" s="12"/>
      <c r="X3635" s="12"/>
      <c r="Y3635" s="12"/>
      <c r="Z3635" s="12"/>
      <c r="AA3635" s="12"/>
      <c r="AB3635" s="12"/>
      <c r="AC3635" s="12"/>
      <c r="AD3635" s="12"/>
    </row>
    <row r="3636" spans="1:30" ht="15.75" thickBot="1" x14ac:dyDescent="0.3">
      <c r="A3636" s="12"/>
      <c r="B3636" s="12"/>
      <c r="C3636" s="12"/>
      <c r="D3636" s="3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2"/>
      <c r="W3636" s="12"/>
      <c r="X3636" s="12"/>
      <c r="Y3636" s="12"/>
      <c r="Z3636" s="12"/>
      <c r="AA3636" s="12"/>
      <c r="AB3636" s="12"/>
      <c r="AC3636" s="12"/>
      <c r="AD3636" s="12"/>
    </row>
    <row r="3637" spans="1:30" ht="15.75" thickBot="1" x14ac:dyDescent="0.3">
      <c r="A3637" s="12"/>
      <c r="B3637" s="12"/>
      <c r="C3637" s="12"/>
      <c r="D3637" s="3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2"/>
      <c r="W3637" s="12"/>
      <c r="X3637" s="12"/>
      <c r="Y3637" s="12"/>
      <c r="Z3637" s="12"/>
      <c r="AA3637" s="12"/>
      <c r="AB3637" s="12"/>
      <c r="AC3637" s="12"/>
      <c r="AD3637" s="12"/>
    </row>
    <row r="3638" spans="1:30" ht="15.75" thickBot="1" x14ac:dyDescent="0.3">
      <c r="A3638" s="12"/>
      <c r="B3638" s="12"/>
      <c r="C3638" s="12"/>
      <c r="D3638" s="3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2"/>
      <c r="W3638" s="12"/>
      <c r="X3638" s="12"/>
      <c r="Y3638" s="12"/>
      <c r="Z3638" s="12"/>
      <c r="AA3638" s="12"/>
      <c r="AB3638" s="12"/>
      <c r="AC3638" s="12"/>
      <c r="AD3638" s="12"/>
    </row>
    <row r="3639" spans="1:30" ht="15.75" thickBot="1" x14ac:dyDescent="0.3">
      <c r="A3639" s="12"/>
      <c r="B3639" s="12"/>
      <c r="C3639" s="12"/>
      <c r="D3639" s="3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2"/>
      <c r="W3639" s="12"/>
      <c r="X3639" s="12"/>
      <c r="Y3639" s="12"/>
      <c r="Z3639" s="12"/>
      <c r="AA3639" s="12"/>
      <c r="AB3639" s="12"/>
      <c r="AC3639" s="12"/>
      <c r="AD3639" s="12"/>
    </row>
    <row r="3640" spans="1:30" ht="15.75" thickBot="1" x14ac:dyDescent="0.3">
      <c r="A3640" s="12"/>
      <c r="B3640" s="12"/>
      <c r="C3640" s="12"/>
      <c r="D3640" s="3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2"/>
      <c r="W3640" s="12"/>
      <c r="X3640" s="12"/>
      <c r="Y3640" s="12"/>
      <c r="Z3640" s="12"/>
      <c r="AA3640" s="12"/>
      <c r="AB3640" s="12"/>
      <c r="AC3640" s="12"/>
      <c r="AD3640" s="12"/>
    </row>
    <row r="3641" spans="1:30" ht="15.75" thickBot="1" x14ac:dyDescent="0.3">
      <c r="A3641" s="12"/>
      <c r="B3641" s="12"/>
      <c r="C3641" s="12"/>
      <c r="D3641" s="3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2"/>
      <c r="W3641" s="12"/>
      <c r="X3641" s="12"/>
      <c r="Y3641" s="12"/>
      <c r="Z3641" s="12"/>
      <c r="AA3641" s="12"/>
      <c r="AB3641" s="12"/>
      <c r="AC3641" s="12"/>
      <c r="AD3641" s="12"/>
    </row>
    <row r="3642" spans="1:30" ht="15.75" thickBot="1" x14ac:dyDescent="0.3">
      <c r="A3642" s="12"/>
      <c r="B3642" s="12"/>
      <c r="C3642" s="12"/>
      <c r="D3642" s="3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2"/>
      <c r="W3642" s="12"/>
      <c r="X3642" s="12"/>
      <c r="Y3642" s="12"/>
      <c r="Z3642" s="12"/>
      <c r="AA3642" s="12"/>
      <c r="AB3642" s="12"/>
      <c r="AC3642" s="12"/>
      <c r="AD3642" s="12"/>
    </row>
    <row r="3643" spans="1:30" ht="15.75" thickBot="1" x14ac:dyDescent="0.3">
      <c r="A3643" s="12"/>
      <c r="B3643" s="12"/>
      <c r="C3643" s="12"/>
      <c r="D3643" s="3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2"/>
      <c r="W3643" s="12"/>
      <c r="X3643" s="12"/>
      <c r="Y3643" s="12"/>
      <c r="Z3643" s="12"/>
      <c r="AA3643" s="12"/>
      <c r="AB3643" s="12"/>
      <c r="AC3643" s="12"/>
      <c r="AD3643" s="12"/>
    </row>
    <row r="3644" spans="1:30" ht="15.75" thickBot="1" x14ac:dyDescent="0.3">
      <c r="A3644" s="12"/>
      <c r="B3644" s="12"/>
      <c r="C3644" s="12"/>
      <c r="D3644" s="3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2"/>
      <c r="W3644" s="12"/>
      <c r="X3644" s="12"/>
      <c r="Y3644" s="12"/>
      <c r="Z3644" s="12"/>
      <c r="AA3644" s="12"/>
      <c r="AB3644" s="12"/>
      <c r="AC3644" s="12"/>
      <c r="AD3644" s="12"/>
    </row>
    <row r="3645" spans="1:30" ht="15.75" thickBot="1" x14ac:dyDescent="0.3">
      <c r="A3645" s="12"/>
      <c r="B3645" s="12"/>
      <c r="C3645" s="12"/>
      <c r="D3645" s="3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2"/>
      <c r="W3645" s="12"/>
      <c r="X3645" s="12"/>
      <c r="Y3645" s="12"/>
      <c r="Z3645" s="12"/>
      <c r="AA3645" s="12"/>
      <c r="AB3645" s="12"/>
      <c r="AC3645" s="12"/>
      <c r="AD3645" s="12"/>
    </row>
    <row r="3646" spans="1:30" ht="15.75" thickBot="1" x14ac:dyDescent="0.3">
      <c r="A3646" s="12"/>
      <c r="B3646" s="12"/>
      <c r="C3646" s="12"/>
      <c r="D3646" s="3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2"/>
      <c r="W3646" s="12"/>
      <c r="X3646" s="12"/>
      <c r="Y3646" s="12"/>
      <c r="Z3646" s="12"/>
      <c r="AA3646" s="12"/>
      <c r="AB3646" s="12"/>
      <c r="AC3646" s="12"/>
      <c r="AD3646" s="12"/>
    </row>
    <row r="3647" spans="1:30" ht="15.75" thickBot="1" x14ac:dyDescent="0.3">
      <c r="A3647" s="12"/>
      <c r="B3647" s="12"/>
      <c r="C3647" s="12"/>
      <c r="D3647" s="3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2"/>
      <c r="W3647" s="12"/>
      <c r="X3647" s="12"/>
      <c r="Y3647" s="12"/>
      <c r="Z3647" s="12"/>
      <c r="AA3647" s="12"/>
      <c r="AB3647" s="12"/>
      <c r="AC3647" s="12"/>
      <c r="AD3647" s="12"/>
    </row>
    <row r="3648" spans="1:30" ht="15.75" thickBot="1" x14ac:dyDescent="0.3">
      <c r="A3648" s="12"/>
      <c r="B3648" s="12"/>
      <c r="C3648" s="12"/>
      <c r="D3648" s="3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2"/>
      <c r="W3648" s="12"/>
      <c r="X3648" s="12"/>
      <c r="Y3648" s="12"/>
      <c r="Z3648" s="12"/>
      <c r="AA3648" s="12"/>
      <c r="AB3648" s="12"/>
      <c r="AC3648" s="12"/>
      <c r="AD3648" s="12"/>
    </row>
    <row r="3649" spans="1:30" ht="15.75" thickBot="1" x14ac:dyDescent="0.3">
      <c r="A3649" s="12"/>
      <c r="B3649" s="12"/>
      <c r="C3649" s="12"/>
      <c r="D3649" s="3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2"/>
      <c r="W3649" s="12"/>
      <c r="X3649" s="12"/>
      <c r="Y3649" s="12"/>
      <c r="Z3649" s="12"/>
      <c r="AA3649" s="12"/>
      <c r="AB3649" s="12"/>
      <c r="AC3649" s="12"/>
      <c r="AD3649" s="12"/>
    </row>
    <row r="3650" spans="1:30" ht="15.75" thickBot="1" x14ac:dyDescent="0.3">
      <c r="A3650" s="12"/>
      <c r="B3650" s="12"/>
      <c r="C3650" s="12"/>
      <c r="D3650" s="3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2"/>
      <c r="W3650" s="12"/>
      <c r="X3650" s="12"/>
      <c r="Y3650" s="12"/>
      <c r="Z3650" s="12"/>
      <c r="AA3650" s="12"/>
      <c r="AB3650" s="12"/>
      <c r="AC3650" s="12"/>
      <c r="AD3650" s="12"/>
    </row>
    <row r="3651" spans="1:30" ht="15.75" thickBot="1" x14ac:dyDescent="0.3">
      <c r="A3651" s="12"/>
      <c r="B3651" s="12"/>
      <c r="C3651" s="12"/>
      <c r="D3651" s="3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2"/>
      <c r="W3651" s="12"/>
      <c r="X3651" s="12"/>
      <c r="Y3651" s="12"/>
      <c r="Z3651" s="12"/>
      <c r="AA3651" s="12"/>
      <c r="AB3651" s="12"/>
      <c r="AC3651" s="12"/>
      <c r="AD3651" s="12"/>
    </row>
    <row r="3652" spans="1:30" ht="15.75" thickBot="1" x14ac:dyDescent="0.3">
      <c r="A3652" s="12"/>
      <c r="B3652" s="12"/>
      <c r="C3652" s="12"/>
      <c r="D3652" s="3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2"/>
      <c r="W3652" s="12"/>
      <c r="X3652" s="12"/>
      <c r="Y3652" s="12"/>
      <c r="Z3652" s="12"/>
      <c r="AA3652" s="12"/>
      <c r="AB3652" s="12"/>
      <c r="AC3652" s="12"/>
      <c r="AD3652" s="12"/>
    </row>
    <row r="3653" spans="1:30" ht="15.75" thickBot="1" x14ac:dyDescent="0.3">
      <c r="A3653" s="12"/>
      <c r="B3653" s="12"/>
      <c r="C3653" s="12"/>
      <c r="D3653" s="3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2"/>
      <c r="W3653" s="12"/>
      <c r="X3653" s="12"/>
      <c r="Y3653" s="12"/>
      <c r="Z3653" s="12"/>
      <c r="AA3653" s="12"/>
      <c r="AB3653" s="12"/>
      <c r="AC3653" s="12"/>
      <c r="AD3653" s="12"/>
    </row>
    <row r="3654" spans="1:30" ht="15.75" thickBot="1" x14ac:dyDescent="0.3">
      <c r="A3654" s="12"/>
      <c r="B3654" s="12"/>
      <c r="C3654" s="12"/>
      <c r="D3654" s="3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2"/>
      <c r="W3654" s="12"/>
      <c r="X3654" s="12"/>
      <c r="Y3654" s="12"/>
      <c r="Z3654" s="12"/>
      <c r="AA3654" s="12"/>
      <c r="AB3654" s="12"/>
      <c r="AC3654" s="12"/>
      <c r="AD3654" s="12"/>
    </row>
    <row r="3655" spans="1:30" ht="15.75" thickBot="1" x14ac:dyDescent="0.3">
      <c r="A3655" s="12"/>
      <c r="B3655" s="12"/>
      <c r="C3655" s="12"/>
      <c r="D3655" s="3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2"/>
      <c r="W3655" s="12"/>
      <c r="X3655" s="12"/>
      <c r="Y3655" s="12"/>
      <c r="Z3655" s="12"/>
      <c r="AA3655" s="12"/>
      <c r="AB3655" s="12"/>
      <c r="AC3655" s="12"/>
      <c r="AD3655" s="12"/>
    </row>
    <row r="3656" spans="1:30" ht="15.75" thickBot="1" x14ac:dyDescent="0.3">
      <c r="A3656" s="12"/>
      <c r="B3656" s="12"/>
      <c r="C3656" s="12"/>
      <c r="D3656" s="3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2"/>
      <c r="W3656" s="12"/>
      <c r="X3656" s="12"/>
      <c r="Y3656" s="12"/>
      <c r="Z3656" s="12"/>
      <c r="AA3656" s="12"/>
      <c r="AB3656" s="12"/>
      <c r="AC3656" s="12"/>
      <c r="AD3656" s="12"/>
    </row>
    <row r="3657" spans="1:30" ht="15.75" thickBot="1" x14ac:dyDescent="0.3">
      <c r="A3657" s="12"/>
      <c r="B3657" s="12"/>
      <c r="C3657" s="12"/>
      <c r="D3657" s="3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2"/>
      <c r="W3657" s="12"/>
      <c r="X3657" s="12"/>
      <c r="Y3657" s="12"/>
      <c r="Z3657" s="12"/>
      <c r="AA3657" s="12"/>
      <c r="AB3657" s="12"/>
      <c r="AC3657" s="12"/>
      <c r="AD3657" s="12"/>
    </row>
    <row r="3658" spans="1:30" ht="15.75" thickBot="1" x14ac:dyDescent="0.3">
      <c r="A3658" s="12"/>
      <c r="B3658" s="12"/>
      <c r="C3658" s="12"/>
      <c r="D3658" s="3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2"/>
      <c r="W3658" s="12"/>
      <c r="X3658" s="12"/>
      <c r="Y3658" s="12"/>
      <c r="Z3658" s="12"/>
      <c r="AA3658" s="12"/>
      <c r="AB3658" s="12"/>
      <c r="AC3658" s="12"/>
      <c r="AD3658" s="12"/>
    </row>
    <row r="3659" spans="1:30" ht="15.75" thickBot="1" x14ac:dyDescent="0.3">
      <c r="A3659" s="12"/>
      <c r="B3659" s="12"/>
      <c r="C3659" s="12"/>
      <c r="D3659" s="3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2"/>
      <c r="W3659" s="12"/>
      <c r="X3659" s="12"/>
      <c r="Y3659" s="12"/>
      <c r="Z3659" s="12"/>
      <c r="AA3659" s="12"/>
      <c r="AB3659" s="12"/>
      <c r="AC3659" s="12"/>
      <c r="AD3659" s="12"/>
    </row>
    <row r="3660" spans="1:30" ht="15.75" thickBot="1" x14ac:dyDescent="0.3">
      <c r="A3660" s="12"/>
      <c r="B3660" s="12"/>
      <c r="C3660" s="12"/>
      <c r="D3660" s="3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2"/>
      <c r="W3660" s="12"/>
      <c r="X3660" s="12"/>
      <c r="Y3660" s="12"/>
      <c r="Z3660" s="12"/>
      <c r="AA3660" s="12"/>
      <c r="AB3660" s="12"/>
      <c r="AC3660" s="12"/>
      <c r="AD3660" s="12"/>
    </row>
    <row r="3661" spans="1:30" ht="15.75" thickBot="1" x14ac:dyDescent="0.3">
      <c r="A3661" s="12"/>
      <c r="B3661" s="12"/>
      <c r="C3661" s="12"/>
      <c r="D3661" s="3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2"/>
      <c r="W3661" s="12"/>
      <c r="X3661" s="12"/>
      <c r="Y3661" s="12"/>
      <c r="Z3661" s="12"/>
      <c r="AA3661" s="12"/>
      <c r="AB3661" s="12"/>
      <c r="AC3661" s="12"/>
      <c r="AD3661" s="12"/>
    </row>
    <row r="3662" spans="1:30" ht="15.75" thickBot="1" x14ac:dyDescent="0.3">
      <c r="A3662" s="12"/>
      <c r="B3662" s="12"/>
      <c r="C3662" s="12"/>
      <c r="D3662" s="3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2"/>
      <c r="W3662" s="12"/>
      <c r="X3662" s="12"/>
      <c r="Y3662" s="12"/>
      <c r="Z3662" s="12"/>
      <c r="AA3662" s="12"/>
      <c r="AB3662" s="12"/>
      <c r="AC3662" s="12"/>
      <c r="AD3662" s="12"/>
    </row>
    <row r="3663" spans="1:30" ht="15.75" thickBot="1" x14ac:dyDescent="0.3">
      <c r="A3663" s="12"/>
      <c r="B3663" s="12"/>
      <c r="C3663" s="12"/>
      <c r="D3663" s="3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2"/>
      <c r="W3663" s="12"/>
      <c r="X3663" s="12"/>
      <c r="Y3663" s="12"/>
      <c r="Z3663" s="12"/>
      <c r="AA3663" s="12"/>
      <c r="AB3663" s="12"/>
      <c r="AC3663" s="12"/>
      <c r="AD3663" s="12"/>
    </row>
    <row r="3664" spans="1:30" ht="15.75" thickBot="1" x14ac:dyDescent="0.3">
      <c r="A3664" s="12"/>
      <c r="B3664" s="12"/>
      <c r="C3664" s="12"/>
      <c r="D3664" s="3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2"/>
      <c r="W3664" s="12"/>
      <c r="X3664" s="12"/>
      <c r="Y3664" s="12"/>
      <c r="Z3664" s="12"/>
      <c r="AA3664" s="12"/>
      <c r="AB3664" s="12"/>
      <c r="AC3664" s="12"/>
      <c r="AD3664" s="12"/>
    </row>
    <row r="3665" spans="1:30" ht="15.75" thickBot="1" x14ac:dyDescent="0.3">
      <c r="A3665" s="12"/>
      <c r="B3665" s="12"/>
      <c r="C3665" s="12"/>
      <c r="D3665" s="3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2"/>
      <c r="W3665" s="12"/>
      <c r="X3665" s="12"/>
      <c r="Y3665" s="12"/>
      <c r="Z3665" s="12"/>
      <c r="AA3665" s="12"/>
      <c r="AB3665" s="12"/>
      <c r="AC3665" s="12"/>
      <c r="AD3665" s="12"/>
    </row>
    <row r="3666" spans="1:30" ht="15.75" thickBot="1" x14ac:dyDescent="0.3">
      <c r="A3666" s="12"/>
      <c r="B3666" s="12"/>
      <c r="C3666" s="12"/>
      <c r="D3666" s="3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2"/>
      <c r="W3666" s="12"/>
      <c r="X3666" s="12"/>
      <c r="Y3666" s="12"/>
      <c r="Z3666" s="12"/>
      <c r="AA3666" s="12"/>
      <c r="AB3666" s="12"/>
      <c r="AC3666" s="12"/>
      <c r="AD3666" s="12"/>
    </row>
    <row r="3667" spans="1:30" ht="15.75" thickBot="1" x14ac:dyDescent="0.3">
      <c r="A3667" s="12"/>
      <c r="B3667" s="12"/>
      <c r="C3667" s="12"/>
      <c r="D3667" s="3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2"/>
      <c r="W3667" s="12"/>
      <c r="X3667" s="12"/>
      <c r="Y3667" s="12"/>
      <c r="Z3667" s="12"/>
      <c r="AA3667" s="12"/>
      <c r="AB3667" s="12"/>
      <c r="AC3667" s="12"/>
      <c r="AD3667" s="12"/>
    </row>
    <row r="3668" spans="1:30" ht="15.75" thickBot="1" x14ac:dyDescent="0.3">
      <c r="A3668" s="12"/>
      <c r="B3668" s="12"/>
      <c r="C3668" s="12"/>
      <c r="D3668" s="3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2"/>
      <c r="W3668" s="12"/>
      <c r="X3668" s="12"/>
      <c r="Y3668" s="12"/>
      <c r="Z3668" s="12"/>
      <c r="AA3668" s="12"/>
      <c r="AB3668" s="12"/>
      <c r="AC3668" s="12"/>
      <c r="AD3668" s="12"/>
    </row>
    <row r="3669" spans="1:30" ht="15.75" thickBot="1" x14ac:dyDescent="0.3">
      <c r="A3669" s="12"/>
      <c r="B3669" s="12"/>
      <c r="C3669" s="12"/>
      <c r="D3669" s="3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2"/>
      <c r="W3669" s="12"/>
      <c r="X3669" s="12"/>
      <c r="Y3669" s="12"/>
      <c r="Z3669" s="12"/>
      <c r="AA3669" s="12"/>
      <c r="AB3669" s="12"/>
      <c r="AC3669" s="12"/>
      <c r="AD3669" s="12"/>
    </row>
    <row r="3670" spans="1:30" ht="15.75" thickBot="1" x14ac:dyDescent="0.3">
      <c r="A3670" s="12"/>
      <c r="B3670" s="12"/>
      <c r="C3670" s="12"/>
      <c r="D3670" s="3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2"/>
      <c r="W3670" s="12"/>
      <c r="X3670" s="12"/>
      <c r="Y3670" s="12"/>
      <c r="Z3670" s="12"/>
      <c r="AA3670" s="12"/>
      <c r="AB3670" s="12"/>
      <c r="AC3670" s="12"/>
      <c r="AD3670" s="12"/>
    </row>
    <row r="3671" spans="1:30" ht="15.75" thickBot="1" x14ac:dyDescent="0.3">
      <c r="A3671" s="12"/>
      <c r="B3671" s="12"/>
      <c r="C3671" s="12"/>
      <c r="D3671" s="3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2"/>
      <c r="W3671" s="12"/>
      <c r="X3671" s="12"/>
      <c r="Y3671" s="12"/>
      <c r="Z3671" s="12"/>
      <c r="AA3671" s="12"/>
      <c r="AB3671" s="12"/>
      <c r="AC3671" s="12"/>
      <c r="AD3671" s="12"/>
    </row>
    <row r="3672" spans="1:30" ht="15.75" thickBot="1" x14ac:dyDescent="0.3">
      <c r="A3672" s="12"/>
      <c r="B3672" s="12"/>
      <c r="C3672" s="12"/>
      <c r="D3672" s="3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2"/>
      <c r="W3672" s="12"/>
      <c r="X3672" s="12"/>
      <c r="Y3672" s="12"/>
      <c r="Z3672" s="12"/>
      <c r="AA3672" s="12"/>
      <c r="AB3672" s="12"/>
      <c r="AC3672" s="12"/>
      <c r="AD3672" s="12"/>
    </row>
    <row r="3673" spans="1:30" ht="15.75" thickBot="1" x14ac:dyDescent="0.3">
      <c r="A3673" s="12"/>
      <c r="B3673" s="12"/>
      <c r="C3673" s="12"/>
      <c r="D3673" s="3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2"/>
      <c r="W3673" s="12"/>
      <c r="X3673" s="12"/>
      <c r="Y3673" s="12"/>
      <c r="Z3673" s="12"/>
      <c r="AA3673" s="12"/>
      <c r="AB3673" s="12"/>
      <c r="AC3673" s="12"/>
      <c r="AD3673" s="12"/>
    </row>
    <row r="3674" spans="1:30" ht="15.75" thickBot="1" x14ac:dyDescent="0.3">
      <c r="A3674" s="12"/>
      <c r="B3674" s="12"/>
      <c r="C3674" s="12"/>
      <c r="D3674" s="3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2"/>
      <c r="W3674" s="12"/>
      <c r="X3674" s="12"/>
      <c r="Y3674" s="12"/>
      <c r="Z3674" s="12"/>
      <c r="AA3674" s="12"/>
      <c r="AB3674" s="12"/>
      <c r="AC3674" s="12"/>
      <c r="AD3674" s="12"/>
    </row>
    <row r="3675" spans="1:30" ht="15.75" thickBot="1" x14ac:dyDescent="0.3">
      <c r="A3675" s="12"/>
      <c r="B3675" s="12"/>
      <c r="C3675" s="12"/>
      <c r="D3675" s="3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2"/>
      <c r="W3675" s="12"/>
      <c r="X3675" s="12"/>
      <c r="Y3675" s="12"/>
      <c r="Z3675" s="12"/>
      <c r="AA3675" s="12"/>
      <c r="AB3675" s="12"/>
      <c r="AC3675" s="12"/>
      <c r="AD3675" s="12"/>
    </row>
    <row r="3676" spans="1:30" ht="15.75" thickBot="1" x14ac:dyDescent="0.3">
      <c r="A3676" s="12"/>
      <c r="B3676" s="12"/>
      <c r="C3676" s="12"/>
      <c r="D3676" s="3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2"/>
      <c r="W3676" s="12"/>
      <c r="X3676" s="12"/>
      <c r="Y3676" s="12"/>
      <c r="Z3676" s="12"/>
      <c r="AA3676" s="12"/>
      <c r="AB3676" s="12"/>
      <c r="AC3676" s="12"/>
      <c r="AD3676" s="12"/>
    </row>
    <row r="3677" spans="1:30" ht="15.75" thickBot="1" x14ac:dyDescent="0.3">
      <c r="A3677" s="12"/>
      <c r="B3677" s="12"/>
      <c r="C3677" s="12"/>
      <c r="D3677" s="3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2"/>
      <c r="W3677" s="12"/>
      <c r="X3677" s="12"/>
      <c r="Y3677" s="12"/>
      <c r="Z3677" s="12"/>
      <c r="AA3677" s="12"/>
      <c r="AB3677" s="12"/>
      <c r="AC3677" s="12"/>
      <c r="AD3677" s="12"/>
    </row>
    <row r="3678" spans="1:30" ht="15.75" thickBot="1" x14ac:dyDescent="0.3">
      <c r="A3678" s="12"/>
      <c r="B3678" s="12"/>
      <c r="C3678" s="12"/>
      <c r="D3678" s="3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2"/>
      <c r="W3678" s="12"/>
      <c r="X3678" s="12"/>
      <c r="Y3678" s="12"/>
      <c r="Z3678" s="12"/>
      <c r="AA3678" s="12"/>
      <c r="AB3678" s="12"/>
      <c r="AC3678" s="12"/>
      <c r="AD3678" s="12"/>
    </row>
    <row r="3679" spans="1:30" ht="15.75" thickBot="1" x14ac:dyDescent="0.3">
      <c r="A3679" s="12"/>
      <c r="B3679" s="12"/>
      <c r="C3679" s="12"/>
      <c r="D3679" s="3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2"/>
      <c r="W3679" s="12"/>
      <c r="X3679" s="12"/>
      <c r="Y3679" s="12"/>
      <c r="Z3679" s="12"/>
      <c r="AA3679" s="12"/>
      <c r="AB3679" s="12"/>
      <c r="AC3679" s="12"/>
      <c r="AD3679" s="12"/>
    </row>
    <row r="3680" spans="1:30" ht="15.75" thickBot="1" x14ac:dyDescent="0.3">
      <c r="A3680" s="12"/>
      <c r="B3680" s="12"/>
      <c r="C3680" s="12"/>
      <c r="D3680" s="3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2"/>
      <c r="W3680" s="12"/>
      <c r="X3680" s="12"/>
      <c r="Y3680" s="12"/>
      <c r="Z3680" s="12"/>
      <c r="AA3680" s="12"/>
      <c r="AB3680" s="12"/>
      <c r="AC3680" s="12"/>
      <c r="AD3680" s="12"/>
    </row>
    <row r="3681" spans="1:30" ht="15.75" thickBot="1" x14ac:dyDescent="0.3">
      <c r="A3681" s="12"/>
      <c r="B3681" s="12"/>
      <c r="C3681" s="12"/>
      <c r="D3681" s="3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2"/>
      <c r="W3681" s="12"/>
      <c r="X3681" s="12"/>
      <c r="Y3681" s="12"/>
      <c r="Z3681" s="12"/>
      <c r="AA3681" s="12"/>
      <c r="AB3681" s="12"/>
      <c r="AC3681" s="12"/>
      <c r="AD3681" s="12"/>
    </row>
    <row r="3682" spans="1:30" ht="15.75" thickBot="1" x14ac:dyDescent="0.3">
      <c r="A3682" s="12"/>
      <c r="B3682" s="12"/>
      <c r="C3682" s="12"/>
      <c r="D3682" s="3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2"/>
      <c r="W3682" s="12"/>
      <c r="X3682" s="12"/>
      <c r="Y3682" s="12"/>
      <c r="Z3682" s="12"/>
      <c r="AA3682" s="12"/>
      <c r="AB3682" s="12"/>
      <c r="AC3682" s="12"/>
      <c r="AD3682" s="12"/>
    </row>
    <row r="3683" spans="1:30" ht="15.75" thickBot="1" x14ac:dyDescent="0.3">
      <c r="A3683" s="12"/>
      <c r="B3683" s="12"/>
      <c r="C3683" s="12"/>
      <c r="D3683" s="3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2"/>
      <c r="W3683" s="12"/>
      <c r="X3683" s="12"/>
      <c r="Y3683" s="12"/>
      <c r="Z3683" s="12"/>
      <c r="AA3683" s="12"/>
      <c r="AB3683" s="12"/>
      <c r="AC3683" s="12"/>
      <c r="AD3683" s="12"/>
    </row>
    <row r="3684" spans="1:30" ht="15.75" thickBot="1" x14ac:dyDescent="0.3">
      <c r="A3684" s="12"/>
      <c r="B3684" s="12"/>
      <c r="C3684" s="12"/>
      <c r="D3684" s="3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2"/>
      <c r="W3684" s="12"/>
      <c r="X3684" s="12"/>
      <c r="Y3684" s="12"/>
      <c r="Z3684" s="12"/>
      <c r="AA3684" s="12"/>
      <c r="AB3684" s="12"/>
      <c r="AC3684" s="12"/>
      <c r="AD3684" s="12"/>
    </row>
    <row r="3685" spans="1:30" ht="15.75" thickBot="1" x14ac:dyDescent="0.3">
      <c r="A3685" s="12"/>
      <c r="B3685" s="12"/>
      <c r="C3685" s="12"/>
      <c r="D3685" s="3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2"/>
      <c r="W3685" s="12"/>
      <c r="X3685" s="12"/>
      <c r="Y3685" s="12"/>
      <c r="Z3685" s="12"/>
      <c r="AA3685" s="12"/>
      <c r="AB3685" s="12"/>
      <c r="AC3685" s="12"/>
      <c r="AD3685" s="12"/>
    </row>
    <row r="3686" spans="1:30" ht="15.75" thickBot="1" x14ac:dyDescent="0.3">
      <c r="A3686" s="12"/>
      <c r="B3686" s="12"/>
      <c r="C3686" s="12"/>
      <c r="D3686" s="3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2"/>
      <c r="W3686" s="12"/>
      <c r="X3686" s="12"/>
      <c r="Y3686" s="12"/>
      <c r="Z3686" s="12"/>
      <c r="AA3686" s="12"/>
      <c r="AB3686" s="12"/>
      <c r="AC3686" s="12"/>
      <c r="AD3686" s="12"/>
    </row>
    <row r="3687" spans="1:30" ht="15.75" thickBot="1" x14ac:dyDescent="0.3">
      <c r="A3687" s="12"/>
      <c r="B3687" s="12"/>
      <c r="C3687" s="12"/>
      <c r="D3687" s="3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2"/>
      <c r="W3687" s="12"/>
      <c r="X3687" s="12"/>
      <c r="Y3687" s="12"/>
      <c r="Z3687" s="12"/>
      <c r="AA3687" s="12"/>
      <c r="AB3687" s="12"/>
      <c r="AC3687" s="12"/>
      <c r="AD3687" s="12"/>
    </row>
    <row r="3688" spans="1:30" ht="15.75" thickBot="1" x14ac:dyDescent="0.3">
      <c r="A3688" s="12"/>
      <c r="B3688" s="12"/>
      <c r="C3688" s="12"/>
      <c r="D3688" s="3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2"/>
      <c r="W3688" s="12"/>
      <c r="X3688" s="12"/>
      <c r="Y3688" s="12"/>
      <c r="Z3688" s="12"/>
      <c r="AA3688" s="12"/>
      <c r="AB3688" s="12"/>
      <c r="AC3688" s="12"/>
      <c r="AD3688" s="12"/>
    </row>
    <row r="3689" spans="1:30" ht="15.75" thickBot="1" x14ac:dyDescent="0.3">
      <c r="A3689" s="12"/>
      <c r="B3689" s="12"/>
      <c r="C3689" s="12"/>
      <c r="D3689" s="3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2"/>
      <c r="W3689" s="12"/>
      <c r="X3689" s="12"/>
      <c r="Y3689" s="12"/>
      <c r="Z3689" s="12"/>
      <c r="AA3689" s="12"/>
      <c r="AB3689" s="12"/>
      <c r="AC3689" s="12"/>
      <c r="AD3689" s="12"/>
    </row>
    <row r="3690" spans="1:30" ht="15.75" thickBot="1" x14ac:dyDescent="0.3">
      <c r="A3690" s="12"/>
      <c r="B3690" s="12"/>
      <c r="C3690" s="12"/>
      <c r="D3690" s="3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2"/>
      <c r="W3690" s="12"/>
      <c r="X3690" s="12"/>
      <c r="Y3690" s="12"/>
      <c r="Z3690" s="12"/>
      <c r="AA3690" s="12"/>
      <c r="AB3690" s="12"/>
      <c r="AC3690" s="12"/>
      <c r="AD3690" s="12"/>
    </row>
    <row r="3691" spans="1:30" ht="15.75" thickBot="1" x14ac:dyDescent="0.3">
      <c r="A3691" s="12"/>
      <c r="B3691" s="12"/>
      <c r="C3691" s="12"/>
      <c r="D3691" s="3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2"/>
      <c r="W3691" s="12"/>
      <c r="X3691" s="12"/>
      <c r="Y3691" s="12"/>
      <c r="Z3691" s="12"/>
      <c r="AA3691" s="12"/>
      <c r="AB3691" s="12"/>
      <c r="AC3691" s="12"/>
      <c r="AD3691" s="12"/>
    </row>
    <row r="3692" spans="1:30" ht="15.75" thickBot="1" x14ac:dyDescent="0.3">
      <c r="A3692" s="12"/>
      <c r="B3692" s="12"/>
      <c r="C3692" s="12"/>
      <c r="D3692" s="3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2"/>
      <c r="W3692" s="12"/>
      <c r="X3692" s="12"/>
      <c r="Y3692" s="12"/>
      <c r="Z3692" s="12"/>
      <c r="AA3692" s="12"/>
      <c r="AB3692" s="12"/>
      <c r="AC3692" s="12"/>
      <c r="AD3692" s="12"/>
    </row>
    <row r="3693" spans="1:30" ht="15.75" thickBot="1" x14ac:dyDescent="0.3">
      <c r="A3693" s="12"/>
      <c r="B3693" s="12"/>
      <c r="C3693" s="12"/>
      <c r="D3693" s="3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2"/>
      <c r="W3693" s="12"/>
      <c r="X3693" s="12"/>
      <c r="Y3693" s="12"/>
      <c r="Z3693" s="12"/>
      <c r="AA3693" s="12"/>
      <c r="AB3693" s="12"/>
      <c r="AC3693" s="12"/>
      <c r="AD3693" s="12"/>
    </row>
    <row r="3694" spans="1:30" ht="15.75" thickBot="1" x14ac:dyDescent="0.3">
      <c r="A3694" s="12"/>
      <c r="B3694" s="12"/>
      <c r="C3694" s="12"/>
      <c r="D3694" s="3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2"/>
      <c r="W3694" s="12"/>
      <c r="X3694" s="12"/>
      <c r="Y3694" s="12"/>
      <c r="Z3694" s="12"/>
      <c r="AA3694" s="12"/>
      <c r="AB3694" s="12"/>
      <c r="AC3694" s="12"/>
      <c r="AD3694" s="12"/>
    </row>
    <row r="3695" spans="1:30" ht="15.75" thickBot="1" x14ac:dyDescent="0.3">
      <c r="A3695" s="12"/>
      <c r="B3695" s="12"/>
      <c r="C3695" s="12"/>
      <c r="D3695" s="3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2"/>
      <c r="W3695" s="12"/>
      <c r="X3695" s="12"/>
      <c r="Y3695" s="12"/>
      <c r="Z3695" s="12"/>
      <c r="AA3695" s="12"/>
      <c r="AB3695" s="12"/>
      <c r="AC3695" s="12"/>
      <c r="AD3695" s="12"/>
    </row>
    <row r="3696" spans="1:30" ht="15.75" thickBot="1" x14ac:dyDescent="0.3">
      <c r="A3696" s="12"/>
      <c r="B3696" s="12"/>
      <c r="C3696" s="12"/>
      <c r="D3696" s="3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2"/>
      <c r="W3696" s="12"/>
      <c r="X3696" s="12"/>
      <c r="Y3696" s="12"/>
      <c r="Z3696" s="12"/>
      <c r="AA3696" s="12"/>
      <c r="AB3696" s="12"/>
      <c r="AC3696" s="12"/>
      <c r="AD3696" s="12"/>
    </row>
    <row r="3697" spans="1:30" ht="15.75" thickBot="1" x14ac:dyDescent="0.3">
      <c r="A3697" s="12"/>
      <c r="B3697" s="12"/>
      <c r="C3697" s="12"/>
      <c r="D3697" s="3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2"/>
      <c r="W3697" s="12"/>
      <c r="X3697" s="12"/>
      <c r="Y3697" s="12"/>
      <c r="Z3697" s="12"/>
      <c r="AA3697" s="12"/>
      <c r="AB3697" s="12"/>
      <c r="AC3697" s="12"/>
      <c r="AD3697" s="12"/>
    </row>
    <row r="3698" spans="1:30" ht="15.75" thickBot="1" x14ac:dyDescent="0.3">
      <c r="A3698" s="12"/>
      <c r="B3698" s="12"/>
      <c r="C3698" s="12"/>
      <c r="D3698" s="3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2"/>
      <c r="W3698" s="12"/>
      <c r="X3698" s="12"/>
      <c r="Y3698" s="12"/>
      <c r="Z3698" s="12"/>
      <c r="AA3698" s="12"/>
      <c r="AB3698" s="12"/>
      <c r="AC3698" s="12"/>
      <c r="AD3698" s="12"/>
    </row>
    <row r="3699" spans="1:30" ht="15.75" thickBot="1" x14ac:dyDescent="0.3">
      <c r="A3699" s="12"/>
      <c r="B3699" s="12"/>
      <c r="C3699" s="12"/>
      <c r="D3699" s="3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2"/>
      <c r="W3699" s="12"/>
      <c r="X3699" s="12"/>
      <c r="Y3699" s="12"/>
      <c r="Z3699" s="12"/>
      <c r="AA3699" s="12"/>
      <c r="AB3699" s="12"/>
      <c r="AC3699" s="12"/>
      <c r="AD3699" s="12"/>
    </row>
    <row r="3700" spans="1:30" ht="15.75" thickBot="1" x14ac:dyDescent="0.3">
      <c r="A3700" s="12"/>
      <c r="B3700" s="12"/>
      <c r="C3700" s="12"/>
      <c r="D3700" s="3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2"/>
      <c r="W3700" s="12"/>
      <c r="X3700" s="12"/>
      <c r="Y3700" s="12"/>
      <c r="Z3700" s="12"/>
      <c r="AA3700" s="12"/>
      <c r="AB3700" s="12"/>
      <c r="AC3700" s="12"/>
      <c r="AD3700" s="12"/>
    </row>
    <row r="3701" spans="1:30" ht="15.75" thickBot="1" x14ac:dyDescent="0.3">
      <c r="A3701" s="12"/>
      <c r="B3701" s="12"/>
      <c r="C3701" s="12"/>
      <c r="D3701" s="3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2"/>
      <c r="W3701" s="12"/>
      <c r="X3701" s="12"/>
      <c r="Y3701" s="12"/>
      <c r="Z3701" s="12"/>
      <c r="AA3701" s="12"/>
      <c r="AB3701" s="12"/>
      <c r="AC3701" s="12"/>
      <c r="AD3701" s="12"/>
    </row>
    <row r="3702" spans="1:30" ht="15.75" thickBot="1" x14ac:dyDescent="0.3">
      <c r="A3702" s="12"/>
      <c r="B3702" s="12"/>
      <c r="C3702" s="12"/>
      <c r="D3702" s="3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2"/>
      <c r="W3702" s="12"/>
      <c r="X3702" s="12"/>
      <c r="Y3702" s="12"/>
      <c r="Z3702" s="12"/>
      <c r="AA3702" s="12"/>
      <c r="AB3702" s="12"/>
      <c r="AC3702" s="12"/>
      <c r="AD3702" s="12"/>
    </row>
    <row r="3703" spans="1:30" ht="15.75" thickBot="1" x14ac:dyDescent="0.3">
      <c r="A3703" s="12"/>
      <c r="B3703" s="12"/>
      <c r="C3703" s="12"/>
      <c r="D3703" s="3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2"/>
      <c r="W3703" s="12"/>
      <c r="X3703" s="12"/>
      <c r="Y3703" s="12"/>
      <c r="Z3703" s="12"/>
      <c r="AA3703" s="12"/>
      <c r="AB3703" s="12"/>
      <c r="AC3703" s="12"/>
      <c r="AD3703" s="12"/>
    </row>
    <row r="3704" spans="1:30" ht="15.75" thickBot="1" x14ac:dyDescent="0.3">
      <c r="A3704" s="12"/>
      <c r="B3704" s="12"/>
      <c r="C3704" s="12"/>
      <c r="D3704" s="3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2"/>
      <c r="W3704" s="12"/>
      <c r="X3704" s="12"/>
      <c r="Y3704" s="12"/>
      <c r="Z3704" s="12"/>
      <c r="AA3704" s="12"/>
      <c r="AB3704" s="12"/>
      <c r="AC3704" s="12"/>
      <c r="AD3704" s="12"/>
    </row>
    <row r="3705" spans="1:30" ht="15.75" thickBot="1" x14ac:dyDescent="0.3">
      <c r="A3705" s="12"/>
      <c r="B3705" s="12"/>
      <c r="C3705" s="12"/>
      <c r="D3705" s="3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2"/>
      <c r="W3705" s="12"/>
      <c r="X3705" s="12"/>
      <c r="Y3705" s="12"/>
      <c r="Z3705" s="12"/>
      <c r="AA3705" s="12"/>
      <c r="AB3705" s="12"/>
      <c r="AC3705" s="12"/>
      <c r="AD3705" s="12"/>
    </row>
    <row r="3706" spans="1:30" ht="15.75" thickBot="1" x14ac:dyDescent="0.3">
      <c r="A3706" s="12"/>
      <c r="B3706" s="12"/>
      <c r="C3706" s="12"/>
      <c r="D3706" s="3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2"/>
      <c r="W3706" s="12"/>
      <c r="X3706" s="12"/>
      <c r="Y3706" s="12"/>
      <c r="Z3706" s="12"/>
      <c r="AA3706" s="12"/>
      <c r="AB3706" s="12"/>
      <c r="AC3706" s="12"/>
      <c r="AD3706" s="12"/>
    </row>
    <row r="3707" spans="1:30" ht="15.75" thickBot="1" x14ac:dyDescent="0.3">
      <c r="A3707" s="12"/>
      <c r="B3707" s="12"/>
      <c r="C3707" s="12"/>
      <c r="D3707" s="3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2"/>
      <c r="W3707" s="12"/>
      <c r="X3707" s="12"/>
      <c r="Y3707" s="12"/>
      <c r="Z3707" s="12"/>
      <c r="AA3707" s="12"/>
      <c r="AB3707" s="12"/>
      <c r="AC3707" s="12"/>
      <c r="AD3707" s="12"/>
    </row>
    <row r="3708" spans="1:30" ht="15.75" thickBot="1" x14ac:dyDescent="0.3">
      <c r="A3708" s="12"/>
      <c r="B3708" s="12"/>
      <c r="C3708" s="12"/>
      <c r="D3708" s="3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2"/>
      <c r="W3708" s="12"/>
      <c r="X3708" s="12"/>
      <c r="Y3708" s="12"/>
      <c r="Z3708" s="12"/>
      <c r="AA3708" s="12"/>
      <c r="AB3708" s="12"/>
      <c r="AC3708" s="12"/>
      <c r="AD3708" s="12"/>
    </row>
    <row r="3709" spans="1:30" ht="15.75" thickBot="1" x14ac:dyDescent="0.3">
      <c r="A3709" s="12"/>
      <c r="B3709" s="12"/>
      <c r="C3709" s="12"/>
      <c r="D3709" s="3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2"/>
      <c r="W3709" s="12"/>
      <c r="X3709" s="12"/>
      <c r="Y3709" s="12"/>
      <c r="Z3709" s="12"/>
      <c r="AA3709" s="12"/>
      <c r="AB3709" s="12"/>
      <c r="AC3709" s="12"/>
      <c r="AD3709" s="12"/>
    </row>
    <row r="3710" spans="1:30" ht="15.75" thickBot="1" x14ac:dyDescent="0.3">
      <c r="A3710" s="12"/>
      <c r="B3710" s="12"/>
      <c r="C3710" s="12"/>
      <c r="D3710" s="3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2"/>
      <c r="W3710" s="12"/>
      <c r="X3710" s="12"/>
      <c r="Y3710" s="12"/>
      <c r="Z3710" s="12"/>
      <c r="AA3710" s="12"/>
      <c r="AB3710" s="12"/>
      <c r="AC3710" s="12"/>
      <c r="AD3710" s="12"/>
    </row>
    <row r="3711" spans="1:30" ht="15.75" thickBot="1" x14ac:dyDescent="0.3">
      <c r="A3711" s="12"/>
      <c r="B3711" s="12"/>
      <c r="C3711" s="12"/>
      <c r="D3711" s="3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2"/>
      <c r="W3711" s="12"/>
      <c r="X3711" s="12"/>
      <c r="Y3711" s="12"/>
      <c r="Z3711" s="12"/>
      <c r="AA3711" s="12"/>
      <c r="AB3711" s="12"/>
      <c r="AC3711" s="12"/>
      <c r="AD3711" s="12"/>
    </row>
    <row r="3712" spans="1:30" ht="15.75" thickBot="1" x14ac:dyDescent="0.3">
      <c r="A3712" s="12"/>
      <c r="B3712" s="12"/>
      <c r="C3712" s="12"/>
      <c r="D3712" s="3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2"/>
      <c r="W3712" s="12"/>
      <c r="X3712" s="12"/>
      <c r="Y3712" s="12"/>
      <c r="Z3712" s="12"/>
      <c r="AA3712" s="12"/>
      <c r="AB3712" s="12"/>
      <c r="AC3712" s="12"/>
      <c r="AD3712" s="12"/>
    </row>
    <row r="3713" spans="1:30" ht="15.75" thickBot="1" x14ac:dyDescent="0.3">
      <c r="A3713" s="12"/>
      <c r="B3713" s="12"/>
      <c r="C3713" s="12"/>
      <c r="D3713" s="3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2"/>
      <c r="W3713" s="12"/>
      <c r="X3713" s="12"/>
      <c r="Y3713" s="12"/>
      <c r="Z3713" s="12"/>
      <c r="AA3713" s="12"/>
      <c r="AB3713" s="12"/>
      <c r="AC3713" s="12"/>
      <c r="AD3713" s="12"/>
    </row>
    <row r="3714" spans="1:30" ht="15.75" thickBot="1" x14ac:dyDescent="0.3">
      <c r="A3714" s="12"/>
      <c r="B3714" s="12"/>
      <c r="C3714" s="12"/>
      <c r="D3714" s="3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2"/>
      <c r="W3714" s="12"/>
      <c r="X3714" s="12"/>
      <c r="Y3714" s="12"/>
      <c r="Z3714" s="12"/>
      <c r="AA3714" s="12"/>
      <c r="AB3714" s="12"/>
      <c r="AC3714" s="12"/>
      <c r="AD3714" s="12"/>
    </row>
    <row r="3715" spans="1:30" ht="15.75" thickBot="1" x14ac:dyDescent="0.3">
      <c r="A3715" s="12"/>
      <c r="B3715" s="12"/>
      <c r="C3715" s="12"/>
      <c r="D3715" s="3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2"/>
      <c r="W3715" s="12"/>
      <c r="X3715" s="12"/>
      <c r="Y3715" s="12"/>
      <c r="Z3715" s="12"/>
      <c r="AA3715" s="12"/>
      <c r="AB3715" s="12"/>
      <c r="AC3715" s="12"/>
      <c r="AD3715" s="12"/>
    </row>
    <row r="3716" spans="1:30" ht="15.75" thickBot="1" x14ac:dyDescent="0.3">
      <c r="A3716" s="12"/>
      <c r="B3716" s="12"/>
      <c r="C3716" s="12"/>
      <c r="D3716" s="3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2"/>
      <c r="W3716" s="12"/>
      <c r="X3716" s="12"/>
      <c r="Y3716" s="12"/>
      <c r="Z3716" s="12"/>
      <c r="AA3716" s="12"/>
      <c r="AB3716" s="12"/>
      <c r="AC3716" s="12"/>
      <c r="AD3716" s="12"/>
    </row>
    <row r="3717" spans="1:30" ht="15.75" thickBot="1" x14ac:dyDescent="0.3">
      <c r="A3717" s="12"/>
      <c r="B3717" s="12"/>
      <c r="C3717" s="12"/>
      <c r="D3717" s="3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2"/>
      <c r="W3717" s="12"/>
      <c r="X3717" s="12"/>
      <c r="Y3717" s="12"/>
      <c r="Z3717" s="12"/>
      <c r="AA3717" s="12"/>
      <c r="AB3717" s="12"/>
      <c r="AC3717" s="12"/>
      <c r="AD3717" s="12"/>
    </row>
    <row r="3718" spans="1:30" ht="15.75" thickBot="1" x14ac:dyDescent="0.3">
      <c r="A3718" s="12"/>
      <c r="B3718" s="12"/>
      <c r="C3718" s="12"/>
      <c r="D3718" s="3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2"/>
      <c r="W3718" s="12"/>
      <c r="X3718" s="12"/>
      <c r="Y3718" s="12"/>
      <c r="Z3718" s="12"/>
      <c r="AA3718" s="12"/>
      <c r="AB3718" s="12"/>
      <c r="AC3718" s="12"/>
      <c r="AD3718" s="12"/>
    </row>
    <row r="3719" spans="1:30" ht="15.75" thickBot="1" x14ac:dyDescent="0.3">
      <c r="A3719" s="12"/>
      <c r="B3719" s="12"/>
      <c r="C3719" s="12"/>
      <c r="D3719" s="3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2"/>
      <c r="W3719" s="12"/>
      <c r="X3719" s="12"/>
      <c r="Y3719" s="12"/>
      <c r="Z3719" s="12"/>
      <c r="AA3719" s="12"/>
      <c r="AB3719" s="12"/>
      <c r="AC3719" s="12"/>
      <c r="AD3719" s="12"/>
    </row>
    <row r="3720" spans="1:30" ht="15.75" thickBot="1" x14ac:dyDescent="0.3">
      <c r="A3720" s="12"/>
      <c r="B3720" s="12"/>
      <c r="C3720" s="12"/>
      <c r="D3720" s="3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2"/>
      <c r="W3720" s="12"/>
      <c r="X3720" s="12"/>
      <c r="Y3720" s="12"/>
      <c r="Z3720" s="12"/>
      <c r="AA3720" s="12"/>
      <c r="AB3720" s="12"/>
      <c r="AC3720" s="12"/>
      <c r="AD3720" s="12"/>
    </row>
    <row r="3721" spans="1:30" ht="15.75" thickBot="1" x14ac:dyDescent="0.3">
      <c r="A3721" s="12"/>
      <c r="B3721" s="12"/>
      <c r="C3721" s="12"/>
      <c r="D3721" s="3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2"/>
      <c r="W3721" s="12"/>
      <c r="X3721" s="12"/>
      <c r="Y3721" s="12"/>
      <c r="Z3721" s="12"/>
      <c r="AA3721" s="12"/>
      <c r="AB3721" s="12"/>
      <c r="AC3721" s="12"/>
      <c r="AD3721" s="12"/>
    </row>
    <row r="3722" spans="1:30" ht="15.75" thickBot="1" x14ac:dyDescent="0.3">
      <c r="A3722" s="12"/>
      <c r="B3722" s="12"/>
      <c r="C3722" s="12"/>
      <c r="D3722" s="3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2"/>
      <c r="W3722" s="12"/>
      <c r="X3722" s="12"/>
      <c r="Y3722" s="12"/>
      <c r="Z3722" s="12"/>
      <c r="AA3722" s="12"/>
      <c r="AB3722" s="12"/>
      <c r="AC3722" s="12"/>
      <c r="AD3722" s="12"/>
    </row>
    <row r="3723" spans="1:30" ht="15.75" thickBot="1" x14ac:dyDescent="0.3">
      <c r="A3723" s="12"/>
      <c r="B3723" s="12"/>
      <c r="C3723" s="12"/>
      <c r="D3723" s="3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2"/>
      <c r="W3723" s="12"/>
      <c r="X3723" s="12"/>
      <c r="Y3723" s="12"/>
      <c r="Z3723" s="12"/>
      <c r="AA3723" s="12"/>
      <c r="AB3723" s="12"/>
      <c r="AC3723" s="12"/>
      <c r="AD3723" s="12"/>
    </row>
    <row r="3724" spans="1:30" ht="15.75" thickBot="1" x14ac:dyDescent="0.3">
      <c r="A3724" s="12"/>
      <c r="B3724" s="12"/>
      <c r="C3724" s="12"/>
      <c r="D3724" s="3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2"/>
      <c r="W3724" s="12"/>
      <c r="X3724" s="12"/>
      <c r="Y3724" s="12"/>
      <c r="Z3724" s="12"/>
      <c r="AA3724" s="12"/>
      <c r="AB3724" s="12"/>
      <c r="AC3724" s="12"/>
      <c r="AD3724" s="12"/>
    </row>
    <row r="3725" spans="1:30" ht="15.75" thickBot="1" x14ac:dyDescent="0.3">
      <c r="A3725" s="12"/>
      <c r="B3725" s="12"/>
      <c r="C3725" s="12"/>
      <c r="D3725" s="3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2"/>
      <c r="W3725" s="12"/>
      <c r="X3725" s="12"/>
      <c r="Y3725" s="12"/>
      <c r="Z3725" s="12"/>
      <c r="AA3725" s="12"/>
      <c r="AB3725" s="12"/>
      <c r="AC3725" s="12"/>
      <c r="AD3725" s="12"/>
    </row>
    <row r="3726" spans="1:30" ht="15.75" thickBot="1" x14ac:dyDescent="0.3">
      <c r="A3726" s="12"/>
      <c r="B3726" s="12"/>
      <c r="C3726" s="12"/>
      <c r="D3726" s="3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2"/>
      <c r="W3726" s="12"/>
      <c r="X3726" s="12"/>
      <c r="Y3726" s="12"/>
      <c r="Z3726" s="12"/>
      <c r="AA3726" s="12"/>
      <c r="AB3726" s="12"/>
      <c r="AC3726" s="12"/>
      <c r="AD3726" s="12"/>
    </row>
    <row r="3727" spans="1:30" ht="15.75" thickBot="1" x14ac:dyDescent="0.3">
      <c r="A3727" s="12"/>
      <c r="B3727" s="12"/>
      <c r="C3727" s="12"/>
      <c r="D3727" s="3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2"/>
      <c r="W3727" s="12"/>
      <c r="X3727" s="12"/>
      <c r="Y3727" s="12"/>
      <c r="Z3727" s="12"/>
      <c r="AA3727" s="12"/>
      <c r="AB3727" s="12"/>
      <c r="AC3727" s="12"/>
      <c r="AD3727" s="12"/>
    </row>
    <row r="3728" spans="1:30" ht="15.75" thickBot="1" x14ac:dyDescent="0.3">
      <c r="A3728" s="12"/>
      <c r="B3728" s="12"/>
      <c r="C3728" s="12"/>
      <c r="D3728" s="3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2"/>
      <c r="W3728" s="12"/>
      <c r="X3728" s="12"/>
      <c r="Y3728" s="12"/>
      <c r="Z3728" s="12"/>
      <c r="AA3728" s="12"/>
      <c r="AB3728" s="12"/>
      <c r="AC3728" s="12"/>
      <c r="AD3728" s="12"/>
    </row>
    <row r="3729" spans="1:30" ht="15.75" thickBot="1" x14ac:dyDescent="0.3">
      <c r="A3729" s="12"/>
      <c r="B3729" s="12"/>
      <c r="C3729" s="12"/>
      <c r="D3729" s="3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2"/>
      <c r="W3729" s="12"/>
      <c r="X3729" s="12"/>
      <c r="Y3729" s="12"/>
      <c r="Z3729" s="12"/>
      <c r="AA3729" s="12"/>
      <c r="AB3729" s="12"/>
      <c r="AC3729" s="12"/>
      <c r="AD3729" s="12"/>
    </row>
    <row r="3730" spans="1:30" ht="15.75" thickBot="1" x14ac:dyDescent="0.3">
      <c r="A3730" s="12"/>
      <c r="B3730" s="12"/>
      <c r="C3730" s="12"/>
      <c r="D3730" s="3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2"/>
      <c r="W3730" s="12"/>
      <c r="X3730" s="12"/>
      <c r="Y3730" s="12"/>
      <c r="Z3730" s="12"/>
      <c r="AA3730" s="12"/>
      <c r="AB3730" s="12"/>
      <c r="AC3730" s="12"/>
      <c r="AD3730" s="12"/>
    </row>
    <row r="3731" spans="1:30" ht="15.75" thickBot="1" x14ac:dyDescent="0.3">
      <c r="A3731" s="12"/>
      <c r="B3731" s="12"/>
      <c r="C3731" s="12"/>
      <c r="D3731" s="3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2"/>
      <c r="W3731" s="12"/>
      <c r="X3731" s="12"/>
      <c r="Y3731" s="12"/>
      <c r="Z3731" s="12"/>
      <c r="AA3731" s="12"/>
      <c r="AB3731" s="12"/>
      <c r="AC3731" s="12"/>
      <c r="AD3731" s="12"/>
    </row>
    <row r="3732" spans="1:30" ht="15.75" thickBot="1" x14ac:dyDescent="0.3">
      <c r="A3732" s="12"/>
      <c r="B3732" s="12"/>
      <c r="C3732" s="12"/>
      <c r="D3732" s="3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2"/>
      <c r="W3732" s="12"/>
      <c r="X3732" s="12"/>
      <c r="Y3732" s="12"/>
      <c r="Z3732" s="12"/>
      <c r="AA3732" s="12"/>
      <c r="AB3732" s="12"/>
      <c r="AC3732" s="12"/>
      <c r="AD3732" s="12"/>
    </row>
    <row r="3733" spans="1:30" ht="15.75" thickBot="1" x14ac:dyDescent="0.3">
      <c r="A3733" s="12"/>
      <c r="B3733" s="12"/>
      <c r="C3733" s="12"/>
      <c r="D3733" s="3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2"/>
      <c r="W3733" s="12"/>
      <c r="X3733" s="12"/>
      <c r="Y3733" s="12"/>
      <c r="Z3733" s="12"/>
      <c r="AA3733" s="12"/>
      <c r="AB3733" s="12"/>
      <c r="AC3733" s="12"/>
      <c r="AD3733" s="12"/>
    </row>
    <row r="3734" spans="1:30" ht="15.75" thickBot="1" x14ac:dyDescent="0.3">
      <c r="A3734" s="12"/>
      <c r="B3734" s="12"/>
      <c r="C3734" s="12"/>
      <c r="D3734" s="3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2"/>
      <c r="W3734" s="12"/>
      <c r="X3734" s="12"/>
      <c r="Y3734" s="12"/>
      <c r="Z3734" s="12"/>
      <c r="AA3734" s="12"/>
      <c r="AB3734" s="12"/>
      <c r="AC3734" s="12"/>
      <c r="AD3734" s="12"/>
    </row>
    <row r="3735" spans="1:30" ht="15.75" thickBot="1" x14ac:dyDescent="0.3">
      <c r="A3735" s="12"/>
      <c r="B3735" s="12"/>
      <c r="C3735" s="12"/>
      <c r="D3735" s="3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2"/>
      <c r="W3735" s="12"/>
      <c r="X3735" s="12"/>
      <c r="Y3735" s="12"/>
      <c r="Z3735" s="12"/>
      <c r="AA3735" s="12"/>
      <c r="AB3735" s="12"/>
      <c r="AC3735" s="12"/>
      <c r="AD3735" s="12"/>
    </row>
    <row r="3736" spans="1:30" ht="15.75" thickBot="1" x14ac:dyDescent="0.3">
      <c r="A3736" s="12"/>
      <c r="B3736" s="12"/>
      <c r="C3736" s="12"/>
      <c r="D3736" s="3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2"/>
      <c r="W3736" s="12"/>
      <c r="X3736" s="12"/>
      <c r="Y3736" s="12"/>
      <c r="Z3736" s="12"/>
      <c r="AA3736" s="12"/>
      <c r="AB3736" s="12"/>
      <c r="AC3736" s="12"/>
      <c r="AD3736" s="12"/>
    </row>
    <row r="3737" spans="1:30" ht="15.75" thickBot="1" x14ac:dyDescent="0.3">
      <c r="A3737" s="12"/>
      <c r="B3737" s="12"/>
      <c r="C3737" s="12"/>
      <c r="D3737" s="3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2"/>
      <c r="W3737" s="12"/>
      <c r="X3737" s="12"/>
      <c r="Y3737" s="12"/>
      <c r="Z3737" s="12"/>
      <c r="AA3737" s="12"/>
      <c r="AB3737" s="12"/>
      <c r="AC3737" s="12"/>
      <c r="AD3737" s="12"/>
    </row>
    <row r="3738" spans="1:30" ht="15.75" thickBot="1" x14ac:dyDescent="0.3">
      <c r="A3738" s="12"/>
      <c r="B3738" s="12"/>
      <c r="C3738" s="12"/>
      <c r="D3738" s="3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2"/>
      <c r="W3738" s="12"/>
      <c r="X3738" s="12"/>
      <c r="Y3738" s="12"/>
      <c r="Z3738" s="12"/>
      <c r="AA3738" s="12"/>
      <c r="AB3738" s="12"/>
      <c r="AC3738" s="12"/>
      <c r="AD3738" s="12"/>
    </row>
    <row r="3739" spans="1:30" ht="15.75" thickBot="1" x14ac:dyDescent="0.3">
      <c r="A3739" s="12"/>
      <c r="B3739" s="12"/>
      <c r="C3739" s="12"/>
      <c r="D3739" s="3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2"/>
      <c r="W3739" s="12"/>
      <c r="X3739" s="12"/>
      <c r="Y3739" s="12"/>
      <c r="Z3739" s="12"/>
      <c r="AA3739" s="12"/>
      <c r="AB3739" s="12"/>
      <c r="AC3739" s="12"/>
      <c r="AD3739" s="12"/>
    </row>
    <row r="3740" spans="1:30" ht="15.75" thickBot="1" x14ac:dyDescent="0.3">
      <c r="A3740" s="12"/>
      <c r="B3740" s="12"/>
      <c r="C3740" s="12"/>
      <c r="D3740" s="3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2"/>
      <c r="W3740" s="12"/>
      <c r="X3740" s="12"/>
      <c r="Y3740" s="12"/>
      <c r="Z3740" s="12"/>
      <c r="AA3740" s="12"/>
      <c r="AB3740" s="12"/>
      <c r="AC3740" s="12"/>
      <c r="AD3740" s="12"/>
    </row>
    <row r="3741" spans="1:30" ht="15.75" thickBot="1" x14ac:dyDescent="0.3">
      <c r="A3741" s="12"/>
      <c r="B3741" s="12"/>
      <c r="C3741" s="12"/>
      <c r="D3741" s="3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2"/>
      <c r="W3741" s="12"/>
      <c r="X3741" s="12"/>
      <c r="Y3741" s="12"/>
      <c r="Z3741" s="12"/>
      <c r="AA3741" s="12"/>
      <c r="AB3741" s="12"/>
      <c r="AC3741" s="12"/>
      <c r="AD3741" s="12"/>
    </row>
    <row r="3742" spans="1:30" ht="15.75" thickBot="1" x14ac:dyDescent="0.3">
      <c r="A3742" s="12"/>
      <c r="B3742" s="12"/>
      <c r="C3742" s="12"/>
      <c r="D3742" s="3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2"/>
      <c r="W3742" s="12"/>
      <c r="X3742" s="12"/>
      <c r="Y3742" s="12"/>
      <c r="Z3742" s="12"/>
      <c r="AA3742" s="12"/>
      <c r="AB3742" s="12"/>
      <c r="AC3742" s="12"/>
      <c r="AD3742" s="12"/>
    </row>
    <row r="3743" spans="1:30" ht="15.75" thickBot="1" x14ac:dyDescent="0.3">
      <c r="A3743" s="12"/>
      <c r="B3743" s="12"/>
      <c r="C3743" s="12"/>
      <c r="D3743" s="3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2"/>
      <c r="W3743" s="12"/>
      <c r="X3743" s="12"/>
      <c r="Y3743" s="12"/>
      <c r="Z3743" s="12"/>
      <c r="AA3743" s="12"/>
      <c r="AB3743" s="12"/>
      <c r="AC3743" s="12"/>
      <c r="AD3743" s="12"/>
    </row>
    <row r="3744" spans="1:30" ht="15.75" thickBot="1" x14ac:dyDescent="0.3">
      <c r="A3744" s="12"/>
      <c r="B3744" s="12"/>
      <c r="C3744" s="12"/>
      <c r="D3744" s="3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2"/>
      <c r="W3744" s="12"/>
      <c r="X3744" s="12"/>
      <c r="Y3744" s="12"/>
      <c r="Z3744" s="12"/>
      <c r="AA3744" s="12"/>
      <c r="AB3744" s="12"/>
      <c r="AC3744" s="12"/>
      <c r="AD3744" s="12"/>
    </row>
    <row r="3745" spans="1:30" ht="15.75" thickBot="1" x14ac:dyDescent="0.3">
      <c r="A3745" s="12"/>
      <c r="B3745" s="12"/>
      <c r="C3745" s="12"/>
      <c r="D3745" s="3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2"/>
      <c r="W3745" s="12"/>
      <c r="X3745" s="12"/>
      <c r="Y3745" s="12"/>
      <c r="Z3745" s="12"/>
      <c r="AA3745" s="12"/>
      <c r="AB3745" s="12"/>
      <c r="AC3745" s="12"/>
      <c r="AD3745" s="12"/>
    </row>
    <row r="3746" spans="1:30" ht="15.75" thickBot="1" x14ac:dyDescent="0.3">
      <c r="A3746" s="12"/>
      <c r="B3746" s="12"/>
      <c r="C3746" s="12"/>
      <c r="D3746" s="3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2"/>
      <c r="W3746" s="12"/>
      <c r="X3746" s="12"/>
      <c r="Y3746" s="12"/>
      <c r="Z3746" s="12"/>
      <c r="AA3746" s="12"/>
      <c r="AB3746" s="12"/>
      <c r="AC3746" s="12"/>
      <c r="AD3746" s="12"/>
    </row>
    <row r="3747" spans="1:30" ht="15.75" thickBot="1" x14ac:dyDescent="0.3">
      <c r="A3747" s="12"/>
      <c r="B3747" s="12"/>
      <c r="C3747" s="12"/>
      <c r="D3747" s="3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2"/>
      <c r="W3747" s="12"/>
      <c r="X3747" s="12"/>
      <c r="Y3747" s="12"/>
      <c r="Z3747" s="12"/>
      <c r="AA3747" s="12"/>
      <c r="AB3747" s="12"/>
      <c r="AC3747" s="12"/>
      <c r="AD3747" s="12"/>
    </row>
    <row r="3748" spans="1:30" ht="15.75" thickBot="1" x14ac:dyDescent="0.3">
      <c r="A3748" s="12"/>
      <c r="B3748" s="12"/>
      <c r="C3748" s="12"/>
      <c r="D3748" s="3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2"/>
      <c r="W3748" s="12"/>
      <c r="X3748" s="12"/>
      <c r="Y3748" s="12"/>
      <c r="Z3748" s="12"/>
      <c r="AA3748" s="12"/>
      <c r="AB3748" s="12"/>
      <c r="AC3748" s="12"/>
      <c r="AD3748" s="12"/>
    </row>
    <row r="3749" spans="1:30" ht="15.75" thickBot="1" x14ac:dyDescent="0.3">
      <c r="A3749" s="12"/>
      <c r="B3749" s="12"/>
      <c r="C3749" s="12"/>
      <c r="D3749" s="3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2"/>
      <c r="W3749" s="12"/>
      <c r="X3749" s="12"/>
      <c r="Y3749" s="12"/>
      <c r="Z3749" s="12"/>
      <c r="AA3749" s="12"/>
      <c r="AB3749" s="12"/>
      <c r="AC3749" s="12"/>
      <c r="AD3749" s="12"/>
    </row>
    <row r="3750" spans="1:30" ht="15.75" thickBot="1" x14ac:dyDescent="0.3">
      <c r="A3750" s="12"/>
      <c r="B3750" s="12"/>
      <c r="C3750" s="12"/>
      <c r="D3750" s="3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2"/>
      <c r="W3750" s="12"/>
      <c r="X3750" s="12"/>
      <c r="Y3750" s="12"/>
      <c r="Z3750" s="12"/>
      <c r="AA3750" s="12"/>
      <c r="AB3750" s="12"/>
      <c r="AC3750" s="12"/>
      <c r="AD3750" s="12"/>
    </row>
    <row r="3751" spans="1:30" ht="15.75" thickBot="1" x14ac:dyDescent="0.3">
      <c r="A3751" s="12"/>
      <c r="B3751" s="12"/>
      <c r="C3751" s="12"/>
      <c r="D3751" s="3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2"/>
      <c r="W3751" s="12"/>
      <c r="X3751" s="12"/>
      <c r="Y3751" s="12"/>
      <c r="Z3751" s="12"/>
      <c r="AA3751" s="12"/>
      <c r="AB3751" s="12"/>
      <c r="AC3751" s="12"/>
      <c r="AD3751" s="12"/>
    </row>
    <row r="3752" spans="1:30" ht="15.75" thickBot="1" x14ac:dyDescent="0.3">
      <c r="A3752" s="12"/>
      <c r="B3752" s="12"/>
      <c r="C3752" s="12"/>
      <c r="D3752" s="3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2"/>
      <c r="W3752" s="12"/>
      <c r="X3752" s="12"/>
      <c r="Y3752" s="12"/>
      <c r="Z3752" s="12"/>
      <c r="AA3752" s="12"/>
      <c r="AB3752" s="12"/>
      <c r="AC3752" s="12"/>
      <c r="AD3752" s="12"/>
    </row>
    <row r="3753" spans="1:30" ht="15.75" thickBot="1" x14ac:dyDescent="0.3">
      <c r="A3753" s="12"/>
      <c r="B3753" s="12"/>
      <c r="C3753" s="12"/>
      <c r="D3753" s="3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2"/>
      <c r="W3753" s="12"/>
      <c r="X3753" s="12"/>
      <c r="Y3753" s="12"/>
      <c r="Z3753" s="12"/>
      <c r="AA3753" s="12"/>
      <c r="AB3753" s="12"/>
      <c r="AC3753" s="12"/>
      <c r="AD3753" s="12"/>
    </row>
    <row r="3754" spans="1:30" ht="15.75" thickBot="1" x14ac:dyDescent="0.3">
      <c r="A3754" s="12"/>
      <c r="B3754" s="12"/>
      <c r="C3754" s="12"/>
      <c r="D3754" s="3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2"/>
      <c r="W3754" s="12"/>
      <c r="X3754" s="12"/>
      <c r="Y3754" s="12"/>
      <c r="Z3754" s="12"/>
      <c r="AA3754" s="12"/>
      <c r="AB3754" s="12"/>
      <c r="AC3754" s="12"/>
      <c r="AD3754" s="12"/>
    </row>
    <row r="3755" spans="1:30" ht="15.75" thickBot="1" x14ac:dyDescent="0.3">
      <c r="A3755" s="12"/>
      <c r="B3755" s="12"/>
      <c r="C3755" s="12"/>
      <c r="D3755" s="3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2"/>
      <c r="W3755" s="12"/>
      <c r="X3755" s="12"/>
      <c r="Y3755" s="12"/>
      <c r="Z3755" s="12"/>
      <c r="AA3755" s="12"/>
      <c r="AB3755" s="12"/>
      <c r="AC3755" s="12"/>
      <c r="AD3755" s="12"/>
    </row>
    <row r="3756" spans="1:30" ht="15.75" thickBot="1" x14ac:dyDescent="0.3">
      <c r="A3756" s="12"/>
      <c r="B3756" s="12"/>
      <c r="C3756" s="12"/>
      <c r="D3756" s="3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2"/>
      <c r="W3756" s="12"/>
      <c r="X3756" s="12"/>
      <c r="Y3756" s="12"/>
      <c r="Z3756" s="12"/>
      <c r="AA3756" s="12"/>
      <c r="AB3756" s="12"/>
      <c r="AC3756" s="12"/>
      <c r="AD3756" s="12"/>
    </row>
    <row r="3757" spans="1:30" ht="15.75" thickBot="1" x14ac:dyDescent="0.3">
      <c r="A3757" s="12"/>
      <c r="B3757" s="12"/>
      <c r="C3757" s="12"/>
      <c r="D3757" s="3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2"/>
      <c r="W3757" s="12"/>
      <c r="X3757" s="12"/>
      <c r="Y3757" s="12"/>
      <c r="Z3757" s="12"/>
      <c r="AA3757" s="12"/>
      <c r="AB3757" s="12"/>
      <c r="AC3757" s="12"/>
      <c r="AD3757" s="12"/>
    </row>
    <row r="3758" spans="1:30" ht="15.75" thickBot="1" x14ac:dyDescent="0.3">
      <c r="A3758" s="12"/>
      <c r="B3758" s="12"/>
      <c r="C3758" s="12"/>
      <c r="D3758" s="3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2"/>
      <c r="W3758" s="12"/>
      <c r="X3758" s="12"/>
      <c r="Y3758" s="12"/>
      <c r="Z3758" s="12"/>
      <c r="AA3758" s="12"/>
      <c r="AB3758" s="12"/>
      <c r="AC3758" s="12"/>
      <c r="AD3758" s="12"/>
    </row>
    <row r="3759" spans="1:30" ht="15.75" thickBot="1" x14ac:dyDescent="0.3">
      <c r="A3759" s="12"/>
      <c r="B3759" s="12"/>
      <c r="C3759" s="12"/>
      <c r="D3759" s="3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2"/>
      <c r="W3759" s="12"/>
      <c r="X3759" s="12"/>
      <c r="Y3759" s="12"/>
      <c r="Z3759" s="12"/>
      <c r="AA3759" s="12"/>
      <c r="AB3759" s="12"/>
      <c r="AC3759" s="12"/>
      <c r="AD3759" s="12"/>
    </row>
    <row r="3760" spans="1:30" ht="15.75" thickBot="1" x14ac:dyDescent="0.3">
      <c r="A3760" s="12"/>
      <c r="B3760" s="12"/>
      <c r="C3760" s="12"/>
      <c r="D3760" s="3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2"/>
      <c r="W3760" s="12"/>
      <c r="X3760" s="12"/>
      <c r="Y3760" s="12"/>
      <c r="Z3760" s="12"/>
      <c r="AA3760" s="12"/>
      <c r="AB3760" s="12"/>
      <c r="AC3760" s="12"/>
      <c r="AD3760" s="12"/>
    </row>
    <row r="3761" spans="1:30" ht="15.75" thickBot="1" x14ac:dyDescent="0.3">
      <c r="A3761" s="12"/>
      <c r="B3761" s="12"/>
      <c r="C3761" s="12"/>
      <c r="D3761" s="3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2"/>
      <c r="W3761" s="12"/>
      <c r="X3761" s="12"/>
      <c r="Y3761" s="12"/>
      <c r="Z3761" s="12"/>
      <c r="AA3761" s="12"/>
      <c r="AB3761" s="12"/>
      <c r="AC3761" s="12"/>
      <c r="AD3761" s="12"/>
    </row>
    <row r="3762" spans="1:30" ht="15.75" thickBot="1" x14ac:dyDescent="0.3">
      <c r="A3762" s="12"/>
      <c r="B3762" s="12"/>
      <c r="C3762" s="12"/>
      <c r="D3762" s="3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2"/>
      <c r="W3762" s="12"/>
      <c r="X3762" s="12"/>
      <c r="Y3762" s="12"/>
      <c r="Z3762" s="12"/>
      <c r="AA3762" s="12"/>
      <c r="AB3762" s="12"/>
      <c r="AC3762" s="12"/>
      <c r="AD3762" s="12"/>
    </row>
    <row r="3763" spans="1:30" ht="15.75" thickBot="1" x14ac:dyDescent="0.3">
      <c r="A3763" s="12"/>
      <c r="B3763" s="12"/>
      <c r="C3763" s="12"/>
      <c r="D3763" s="3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2"/>
      <c r="W3763" s="12"/>
      <c r="X3763" s="12"/>
      <c r="Y3763" s="12"/>
      <c r="Z3763" s="12"/>
      <c r="AA3763" s="12"/>
      <c r="AB3763" s="12"/>
      <c r="AC3763" s="12"/>
      <c r="AD3763" s="12"/>
    </row>
    <row r="3764" spans="1:30" ht="15.75" thickBot="1" x14ac:dyDescent="0.3">
      <c r="A3764" s="12"/>
      <c r="B3764" s="12"/>
      <c r="C3764" s="12"/>
      <c r="D3764" s="3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2"/>
      <c r="W3764" s="12"/>
      <c r="X3764" s="12"/>
      <c r="Y3764" s="12"/>
      <c r="Z3764" s="12"/>
      <c r="AA3764" s="12"/>
      <c r="AB3764" s="12"/>
      <c r="AC3764" s="12"/>
      <c r="AD3764" s="12"/>
    </row>
    <row r="3765" spans="1:30" ht="15.75" thickBot="1" x14ac:dyDescent="0.3">
      <c r="A3765" s="12"/>
      <c r="B3765" s="12"/>
      <c r="C3765" s="12"/>
      <c r="D3765" s="3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2"/>
      <c r="W3765" s="12"/>
      <c r="X3765" s="12"/>
      <c r="Y3765" s="12"/>
      <c r="Z3765" s="12"/>
      <c r="AA3765" s="12"/>
      <c r="AB3765" s="12"/>
      <c r="AC3765" s="12"/>
      <c r="AD3765" s="12"/>
    </row>
    <row r="3766" spans="1:30" ht="15.75" thickBot="1" x14ac:dyDescent="0.3">
      <c r="A3766" s="12"/>
      <c r="B3766" s="12"/>
      <c r="C3766" s="12"/>
      <c r="D3766" s="3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2"/>
      <c r="W3766" s="12"/>
      <c r="X3766" s="12"/>
      <c r="Y3766" s="12"/>
      <c r="Z3766" s="12"/>
      <c r="AA3766" s="12"/>
      <c r="AB3766" s="12"/>
      <c r="AC3766" s="12"/>
      <c r="AD3766" s="12"/>
    </row>
    <row r="3767" spans="1:30" ht="15.75" thickBot="1" x14ac:dyDescent="0.3">
      <c r="A3767" s="12"/>
      <c r="B3767" s="12"/>
      <c r="C3767" s="12"/>
      <c r="D3767" s="3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2"/>
      <c r="W3767" s="12"/>
      <c r="X3767" s="12"/>
      <c r="Y3767" s="12"/>
      <c r="Z3767" s="12"/>
      <c r="AA3767" s="12"/>
      <c r="AB3767" s="12"/>
      <c r="AC3767" s="12"/>
      <c r="AD3767" s="12"/>
    </row>
    <row r="3768" spans="1:30" ht="15.75" thickBot="1" x14ac:dyDescent="0.3">
      <c r="A3768" s="12"/>
      <c r="B3768" s="12"/>
      <c r="C3768" s="12"/>
      <c r="D3768" s="3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2"/>
      <c r="W3768" s="12"/>
      <c r="X3768" s="12"/>
      <c r="Y3768" s="12"/>
      <c r="Z3768" s="12"/>
      <c r="AA3768" s="12"/>
      <c r="AB3768" s="12"/>
      <c r="AC3768" s="12"/>
      <c r="AD3768" s="12"/>
    </row>
    <row r="3769" spans="1:30" ht="15.75" thickBot="1" x14ac:dyDescent="0.3">
      <c r="A3769" s="12"/>
      <c r="B3769" s="12"/>
      <c r="C3769" s="12"/>
      <c r="D3769" s="3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2"/>
      <c r="W3769" s="12"/>
      <c r="X3769" s="12"/>
      <c r="Y3769" s="12"/>
      <c r="Z3769" s="12"/>
      <c r="AA3769" s="12"/>
      <c r="AB3769" s="12"/>
      <c r="AC3769" s="12"/>
      <c r="AD3769" s="12"/>
    </row>
    <row r="3770" spans="1:30" ht="15.75" thickBot="1" x14ac:dyDescent="0.3">
      <c r="A3770" s="12"/>
      <c r="B3770" s="12"/>
      <c r="C3770" s="12"/>
      <c r="D3770" s="3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2"/>
      <c r="W3770" s="12"/>
      <c r="X3770" s="12"/>
      <c r="Y3770" s="12"/>
      <c r="Z3770" s="12"/>
      <c r="AA3770" s="12"/>
      <c r="AB3770" s="12"/>
      <c r="AC3770" s="12"/>
      <c r="AD3770" s="12"/>
    </row>
    <row r="3771" spans="1:30" ht="15.75" thickBot="1" x14ac:dyDescent="0.3">
      <c r="A3771" s="12"/>
      <c r="B3771" s="12"/>
      <c r="C3771" s="12"/>
      <c r="D3771" s="3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2"/>
      <c r="W3771" s="12"/>
      <c r="X3771" s="12"/>
      <c r="Y3771" s="12"/>
      <c r="Z3771" s="12"/>
      <c r="AA3771" s="12"/>
      <c r="AB3771" s="12"/>
      <c r="AC3771" s="12"/>
      <c r="AD3771" s="12"/>
    </row>
    <row r="3772" spans="1:30" ht="15.75" thickBot="1" x14ac:dyDescent="0.3">
      <c r="A3772" s="12"/>
      <c r="B3772" s="12"/>
      <c r="C3772" s="12"/>
      <c r="D3772" s="3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2"/>
      <c r="W3772" s="12"/>
      <c r="X3772" s="12"/>
      <c r="Y3772" s="12"/>
      <c r="Z3772" s="12"/>
      <c r="AA3772" s="12"/>
      <c r="AB3772" s="12"/>
      <c r="AC3772" s="12"/>
      <c r="AD3772" s="12"/>
    </row>
    <row r="3773" spans="1:30" ht="15.75" thickBot="1" x14ac:dyDescent="0.3">
      <c r="A3773" s="12"/>
      <c r="B3773" s="12"/>
      <c r="C3773" s="12"/>
      <c r="D3773" s="3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2"/>
      <c r="W3773" s="12"/>
      <c r="X3773" s="12"/>
      <c r="Y3773" s="12"/>
      <c r="Z3773" s="12"/>
      <c r="AA3773" s="12"/>
      <c r="AB3773" s="12"/>
      <c r="AC3773" s="12"/>
      <c r="AD3773" s="12"/>
    </row>
    <row r="3774" spans="1:30" ht="15.75" thickBot="1" x14ac:dyDescent="0.3">
      <c r="A3774" s="12"/>
      <c r="B3774" s="12"/>
      <c r="C3774" s="12"/>
      <c r="D3774" s="3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2"/>
      <c r="W3774" s="12"/>
      <c r="X3774" s="12"/>
      <c r="Y3774" s="12"/>
      <c r="Z3774" s="12"/>
      <c r="AA3774" s="12"/>
      <c r="AB3774" s="12"/>
      <c r="AC3774" s="12"/>
      <c r="AD3774" s="12"/>
    </row>
    <row r="3775" spans="1:30" ht="15.75" thickBot="1" x14ac:dyDescent="0.3">
      <c r="A3775" s="12"/>
      <c r="B3775" s="12"/>
      <c r="C3775" s="12"/>
      <c r="D3775" s="3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2"/>
      <c r="W3775" s="12"/>
      <c r="X3775" s="12"/>
      <c r="Y3775" s="12"/>
      <c r="Z3775" s="12"/>
      <c r="AA3775" s="12"/>
      <c r="AB3775" s="12"/>
      <c r="AC3775" s="12"/>
      <c r="AD3775" s="12"/>
    </row>
    <row r="3776" spans="1:30" ht="15.75" thickBot="1" x14ac:dyDescent="0.3">
      <c r="A3776" s="12"/>
      <c r="B3776" s="12"/>
      <c r="C3776" s="12"/>
      <c r="D3776" s="3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2"/>
      <c r="W3776" s="12"/>
      <c r="X3776" s="12"/>
      <c r="Y3776" s="12"/>
      <c r="Z3776" s="12"/>
      <c r="AA3776" s="12"/>
      <c r="AB3776" s="12"/>
      <c r="AC3776" s="12"/>
      <c r="AD3776" s="12"/>
    </row>
    <row r="3777" spans="1:30" ht="15.75" thickBot="1" x14ac:dyDescent="0.3">
      <c r="A3777" s="12"/>
      <c r="B3777" s="12"/>
      <c r="C3777" s="12"/>
      <c r="D3777" s="3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2"/>
      <c r="W3777" s="12"/>
      <c r="X3777" s="12"/>
      <c r="Y3777" s="12"/>
      <c r="Z3777" s="12"/>
      <c r="AA3777" s="12"/>
      <c r="AB3777" s="12"/>
      <c r="AC3777" s="12"/>
      <c r="AD3777" s="12"/>
    </row>
    <row r="3778" spans="1:30" ht="15.75" thickBot="1" x14ac:dyDescent="0.3">
      <c r="A3778" s="12"/>
      <c r="B3778" s="12"/>
      <c r="C3778" s="12"/>
      <c r="D3778" s="3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2"/>
      <c r="W3778" s="12"/>
      <c r="X3778" s="12"/>
      <c r="Y3778" s="12"/>
      <c r="Z3778" s="12"/>
      <c r="AA3778" s="12"/>
      <c r="AB3778" s="12"/>
      <c r="AC3778" s="12"/>
      <c r="AD3778" s="12"/>
    </row>
    <row r="3779" spans="1:30" ht="15.75" thickBot="1" x14ac:dyDescent="0.3">
      <c r="A3779" s="12"/>
      <c r="B3779" s="12"/>
      <c r="C3779" s="12"/>
      <c r="D3779" s="3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2"/>
      <c r="W3779" s="12"/>
      <c r="X3779" s="12"/>
      <c r="Y3779" s="12"/>
      <c r="Z3779" s="12"/>
      <c r="AA3779" s="12"/>
      <c r="AB3779" s="12"/>
      <c r="AC3779" s="12"/>
      <c r="AD3779" s="12"/>
    </row>
    <row r="3780" spans="1:30" ht="15.75" thickBot="1" x14ac:dyDescent="0.3">
      <c r="A3780" s="12"/>
      <c r="B3780" s="12"/>
      <c r="C3780" s="12"/>
      <c r="D3780" s="3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2"/>
      <c r="W3780" s="12"/>
      <c r="X3780" s="12"/>
      <c r="Y3780" s="12"/>
      <c r="Z3780" s="12"/>
      <c r="AA3780" s="12"/>
      <c r="AB3780" s="12"/>
      <c r="AC3780" s="12"/>
      <c r="AD3780" s="12"/>
    </row>
    <row r="3781" spans="1:30" ht="15.75" thickBot="1" x14ac:dyDescent="0.3">
      <c r="A3781" s="12"/>
      <c r="B3781" s="12"/>
      <c r="C3781" s="12"/>
      <c r="D3781" s="3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2"/>
      <c r="W3781" s="12"/>
      <c r="X3781" s="12"/>
      <c r="Y3781" s="12"/>
      <c r="Z3781" s="12"/>
      <c r="AA3781" s="12"/>
      <c r="AB3781" s="12"/>
      <c r="AC3781" s="12"/>
      <c r="AD3781" s="12"/>
    </row>
    <row r="3782" spans="1:30" ht="15.75" thickBot="1" x14ac:dyDescent="0.3">
      <c r="A3782" s="12"/>
      <c r="B3782" s="12"/>
      <c r="C3782" s="12"/>
      <c r="D3782" s="3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2"/>
      <c r="W3782" s="12"/>
      <c r="X3782" s="12"/>
      <c r="Y3782" s="12"/>
      <c r="Z3782" s="12"/>
      <c r="AA3782" s="12"/>
      <c r="AB3782" s="12"/>
      <c r="AC3782" s="12"/>
      <c r="AD3782" s="12"/>
    </row>
    <row r="3783" spans="1:30" ht="15.75" thickBot="1" x14ac:dyDescent="0.3">
      <c r="A3783" s="12"/>
      <c r="B3783" s="12"/>
      <c r="C3783" s="12"/>
      <c r="D3783" s="3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2"/>
      <c r="W3783" s="12"/>
      <c r="X3783" s="12"/>
      <c r="Y3783" s="12"/>
      <c r="Z3783" s="12"/>
      <c r="AA3783" s="12"/>
      <c r="AB3783" s="12"/>
      <c r="AC3783" s="12"/>
      <c r="AD3783" s="12"/>
    </row>
    <row r="3784" spans="1:30" ht="15.75" thickBot="1" x14ac:dyDescent="0.3">
      <c r="A3784" s="12"/>
      <c r="B3784" s="12"/>
      <c r="C3784" s="12"/>
      <c r="D3784" s="3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2"/>
      <c r="W3784" s="12"/>
      <c r="X3784" s="12"/>
      <c r="Y3784" s="12"/>
      <c r="Z3784" s="12"/>
      <c r="AA3784" s="12"/>
      <c r="AB3784" s="12"/>
      <c r="AC3784" s="12"/>
      <c r="AD3784" s="12"/>
    </row>
    <row r="3785" spans="1:30" ht="15.75" thickBot="1" x14ac:dyDescent="0.3">
      <c r="A3785" s="12"/>
      <c r="B3785" s="12"/>
      <c r="C3785" s="12"/>
      <c r="D3785" s="3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2"/>
      <c r="W3785" s="12"/>
      <c r="X3785" s="12"/>
      <c r="Y3785" s="12"/>
      <c r="Z3785" s="12"/>
      <c r="AA3785" s="12"/>
      <c r="AB3785" s="12"/>
      <c r="AC3785" s="12"/>
      <c r="AD3785" s="12"/>
    </row>
    <row r="3786" spans="1:30" ht="15.75" thickBot="1" x14ac:dyDescent="0.3">
      <c r="A3786" s="12"/>
      <c r="B3786" s="12"/>
      <c r="C3786" s="12"/>
      <c r="D3786" s="3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2"/>
      <c r="W3786" s="12"/>
      <c r="X3786" s="12"/>
      <c r="Y3786" s="12"/>
      <c r="Z3786" s="12"/>
      <c r="AA3786" s="12"/>
      <c r="AB3786" s="12"/>
      <c r="AC3786" s="12"/>
      <c r="AD3786" s="12"/>
    </row>
    <row r="3787" spans="1:30" ht="15.75" thickBot="1" x14ac:dyDescent="0.3">
      <c r="A3787" s="12"/>
      <c r="B3787" s="12"/>
      <c r="C3787" s="12"/>
      <c r="D3787" s="3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2"/>
      <c r="W3787" s="12"/>
      <c r="X3787" s="12"/>
      <c r="Y3787" s="12"/>
      <c r="Z3787" s="12"/>
      <c r="AA3787" s="12"/>
      <c r="AB3787" s="12"/>
      <c r="AC3787" s="12"/>
      <c r="AD3787" s="12"/>
    </row>
    <row r="3788" spans="1:30" ht="15.75" thickBot="1" x14ac:dyDescent="0.3">
      <c r="A3788" s="12"/>
      <c r="B3788" s="12"/>
      <c r="C3788" s="12"/>
      <c r="D3788" s="3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2"/>
      <c r="W3788" s="12"/>
      <c r="X3788" s="12"/>
      <c r="Y3788" s="12"/>
      <c r="Z3788" s="12"/>
      <c r="AA3788" s="12"/>
      <c r="AB3788" s="12"/>
      <c r="AC3788" s="12"/>
      <c r="AD3788" s="12"/>
    </row>
    <row r="3789" spans="1:30" ht="15.75" thickBot="1" x14ac:dyDescent="0.3">
      <c r="A3789" s="12"/>
      <c r="B3789" s="12"/>
      <c r="C3789" s="12"/>
      <c r="D3789" s="3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2"/>
      <c r="W3789" s="12"/>
      <c r="X3789" s="12"/>
      <c r="Y3789" s="12"/>
      <c r="Z3789" s="12"/>
      <c r="AA3789" s="12"/>
      <c r="AB3789" s="12"/>
      <c r="AC3789" s="12"/>
      <c r="AD3789" s="12"/>
    </row>
    <row r="3790" spans="1:30" ht="15.75" thickBot="1" x14ac:dyDescent="0.3">
      <c r="A3790" s="12"/>
      <c r="B3790" s="12"/>
      <c r="C3790" s="12"/>
      <c r="D3790" s="3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2"/>
      <c r="W3790" s="12"/>
      <c r="X3790" s="12"/>
      <c r="Y3790" s="12"/>
      <c r="Z3790" s="12"/>
      <c r="AA3790" s="12"/>
      <c r="AB3790" s="12"/>
      <c r="AC3790" s="12"/>
      <c r="AD3790" s="12"/>
    </row>
    <row r="3791" spans="1:30" ht="15.75" thickBot="1" x14ac:dyDescent="0.3">
      <c r="A3791" s="12"/>
      <c r="B3791" s="12"/>
      <c r="C3791" s="12"/>
      <c r="D3791" s="3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2"/>
      <c r="W3791" s="12"/>
      <c r="X3791" s="12"/>
      <c r="Y3791" s="12"/>
      <c r="Z3791" s="12"/>
      <c r="AA3791" s="12"/>
      <c r="AB3791" s="12"/>
      <c r="AC3791" s="12"/>
      <c r="AD3791" s="12"/>
    </row>
    <row r="3792" spans="1:30" ht="15.75" thickBot="1" x14ac:dyDescent="0.3">
      <c r="A3792" s="12"/>
      <c r="B3792" s="12"/>
      <c r="C3792" s="12"/>
      <c r="D3792" s="3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2"/>
      <c r="W3792" s="12"/>
      <c r="X3792" s="12"/>
      <c r="Y3792" s="12"/>
      <c r="Z3792" s="12"/>
      <c r="AA3792" s="12"/>
      <c r="AB3792" s="12"/>
      <c r="AC3792" s="12"/>
      <c r="AD3792" s="12"/>
    </row>
    <row r="3793" spans="1:30" ht="15.75" thickBot="1" x14ac:dyDescent="0.3">
      <c r="A3793" s="12"/>
      <c r="B3793" s="12"/>
      <c r="C3793" s="12"/>
      <c r="D3793" s="3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2"/>
      <c r="W3793" s="12"/>
      <c r="X3793" s="12"/>
      <c r="Y3793" s="12"/>
      <c r="Z3793" s="12"/>
      <c r="AA3793" s="12"/>
      <c r="AB3793" s="12"/>
      <c r="AC3793" s="12"/>
      <c r="AD3793" s="12"/>
    </row>
    <row r="3794" spans="1:30" ht="15.75" thickBot="1" x14ac:dyDescent="0.3">
      <c r="A3794" s="12"/>
      <c r="B3794" s="12"/>
      <c r="C3794" s="12"/>
      <c r="D3794" s="3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2"/>
      <c r="W3794" s="12"/>
      <c r="X3794" s="12"/>
      <c r="Y3794" s="12"/>
      <c r="Z3794" s="12"/>
      <c r="AA3794" s="12"/>
      <c r="AB3794" s="12"/>
      <c r="AC3794" s="12"/>
      <c r="AD3794" s="12"/>
    </row>
    <row r="3795" spans="1:30" ht="15.75" thickBot="1" x14ac:dyDescent="0.3">
      <c r="A3795" s="12"/>
      <c r="B3795" s="12"/>
      <c r="C3795" s="12"/>
      <c r="D3795" s="3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2"/>
      <c r="W3795" s="12"/>
      <c r="X3795" s="12"/>
      <c r="Y3795" s="12"/>
      <c r="Z3795" s="12"/>
      <c r="AA3795" s="12"/>
      <c r="AB3795" s="12"/>
      <c r="AC3795" s="12"/>
      <c r="AD3795" s="12"/>
    </row>
    <row r="3796" spans="1:30" ht="15.75" thickBot="1" x14ac:dyDescent="0.3">
      <c r="A3796" s="12"/>
      <c r="B3796" s="12"/>
      <c r="C3796" s="12"/>
      <c r="D3796" s="3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2"/>
      <c r="W3796" s="12"/>
      <c r="X3796" s="12"/>
      <c r="Y3796" s="12"/>
      <c r="Z3796" s="12"/>
      <c r="AA3796" s="12"/>
      <c r="AB3796" s="12"/>
      <c r="AC3796" s="12"/>
      <c r="AD3796" s="12"/>
    </row>
    <row r="3797" spans="1:30" ht="15.75" thickBot="1" x14ac:dyDescent="0.3">
      <c r="A3797" s="12"/>
      <c r="B3797" s="12"/>
      <c r="C3797" s="12"/>
      <c r="D3797" s="3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2"/>
      <c r="W3797" s="12"/>
      <c r="X3797" s="12"/>
      <c r="Y3797" s="12"/>
      <c r="Z3797" s="12"/>
      <c r="AA3797" s="12"/>
      <c r="AB3797" s="12"/>
      <c r="AC3797" s="12"/>
      <c r="AD3797" s="12"/>
    </row>
    <row r="3798" spans="1:30" ht="15.75" thickBot="1" x14ac:dyDescent="0.3">
      <c r="A3798" s="12"/>
      <c r="B3798" s="12"/>
      <c r="C3798" s="12"/>
      <c r="D3798" s="3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2"/>
      <c r="W3798" s="12"/>
      <c r="X3798" s="12"/>
      <c r="Y3798" s="12"/>
      <c r="Z3798" s="12"/>
      <c r="AA3798" s="12"/>
      <c r="AB3798" s="12"/>
      <c r="AC3798" s="12"/>
      <c r="AD3798" s="12"/>
    </row>
    <row r="3799" spans="1:30" ht="15.75" thickBot="1" x14ac:dyDescent="0.3">
      <c r="A3799" s="12"/>
      <c r="B3799" s="12"/>
      <c r="C3799" s="12"/>
      <c r="D3799" s="3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2"/>
      <c r="W3799" s="12"/>
      <c r="X3799" s="12"/>
      <c r="Y3799" s="12"/>
      <c r="Z3799" s="12"/>
      <c r="AA3799" s="12"/>
      <c r="AB3799" s="12"/>
      <c r="AC3799" s="12"/>
      <c r="AD3799" s="12"/>
    </row>
    <row r="3800" spans="1:30" ht="15.75" thickBot="1" x14ac:dyDescent="0.3">
      <c r="A3800" s="12"/>
      <c r="B3800" s="12"/>
      <c r="C3800" s="12"/>
      <c r="D3800" s="3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2"/>
      <c r="W3800" s="12"/>
      <c r="X3800" s="12"/>
      <c r="Y3800" s="12"/>
      <c r="Z3800" s="12"/>
      <c r="AA3800" s="12"/>
      <c r="AB3800" s="12"/>
      <c r="AC3800" s="12"/>
      <c r="AD3800" s="12"/>
    </row>
    <row r="3801" spans="1:30" ht="15.75" thickBot="1" x14ac:dyDescent="0.3">
      <c r="A3801" s="12"/>
      <c r="B3801" s="12"/>
      <c r="C3801" s="12"/>
      <c r="D3801" s="3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2"/>
      <c r="W3801" s="12"/>
      <c r="X3801" s="12"/>
      <c r="Y3801" s="12"/>
      <c r="Z3801" s="12"/>
      <c r="AA3801" s="12"/>
      <c r="AB3801" s="12"/>
      <c r="AC3801" s="12"/>
      <c r="AD3801" s="12"/>
    </row>
    <row r="3802" spans="1:30" ht="15.75" thickBot="1" x14ac:dyDescent="0.3">
      <c r="A3802" s="12"/>
      <c r="B3802" s="12"/>
      <c r="C3802" s="12"/>
      <c r="D3802" s="3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2"/>
      <c r="W3802" s="12"/>
      <c r="X3802" s="12"/>
      <c r="Y3802" s="12"/>
      <c r="Z3802" s="12"/>
      <c r="AA3802" s="12"/>
      <c r="AB3802" s="12"/>
      <c r="AC3802" s="12"/>
      <c r="AD3802" s="12"/>
    </row>
    <row r="3803" spans="1:30" ht="15.75" thickBot="1" x14ac:dyDescent="0.3">
      <c r="A3803" s="12"/>
      <c r="B3803" s="12"/>
      <c r="C3803" s="12"/>
      <c r="D3803" s="3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2"/>
      <c r="W3803" s="12"/>
      <c r="X3803" s="12"/>
      <c r="Y3803" s="12"/>
      <c r="Z3803" s="12"/>
      <c r="AA3803" s="12"/>
      <c r="AB3803" s="12"/>
      <c r="AC3803" s="12"/>
      <c r="AD3803" s="12"/>
    </row>
    <row r="3804" spans="1:30" ht="15.75" thickBot="1" x14ac:dyDescent="0.3">
      <c r="A3804" s="12"/>
      <c r="B3804" s="12"/>
      <c r="C3804" s="12"/>
      <c r="D3804" s="3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2"/>
      <c r="W3804" s="12"/>
      <c r="X3804" s="12"/>
      <c r="Y3804" s="12"/>
      <c r="Z3804" s="12"/>
      <c r="AA3804" s="12"/>
      <c r="AB3804" s="12"/>
      <c r="AC3804" s="12"/>
      <c r="AD3804" s="12"/>
    </row>
    <row r="3805" spans="1:30" ht="15.75" thickBot="1" x14ac:dyDescent="0.3">
      <c r="A3805" s="12"/>
      <c r="B3805" s="12"/>
      <c r="C3805" s="12"/>
      <c r="D3805" s="3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2"/>
      <c r="W3805" s="12"/>
      <c r="X3805" s="12"/>
      <c r="Y3805" s="12"/>
      <c r="Z3805" s="12"/>
      <c r="AA3805" s="12"/>
      <c r="AB3805" s="12"/>
      <c r="AC3805" s="12"/>
      <c r="AD3805" s="12"/>
    </row>
    <row r="3806" spans="1:30" ht="15.75" thickBot="1" x14ac:dyDescent="0.3">
      <c r="A3806" s="12"/>
      <c r="B3806" s="12"/>
      <c r="C3806" s="12"/>
      <c r="D3806" s="3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2"/>
      <c r="W3806" s="12"/>
      <c r="X3806" s="12"/>
      <c r="Y3806" s="12"/>
      <c r="Z3806" s="12"/>
      <c r="AA3806" s="12"/>
      <c r="AB3806" s="12"/>
      <c r="AC3806" s="12"/>
      <c r="AD3806" s="12"/>
    </row>
    <row r="3807" spans="1:30" ht="15.75" thickBot="1" x14ac:dyDescent="0.3">
      <c r="A3807" s="12"/>
      <c r="B3807" s="12"/>
      <c r="C3807" s="12"/>
      <c r="D3807" s="3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2"/>
      <c r="W3807" s="12"/>
      <c r="X3807" s="12"/>
      <c r="Y3807" s="12"/>
      <c r="Z3807" s="12"/>
      <c r="AA3807" s="12"/>
      <c r="AB3807" s="12"/>
      <c r="AC3807" s="12"/>
      <c r="AD3807" s="12"/>
    </row>
    <row r="3808" spans="1:30" ht="15.75" thickBot="1" x14ac:dyDescent="0.3">
      <c r="A3808" s="12"/>
      <c r="B3808" s="12"/>
      <c r="C3808" s="12"/>
      <c r="D3808" s="3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2"/>
      <c r="W3808" s="12"/>
      <c r="X3808" s="12"/>
      <c r="Y3808" s="12"/>
      <c r="Z3808" s="12"/>
      <c r="AA3808" s="12"/>
      <c r="AB3808" s="12"/>
      <c r="AC3808" s="12"/>
      <c r="AD3808" s="12"/>
    </row>
    <row r="3809" spans="1:30" ht="15.75" thickBot="1" x14ac:dyDescent="0.3">
      <c r="A3809" s="12"/>
      <c r="B3809" s="12"/>
      <c r="C3809" s="12"/>
      <c r="D3809" s="3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2"/>
      <c r="W3809" s="12"/>
      <c r="X3809" s="12"/>
      <c r="Y3809" s="12"/>
      <c r="Z3809" s="12"/>
      <c r="AA3809" s="12"/>
      <c r="AB3809" s="12"/>
      <c r="AC3809" s="12"/>
      <c r="AD3809" s="12"/>
    </row>
    <row r="3810" spans="1:30" ht="15.75" thickBot="1" x14ac:dyDescent="0.3">
      <c r="A3810" s="12"/>
      <c r="B3810" s="12"/>
      <c r="C3810" s="12"/>
      <c r="D3810" s="3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2"/>
      <c r="W3810" s="12"/>
      <c r="X3810" s="12"/>
      <c r="Y3810" s="12"/>
      <c r="Z3810" s="12"/>
      <c r="AA3810" s="12"/>
      <c r="AB3810" s="12"/>
      <c r="AC3810" s="12"/>
      <c r="AD3810" s="12"/>
    </row>
    <row r="3811" spans="1:30" ht="15.75" thickBot="1" x14ac:dyDescent="0.3">
      <c r="A3811" s="12"/>
      <c r="B3811" s="12"/>
      <c r="C3811" s="12"/>
      <c r="D3811" s="3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2"/>
      <c r="W3811" s="12"/>
      <c r="X3811" s="12"/>
      <c r="Y3811" s="12"/>
      <c r="Z3811" s="12"/>
      <c r="AA3811" s="12"/>
      <c r="AB3811" s="12"/>
      <c r="AC3811" s="12"/>
      <c r="AD3811" s="12"/>
    </row>
    <row r="3812" spans="1:30" ht="15.75" thickBot="1" x14ac:dyDescent="0.3">
      <c r="A3812" s="12"/>
      <c r="B3812" s="12"/>
      <c r="C3812" s="12"/>
      <c r="D3812" s="3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2"/>
      <c r="W3812" s="12"/>
      <c r="X3812" s="12"/>
      <c r="Y3812" s="12"/>
      <c r="Z3812" s="12"/>
      <c r="AA3812" s="12"/>
      <c r="AB3812" s="12"/>
      <c r="AC3812" s="12"/>
      <c r="AD3812" s="12"/>
    </row>
    <row r="3813" spans="1:30" ht="15.75" thickBot="1" x14ac:dyDescent="0.3">
      <c r="A3813" s="12"/>
      <c r="B3813" s="12"/>
      <c r="C3813" s="12"/>
      <c r="D3813" s="3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2"/>
      <c r="W3813" s="12"/>
      <c r="X3813" s="12"/>
      <c r="Y3813" s="12"/>
      <c r="Z3813" s="12"/>
      <c r="AA3813" s="12"/>
      <c r="AB3813" s="12"/>
      <c r="AC3813" s="12"/>
      <c r="AD3813" s="12"/>
    </row>
    <row r="3814" spans="1:30" ht="15.75" thickBot="1" x14ac:dyDescent="0.3">
      <c r="A3814" s="12"/>
      <c r="B3814" s="12"/>
      <c r="C3814" s="12"/>
      <c r="D3814" s="3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2"/>
      <c r="W3814" s="12"/>
      <c r="X3814" s="12"/>
      <c r="Y3814" s="12"/>
      <c r="Z3814" s="12"/>
      <c r="AA3814" s="12"/>
      <c r="AB3814" s="12"/>
      <c r="AC3814" s="12"/>
      <c r="AD3814" s="12"/>
    </row>
    <row r="3815" spans="1:30" ht="15.75" thickBot="1" x14ac:dyDescent="0.3">
      <c r="A3815" s="12"/>
      <c r="B3815" s="12"/>
      <c r="C3815" s="12"/>
      <c r="D3815" s="3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2"/>
      <c r="W3815" s="12"/>
      <c r="X3815" s="12"/>
      <c r="Y3815" s="12"/>
      <c r="Z3815" s="12"/>
      <c r="AA3815" s="12"/>
      <c r="AB3815" s="12"/>
      <c r="AC3815" s="12"/>
      <c r="AD3815" s="12"/>
    </row>
    <row r="3816" spans="1:30" ht="15.75" thickBot="1" x14ac:dyDescent="0.3">
      <c r="A3816" s="12"/>
      <c r="B3816" s="12"/>
      <c r="C3816" s="12"/>
      <c r="D3816" s="3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2"/>
      <c r="W3816" s="12"/>
      <c r="X3816" s="12"/>
      <c r="Y3816" s="12"/>
      <c r="Z3816" s="12"/>
      <c r="AA3816" s="12"/>
      <c r="AB3816" s="12"/>
      <c r="AC3816" s="12"/>
      <c r="AD3816" s="12"/>
    </row>
    <row r="3817" spans="1:30" ht="15.75" thickBot="1" x14ac:dyDescent="0.3">
      <c r="A3817" s="12"/>
      <c r="B3817" s="12"/>
      <c r="C3817" s="12"/>
      <c r="D3817" s="3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2"/>
      <c r="W3817" s="12"/>
      <c r="X3817" s="12"/>
      <c r="Y3817" s="12"/>
      <c r="Z3817" s="12"/>
      <c r="AA3817" s="12"/>
      <c r="AB3817" s="12"/>
      <c r="AC3817" s="12"/>
      <c r="AD3817" s="12"/>
    </row>
    <row r="3818" spans="1:30" ht="15.75" thickBot="1" x14ac:dyDescent="0.3">
      <c r="A3818" s="12"/>
      <c r="B3818" s="12"/>
      <c r="C3818" s="12"/>
      <c r="D3818" s="3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2"/>
      <c r="W3818" s="12"/>
      <c r="X3818" s="12"/>
      <c r="Y3818" s="12"/>
      <c r="Z3818" s="12"/>
      <c r="AA3818" s="12"/>
      <c r="AB3818" s="12"/>
      <c r="AC3818" s="12"/>
      <c r="AD3818" s="12"/>
    </row>
    <row r="3819" spans="1:30" ht="15.75" thickBot="1" x14ac:dyDescent="0.3">
      <c r="A3819" s="12"/>
      <c r="B3819" s="12"/>
      <c r="C3819" s="12"/>
      <c r="D3819" s="3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2"/>
      <c r="W3819" s="12"/>
      <c r="X3819" s="12"/>
      <c r="Y3819" s="12"/>
      <c r="Z3819" s="12"/>
      <c r="AA3819" s="12"/>
      <c r="AB3819" s="12"/>
      <c r="AC3819" s="12"/>
      <c r="AD3819" s="12"/>
    </row>
    <row r="3820" spans="1:30" ht="15.75" thickBot="1" x14ac:dyDescent="0.3">
      <c r="A3820" s="12"/>
      <c r="B3820" s="12"/>
      <c r="C3820" s="12"/>
      <c r="D3820" s="3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2"/>
      <c r="W3820" s="12"/>
      <c r="X3820" s="12"/>
      <c r="Y3820" s="12"/>
      <c r="Z3820" s="12"/>
      <c r="AA3820" s="12"/>
      <c r="AB3820" s="12"/>
      <c r="AC3820" s="12"/>
      <c r="AD3820" s="12"/>
    </row>
    <row r="3821" spans="1:30" ht="15.75" thickBot="1" x14ac:dyDescent="0.3">
      <c r="A3821" s="12"/>
      <c r="B3821" s="12"/>
      <c r="C3821" s="12"/>
      <c r="D3821" s="3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2"/>
      <c r="W3821" s="12"/>
      <c r="X3821" s="12"/>
      <c r="Y3821" s="12"/>
      <c r="Z3821" s="12"/>
      <c r="AA3821" s="12"/>
      <c r="AB3821" s="12"/>
      <c r="AC3821" s="12"/>
      <c r="AD3821" s="12"/>
    </row>
    <row r="3822" spans="1:30" ht="15.75" thickBot="1" x14ac:dyDescent="0.3">
      <c r="A3822" s="12"/>
      <c r="B3822" s="12"/>
      <c r="C3822" s="12"/>
      <c r="D3822" s="3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2"/>
      <c r="W3822" s="12"/>
      <c r="X3822" s="12"/>
      <c r="Y3822" s="12"/>
      <c r="Z3822" s="12"/>
      <c r="AA3822" s="12"/>
      <c r="AB3822" s="12"/>
      <c r="AC3822" s="12"/>
      <c r="AD3822" s="12"/>
    </row>
    <row r="3823" spans="1:30" ht="15.75" thickBot="1" x14ac:dyDescent="0.3">
      <c r="A3823" s="12"/>
      <c r="B3823" s="12"/>
      <c r="C3823" s="12"/>
      <c r="D3823" s="3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2"/>
      <c r="W3823" s="12"/>
      <c r="X3823" s="12"/>
      <c r="Y3823" s="12"/>
      <c r="Z3823" s="12"/>
      <c r="AA3823" s="12"/>
      <c r="AB3823" s="12"/>
      <c r="AC3823" s="12"/>
      <c r="AD3823" s="12"/>
    </row>
    <row r="3824" spans="1:30" ht="15.75" thickBot="1" x14ac:dyDescent="0.3">
      <c r="A3824" s="12"/>
      <c r="B3824" s="12"/>
      <c r="C3824" s="12"/>
      <c r="D3824" s="3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2"/>
      <c r="W3824" s="12"/>
      <c r="X3824" s="12"/>
      <c r="Y3824" s="12"/>
      <c r="Z3824" s="12"/>
      <c r="AA3824" s="12"/>
      <c r="AB3824" s="12"/>
      <c r="AC3824" s="12"/>
      <c r="AD3824" s="12"/>
    </row>
    <row r="3825" spans="1:30" ht="15.75" thickBot="1" x14ac:dyDescent="0.3">
      <c r="A3825" s="12"/>
      <c r="B3825" s="12"/>
      <c r="C3825" s="12"/>
      <c r="D3825" s="3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2"/>
      <c r="W3825" s="12"/>
      <c r="X3825" s="12"/>
      <c r="Y3825" s="12"/>
      <c r="Z3825" s="12"/>
      <c r="AA3825" s="12"/>
      <c r="AB3825" s="12"/>
      <c r="AC3825" s="12"/>
      <c r="AD3825" s="12"/>
    </row>
    <row r="3826" spans="1:30" ht="15.75" thickBot="1" x14ac:dyDescent="0.3">
      <c r="A3826" s="12"/>
      <c r="B3826" s="12"/>
      <c r="C3826" s="12"/>
      <c r="D3826" s="3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2"/>
      <c r="W3826" s="12"/>
      <c r="X3826" s="12"/>
      <c r="Y3826" s="12"/>
      <c r="Z3826" s="12"/>
      <c r="AA3826" s="12"/>
      <c r="AB3826" s="12"/>
      <c r="AC3826" s="12"/>
      <c r="AD3826" s="12"/>
    </row>
    <row r="3827" spans="1:30" ht="15.75" thickBot="1" x14ac:dyDescent="0.3">
      <c r="A3827" s="12"/>
      <c r="B3827" s="12"/>
      <c r="C3827" s="12"/>
      <c r="D3827" s="3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2"/>
      <c r="W3827" s="12"/>
      <c r="X3827" s="12"/>
      <c r="Y3827" s="12"/>
      <c r="Z3827" s="12"/>
      <c r="AA3827" s="12"/>
      <c r="AB3827" s="12"/>
      <c r="AC3827" s="12"/>
      <c r="AD3827" s="12"/>
    </row>
    <row r="3828" spans="1:30" ht="15.75" thickBot="1" x14ac:dyDescent="0.3">
      <c r="A3828" s="12"/>
      <c r="B3828" s="12"/>
      <c r="C3828" s="12"/>
      <c r="D3828" s="3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2"/>
      <c r="W3828" s="12"/>
      <c r="X3828" s="12"/>
      <c r="Y3828" s="12"/>
      <c r="Z3828" s="12"/>
      <c r="AA3828" s="12"/>
      <c r="AB3828" s="12"/>
      <c r="AC3828" s="12"/>
      <c r="AD3828" s="12"/>
    </row>
    <row r="3829" spans="1:30" ht="15.75" thickBot="1" x14ac:dyDescent="0.3">
      <c r="A3829" s="12"/>
      <c r="B3829" s="12"/>
      <c r="C3829" s="12"/>
      <c r="D3829" s="3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2"/>
      <c r="W3829" s="12"/>
      <c r="X3829" s="12"/>
      <c r="Y3829" s="12"/>
      <c r="Z3829" s="12"/>
      <c r="AA3829" s="12"/>
      <c r="AB3829" s="12"/>
      <c r="AC3829" s="12"/>
      <c r="AD3829" s="12"/>
    </row>
    <row r="3830" spans="1:30" ht="15.75" thickBot="1" x14ac:dyDescent="0.3">
      <c r="A3830" s="12"/>
      <c r="B3830" s="12"/>
      <c r="C3830" s="12"/>
      <c r="D3830" s="3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2"/>
      <c r="W3830" s="12"/>
      <c r="X3830" s="12"/>
      <c r="Y3830" s="12"/>
      <c r="Z3830" s="12"/>
      <c r="AA3830" s="12"/>
      <c r="AB3830" s="12"/>
      <c r="AC3830" s="12"/>
      <c r="AD3830" s="12"/>
    </row>
    <row r="3831" spans="1:30" ht="15.75" thickBot="1" x14ac:dyDescent="0.3">
      <c r="A3831" s="12"/>
      <c r="B3831" s="12"/>
      <c r="C3831" s="12"/>
      <c r="D3831" s="3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2"/>
      <c r="W3831" s="12"/>
      <c r="X3831" s="12"/>
      <c r="Y3831" s="12"/>
      <c r="Z3831" s="12"/>
      <c r="AA3831" s="12"/>
      <c r="AB3831" s="12"/>
      <c r="AC3831" s="12"/>
      <c r="AD3831" s="12"/>
    </row>
    <row r="3832" spans="1:30" ht="15.75" thickBot="1" x14ac:dyDescent="0.3">
      <c r="A3832" s="12"/>
      <c r="B3832" s="12"/>
      <c r="C3832" s="12"/>
      <c r="D3832" s="3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2"/>
      <c r="W3832" s="12"/>
      <c r="X3832" s="12"/>
      <c r="Y3832" s="12"/>
      <c r="Z3832" s="12"/>
      <c r="AA3832" s="12"/>
      <c r="AB3832" s="12"/>
      <c r="AC3832" s="12"/>
      <c r="AD3832" s="12"/>
    </row>
    <row r="3833" spans="1:30" ht="15.75" thickBot="1" x14ac:dyDescent="0.3">
      <c r="A3833" s="12"/>
      <c r="B3833" s="12"/>
      <c r="C3833" s="12"/>
      <c r="D3833" s="3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2"/>
      <c r="W3833" s="12"/>
      <c r="X3833" s="12"/>
      <c r="Y3833" s="12"/>
      <c r="Z3833" s="12"/>
      <c r="AA3833" s="12"/>
      <c r="AB3833" s="12"/>
      <c r="AC3833" s="12"/>
      <c r="AD3833" s="12"/>
    </row>
    <row r="3834" spans="1:30" ht="15.75" thickBot="1" x14ac:dyDescent="0.3">
      <c r="A3834" s="12"/>
      <c r="B3834" s="12"/>
      <c r="C3834" s="12"/>
      <c r="D3834" s="3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2"/>
      <c r="W3834" s="12"/>
      <c r="X3834" s="12"/>
      <c r="Y3834" s="12"/>
      <c r="Z3834" s="12"/>
      <c r="AA3834" s="12"/>
      <c r="AB3834" s="12"/>
      <c r="AC3834" s="12"/>
      <c r="AD3834" s="12"/>
    </row>
    <row r="3835" spans="1:30" ht="15.75" thickBot="1" x14ac:dyDescent="0.3">
      <c r="A3835" s="12"/>
      <c r="B3835" s="12"/>
      <c r="C3835" s="12"/>
      <c r="D3835" s="3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2"/>
      <c r="W3835" s="12"/>
      <c r="X3835" s="12"/>
      <c r="Y3835" s="12"/>
      <c r="Z3835" s="12"/>
      <c r="AA3835" s="12"/>
      <c r="AB3835" s="12"/>
      <c r="AC3835" s="12"/>
      <c r="AD3835" s="12"/>
    </row>
    <row r="3836" spans="1:30" ht="15.75" thickBot="1" x14ac:dyDescent="0.3">
      <c r="A3836" s="12"/>
      <c r="B3836" s="12"/>
      <c r="C3836" s="12"/>
      <c r="D3836" s="3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2"/>
      <c r="W3836" s="12"/>
      <c r="X3836" s="12"/>
      <c r="Y3836" s="12"/>
      <c r="Z3836" s="12"/>
      <c r="AA3836" s="12"/>
      <c r="AB3836" s="12"/>
      <c r="AC3836" s="12"/>
      <c r="AD3836" s="12"/>
    </row>
    <row r="3837" spans="1:30" ht="15.75" thickBot="1" x14ac:dyDescent="0.3">
      <c r="A3837" s="12"/>
      <c r="B3837" s="12"/>
      <c r="C3837" s="12"/>
      <c r="D3837" s="3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2"/>
      <c r="W3837" s="12"/>
      <c r="X3837" s="12"/>
      <c r="Y3837" s="12"/>
      <c r="Z3837" s="12"/>
      <c r="AA3837" s="12"/>
      <c r="AB3837" s="12"/>
      <c r="AC3837" s="12"/>
      <c r="AD3837" s="12"/>
    </row>
    <row r="3838" spans="1:30" ht="15.75" thickBot="1" x14ac:dyDescent="0.3">
      <c r="A3838" s="12"/>
      <c r="B3838" s="12"/>
      <c r="C3838" s="12"/>
      <c r="D3838" s="3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2"/>
      <c r="W3838" s="12"/>
      <c r="X3838" s="12"/>
      <c r="Y3838" s="12"/>
      <c r="Z3838" s="12"/>
      <c r="AA3838" s="12"/>
      <c r="AB3838" s="12"/>
      <c r="AC3838" s="12"/>
      <c r="AD3838" s="12"/>
    </row>
    <row r="3839" spans="1:30" ht="15.75" thickBot="1" x14ac:dyDescent="0.3">
      <c r="A3839" s="12"/>
      <c r="B3839" s="12"/>
      <c r="C3839" s="12"/>
      <c r="D3839" s="3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2"/>
      <c r="W3839" s="12"/>
      <c r="X3839" s="12"/>
      <c r="Y3839" s="12"/>
      <c r="Z3839" s="12"/>
      <c r="AA3839" s="12"/>
      <c r="AB3839" s="12"/>
      <c r="AC3839" s="12"/>
      <c r="AD3839" s="12"/>
    </row>
    <row r="3840" spans="1:30" ht="15.75" thickBot="1" x14ac:dyDescent="0.3">
      <c r="A3840" s="12"/>
      <c r="B3840" s="12"/>
      <c r="C3840" s="12"/>
      <c r="D3840" s="3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2"/>
      <c r="W3840" s="12"/>
      <c r="X3840" s="12"/>
      <c r="Y3840" s="12"/>
      <c r="Z3840" s="12"/>
      <c r="AA3840" s="12"/>
      <c r="AB3840" s="12"/>
      <c r="AC3840" s="12"/>
      <c r="AD3840" s="12"/>
    </row>
    <row r="3841" spans="1:30" ht="15.75" thickBot="1" x14ac:dyDescent="0.3">
      <c r="A3841" s="12"/>
      <c r="B3841" s="12"/>
      <c r="C3841" s="12"/>
      <c r="D3841" s="3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2"/>
      <c r="W3841" s="12"/>
      <c r="X3841" s="12"/>
      <c r="Y3841" s="12"/>
      <c r="Z3841" s="12"/>
      <c r="AA3841" s="12"/>
      <c r="AB3841" s="12"/>
      <c r="AC3841" s="12"/>
      <c r="AD3841" s="12"/>
    </row>
    <row r="3842" spans="1:30" ht="15.75" thickBot="1" x14ac:dyDescent="0.3">
      <c r="A3842" s="12"/>
      <c r="B3842" s="12"/>
      <c r="C3842" s="12"/>
      <c r="D3842" s="3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2"/>
      <c r="W3842" s="12"/>
      <c r="X3842" s="12"/>
      <c r="Y3842" s="12"/>
      <c r="Z3842" s="12"/>
      <c r="AA3842" s="12"/>
      <c r="AB3842" s="12"/>
      <c r="AC3842" s="12"/>
      <c r="AD3842" s="12"/>
    </row>
    <row r="3843" spans="1:30" ht="15.75" thickBot="1" x14ac:dyDescent="0.3">
      <c r="A3843" s="12"/>
      <c r="B3843" s="12"/>
      <c r="C3843" s="12"/>
      <c r="D3843" s="3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2"/>
      <c r="W3843" s="12"/>
      <c r="X3843" s="12"/>
      <c r="Y3843" s="12"/>
      <c r="Z3843" s="12"/>
      <c r="AA3843" s="12"/>
      <c r="AB3843" s="12"/>
      <c r="AC3843" s="12"/>
      <c r="AD3843" s="12"/>
    </row>
    <row r="3844" spans="1:30" ht="15.75" thickBot="1" x14ac:dyDescent="0.3">
      <c r="A3844" s="12"/>
      <c r="B3844" s="12"/>
      <c r="C3844" s="12"/>
      <c r="D3844" s="3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2"/>
      <c r="W3844" s="12"/>
      <c r="X3844" s="12"/>
      <c r="Y3844" s="12"/>
      <c r="Z3844" s="12"/>
      <c r="AA3844" s="12"/>
      <c r="AB3844" s="12"/>
      <c r="AC3844" s="12"/>
      <c r="AD3844" s="12"/>
    </row>
    <row r="3845" spans="1:30" ht="15.75" thickBot="1" x14ac:dyDescent="0.3">
      <c r="A3845" s="12"/>
      <c r="B3845" s="12"/>
      <c r="C3845" s="12"/>
      <c r="D3845" s="3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2"/>
      <c r="W3845" s="12"/>
      <c r="X3845" s="12"/>
      <c r="Y3845" s="12"/>
      <c r="Z3845" s="12"/>
      <c r="AA3845" s="12"/>
      <c r="AB3845" s="12"/>
      <c r="AC3845" s="12"/>
      <c r="AD3845" s="12"/>
    </row>
    <row r="3846" spans="1:30" ht="15.75" thickBot="1" x14ac:dyDescent="0.3">
      <c r="A3846" s="12"/>
      <c r="B3846" s="12"/>
      <c r="C3846" s="12"/>
      <c r="D3846" s="3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2"/>
      <c r="W3846" s="12"/>
      <c r="X3846" s="12"/>
      <c r="Y3846" s="12"/>
      <c r="Z3846" s="12"/>
      <c r="AA3846" s="12"/>
      <c r="AB3846" s="12"/>
      <c r="AC3846" s="12"/>
      <c r="AD3846" s="12"/>
    </row>
    <row r="3847" spans="1:30" ht="15.75" thickBot="1" x14ac:dyDescent="0.3">
      <c r="A3847" s="12"/>
      <c r="B3847" s="12"/>
      <c r="C3847" s="12"/>
      <c r="D3847" s="3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2"/>
      <c r="W3847" s="12"/>
      <c r="X3847" s="12"/>
      <c r="Y3847" s="12"/>
      <c r="Z3847" s="12"/>
      <c r="AA3847" s="12"/>
      <c r="AB3847" s="12"/>
      <c r="AC3847" s="12"/>
      <c r="AD3847" s="12"/>
    </row>
    <row r="3848" spans="1:30" ht="15.75" thickBot="1" x14ac:dyDescent="0.3">
      <c r="A3848" s="12"/>
      <c r="B3848" s="12"/>
      <c r="C3848" s="12"/>
      <c r="D3848" s="3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2"/>
      <c r="W3848" s="12"/>
      <c r="X3848" s="12"/>
      <c r="Y3848" s="12"/>
      <c r="Z3848" s="12"/>
      <c r="AA3848" s="12"/>
      <c r="AB3848" s="12"/>
      <c r="AC3848" s="12"/>
      <c r="AD3848" s="12"/>
    </row>
    <row r="3849" spans="1:30" ht="15.75" thickBot="1" x14ac:dyDescent="0.3">
      <c r="A3849" s="12"/>
      <c r="B3849" s="12"/>
      <c r="C3849" s="12"/>
      <c r="D3849" s="3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2"/>
      <c r="W3849" s="12"/>
      <c r="X3849" s="12"/>
      <c r="Y3849" s="12"/>
      <c r="Z3849" s="12"/>
      <c r="AA3849" s="12"/>
      <c r="AB3849" s="12"/>
      <c r="AC3849" s="12"/>
      <c r="AD3849" s="12"/>
    </row>
    <row r="3850" spans="1:30" ht="15.75" thickBot="1" x14ac:dyDescent="0.3">
      <c r="A3850" s="12"/>
      <c r="B3850" s="12"/>
      <c r="C3850" s="12"/>
      <c r="D3850" s="3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2"/>
      <c r="W3850" s="12"/>
      <c r="X3850" s="12"/>
      <c r="Y3850" s="12"/>
      <c r="Z3850" s="12"/>
      <c r="AA3850" s="12"/>
      <c r="AB3850" s="12"/>
      <c r="AC3850" s="12"/>
      <c r="AD3850" s="12"/>
    </row>
    <row r="3851" spans="1:30" ht="15.75" thickBot="1" x14ac:dyDescent="0.3">
      <c r="A3851" s="12"/>
      <c r="B3851" s="12"/>
      <c r="C3851" s="12"/>
      <c r="D3851" s="3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2"/>
      <c r="W3851" s="12"/>
      <c r="X3851" s="12"/>
      <c r="Y3851" s="12"/>
      <c r="Z3851" s="12"/>
      <c r="AA3851" s="12"/>
      <c r="AB3851" s="12"/>
      <c r="AC3851" s="12"/>
      <c r="AD3851" s="12"/>
    </row>
    <row r="3852" spans="1:30" ht="15.75" thickBot="1" x14ac:dyDescent="0.3">
      <c r="A3852" s="12"/>
      <c r="B3852" s="12"/>
      <c r="C3852" s="12"/>
      <c r="D3852" s="3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2"/>
      <c r="W3852" s="12"/>
      <c r="X3852" s="12"/>
      <c r="Y3852" s="12"/>
      <c r="Z3852" s="12"/>
      <c r="AA3852" s="12"/>
      <c r="AB3852" s="12"/>
      <c r="AC3852" s="12"/>
      <c r="AD3852" s="12"/>
    </row>
    <row r="3853" spans="1:30" ht="15.75" thickBot="1" x14ac:dyDescent="0.3">
      <c r="A3853" s="12"/>
      <c r="B3853" s="12"/>
      <c r="C3853" s="12"/>
      <c r="D3853" s="3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2"/>
      <c r="W3853" s="12"/>
      <c r="X3853" s="12"/>
      <c r="Y3853" s="12"/>
      <c r="Z3853" s="12"/>
      <c r="AA3853" s="12"/>
      <c r="AB3853" s="12"/>
      <c r="AC3853" s="12"/>
      <c r="AD3853" s="12"/>
    </row>
    <row r="3854" spans="1:30" ht="15.75" thickBot="1" x14ac:dyDescent="0.3">
      <c r="A3854" s="12"/>
      <c r="B3854" s="12"/>
      <c r="C3854" s="12"/>
      <c r="D3854" s="3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2"/>
      <c r="W3854" s="12"/>
      <c r="X3854" s="12"/>
      <c r="Y3854" s="12"/>
      <c r="Z3854" s="12"/>
      <c r="AA3854" s="12"/>
      <c r="AB3854" s="12"/>
      <c r="AC3854" s="12"/>
      <c r="AD3854" s="12"/>
    </row>
    <row r="3855" spans="1:30" ht="15.75" thickBot="1" x14ac:dyDescent="0.3">
      <c r="A3855" s="12"/>
      <c r="B3855" s="12"/>
      <c r="C3855" s="12"/>
      <c r="D3855" s="3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2"/>
      <c r="W3855" s="12"/>
      <c r="X3855" s="12"/>
      <c r="Y3855" s="12"/>
      <c r="Z3855" s="12"/>
      <c r="AA3855" s="12"/>
      <c r="AB3855" s="12"/>
      <c r="AC3855" s="12"/>
      <c r="AD3855" s="12"/>
    </row>
    <row r="3856" spans="1:30" ht="15.75" thickBot="1" x14ac:dyDescent="0.3">
      <c r="A3856" s="12"/>
      <c r="B3856" s="12"/>
      <c r="C3856" s="12"/>
      <c r="D3856" s="3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2"/>
      <c r="W3856" s="12"/>
      <c r="X3856" s="12"/>
      <c r="Y3856" s="12"/>
      <c r="Z3856" s="12"/>
      <c r="AA3856" s="12"/>
      <c r="AB3856" s="12"/>
      <c r="AC3856" s="12"/>
      <c r="AD3856" s="12"/>
    </row>
    <row r="3857" spans="1:30" ht="15.75" thickBot="1" x14ac:dyDescent="0.3">
      <c r="A3857" s="12"/>
      <c r="B3857" s="12"/>
      <c r="C3857" s="12"/>
      <c r="D3857" s="3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2"/>
      <c r="W3857" s="12"/>
      <c r="X3857" s="12"/>
      <c r="Y3857" s="12"/>
      <c r="Z3857" s="12"/>
      <c r="AA3857" s="12"/>
      <c r="AB3857" s="12"/>
      <c r="AC3857" s="12"/>
      <c r="AD3857" s="12"/>
    </row>
    <row r="3858" spans="1:30" ht="15.75" thickBot="1" x14ac:dyDescent="0.3">
      <c r="A3858" s="12"/>
      <c r="B3858" s="12"/>
      <c r="C3858" s="12"/>
      <c r="D3858" s="3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2"/>
      <c r="W3858" s="12"/>
      <c r="X3858" s="12"/>
      <c r="Y3858" s="12"/>
      <c r="Z3858" s="12"/>
      <c r="AA3858" s="12"/>
      <c r="AB3858" s="12"/>
      <c r="AC3858" s="12"/>
      <c r="AD3858" s="12"/>
    </row>
    <row r="3859" spans="1:30" ht="15.75" thickBot="1" x14ac:dyDescent="0.3">
      <c r="A3859" s="12"/>
      <c r="B3859" s="12"/>
      <c r="C3859" s="12"/>
      <c r="D3859" s="3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2"/>
      <c r="W3859" s="12"/>
      <c r="X3859" s="12"/>
      <c r="Y3859" s="12"/>
      <c r="Z3859" s="12"/>
      <c r="AA3859" s="12"/>
      <c r="AB3859" s="12"/>
      <c r="AC3859" s="12"/>
      <c r="AD3859" s="12"/>
    </row>
    <row r="3860" spans="1:30" ht="15.75" thickBot="1" x14ac:dyDescent="0.3">
      <c r="A3860" s="12"/>
      <c r="B3860" s="12"/>
      <c r="C3860" s="12"/>
      <c r="D3860" s="3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2"/>
      <c r="W3860" s="12"/>
      <c r="X3860" s="12"/>
      <c r="Y3860" s="12"/>
      <c r="Z3860" s="12"/>
      <c r="AA3860" s="12"/>
      <c r="AB3860" s="12"/>
      <c r="AC3860" s="12"/>
      <c r="AD3860" s="12"/>
    </row>
    <row r="3861" spans="1:30" ht="15.75" thickBot="1" x14ac:dyDescent="0.3">
      <c r="A3861" s="12"/>
      <c r="B3861" s="12"/>
      <c r="C3861" s="12"/>
      <c r="D3861" s="3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2"/>
      <c r="W3861" s="12"/>
      <c r="X3861" s="12"/>
      <c r="Y3861" s="12"/>
      <c r="Z3861" s="12"/>
      <c r="AA3861" s="12"/>
      <c r="AB3861" s="12"/>
      <c r="AC3861" s="12"/>
      <c r="AD3861" s="12"/>
    </row>
    <row r="3862" spans="1:30" ht="15.75" thickBot="1" x14ac:dyDescent="0.3">
      <c r="A3862" s="12"/>
      <c r="B3862" s="12"/>
      <c r="C3862" s="12"/>
      <c r="D3862" s="3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2"/>
      <c r="W3862" s="12"/>
      <c r="X3862" s="12"/>
      <c r="Y3862" s="12"/>
      <c r="Z3862" s="12"/>
      <c r="AA3862" s="12"/>
      <c r="AB3862" s="12"/>
      <c r="AC3862" s="12"/>
      <c r="AD3862" s="12"/>
    </row>
    <row r="3863" spans="1:30" ht="15.75" thickBot="1" x14ac:dyDescent="0.3">
      <c r="A3863" s="12"/>
      <c r="B3863" s="12"/>
      <c r="C3863" s="12"/>
      <c r="D3863" s="3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2"/>
      <c r="W3863" s="12"/>
      <c r="X3863" s="12"/>
      <c r="Y3863" s="12"/>
      <c r="Z3863" s="12"/>
      <c r="AA3863" s="12"/>
      <c r="AB3863" s="12"/>
      <c r="AC3863" s="12"/>
      <c r="AD3863" s="12"/>
    </row>
    <row r="3864" spans="1:30" ht="15.75" thickBot="1" x14ac:dyDescent="0.3">
      <c r="A3864" s="12"/>
      <c r="B3864" s="12"/>
      <c r="C3864" s="12"/>
      <c r="D3864" s="3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2"/>
      <c r="W3864" s="12"/>
      <c r="X3864" s="12"/>
      <c r="Y3864" s="12"/>
      <c r="Z3864" s="12"/>
      <c r="AA3864" s="12"/>
      <c r="AB3864" s="12"/>
      <c r="AC3864" s="12"/>
      <c r="AD3864" s="12"/>
    </row>
    <row r="3865" spans="1:30" ht="15.75" thickBot="1" x14ac:dyDescent="0.3">
      <c r="A3865" s="12"/>
      <c r="B3865" s="12"/>
      <c r="C3865" s="12"/>
      <c r="D3865" s="3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2"/>
      <c r="W3865" s="12"/>
      <c r="X3865" s="12"/>
      <c r="Y3865" s="12"/>
      <c r="Z3865" s="12"/>
      <c r="AA3865" s="12"/>
      <c r="AB3865" s="12"/>
      <c r="AC3865" s="12"/>
      <c r="AD3865" s="12"/>
    </row>
    <row r="3866" spans="1:30" ht="15.75" thickBot="1" x14ac:dyDescent="0.3">
      <c r="A3866" s="12"/>
      <c r="B3866" s="12"/>
      <c r="C3866" s="12"/>
      <c r="D3866" s="3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2"/>
      <c r="W3866" s="12"/>
      <c r="X3866" s="12"/>
      <c r="Y3866" s="12"/>
      <c r="Z3866" s="12"/>
      <c r="AA3866" s="12"/>
      <c r="AB3866" s="12"/>
      <c r="AC3866" s="12"/>
      <c r="AD3866" s="12"/>
    </row>
    <row r="3867" spans="1:30" ht="15.75" thickBot="1" x14ac:dyDescent="0.3">
      <c r="A3867" s="12"/>
      <c r="B3867" s="12"/>
      <c r="C3867" s="12"/>
      <c r="D3867" s="3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2"/>
      <c r="W3867" s="12"/>
      <c r="X3867" s="12"/>
      <c r="Y3867" s="12"/>
      <c r="Z3867" s="12"/>
      <c r="AA3867" s="12"/>
      <c r="AB3867" s="12"/>
      <c r="AC3867" s="12"/>
      <c r="AD3867" s="12"/>
    </row>
    <row r="3868" spans="1:30" ht="15.75" thickBot="1" x14ac:dyDescent="0.3">
      <c r="A3868" s="12"/>
      <c r="B3868" s="12"/>
      <c r="C3868" s="12"/>
      <c r="D3868" s="3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2"/>
      <c r="W3868" s="12"/>
      <c r="X3868" s="12"/>
      <c r="Y3868" s="12"/>
      <c r="Z3868" s="12"/>
      <c r="AA3868" s="12"/>
      <c r="AB3868" s="12"/>
      <c r="AC3868" s="12"/>
      <c r="AD3868" s="12"/>
    </row>
    <row r="3869" spans="1:30" ht="15.75" thickBot="1" x14ac:dyDescent="0.3">
      <c r="A3869" s="12"/>
      <c r="B3869" s="12"/>
      <c r="C3869" s="12"/>
      <c r="D3869" s="3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2"/>
      <c r="W3869" s="12"/>
      <c r="X3869" s="12"/>
      <c r="Y3869" s="12"/>
      <c r="Z3869" s="12"/>
      <c r="AA3869" s="12"/>
      <c r="AB3869" s="12"/>
      <c r="AC3869" s="12"/>
      <c r="AD3869" s="12"/>
    </row>
    <row r="3870" spans="1:30" ht="15.75" thickBot="1" x14ac:dyDescent="0.3">
      <c r="A3870" s="12"/>
      <c r="B3870" s="12"/>
      <c r="C3870" s="12"/>
      <c r="D3870" s="3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2"/>
      <c r="W3870" s="12"/>
      <c r="X3870" s="12"/>
      <c r="Y3870" s="12"/>
      <c r="Z3870" s="12"/>
      <c r="AA3870" s="12"/>
      <c r="AB3870" s="12"/>
      <c r="AC3870" s="12"/>
      <c r="AD3870" s="12"/>
    </row>
    <row r="3871" spans="1:30" ht="15.75" thickBot="1" x14ac:dyDescent="0.3">
      <c r="A3871" s="12"/>
      <c r="B3871" s="12"/>
      <c r="C3871" s="12"/>
      <c r="D3871" s="3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2"/>
      <c r="W3871" s="12"/>
      <c r="X3871" s="12"/>
      <c r="Y3871" s="12"/>
      <c r="Z3871" s="12"/>
      <c r="AA3871" s="12"/>
      <c r="AB3871" s="12"/>
      <c r="AC3871" s="12"/>
      <c r="AD3871" s="12"/>
    </row>
    <row r="3872" spans="1:30" ht="15.75" thickBot="1" x14ac:dyDescent="0.3">
      <c r="A3872" s="12"/>
      <c r="B3872" s="12"/>
      <c r="C3872" s="12"/>
      <c r="D3872" s="3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2"/>
      <c r="W3872" s="12"/>
      <c r="X3872" s="12"/>
      <c r="Y3872" s="12"/>
      <c r="Z3872" s="12"/>
      <c r="AA3872" s="12"/>
      <c r="AB3872" s="12"/>
      <c r="AC3872" s="12"/>
      <c r="AD3872" s="12"/>
    </row>
    <row r="3873" spans="1:30" ht="15.75" thickBot="1" x14ac:dyDescent="0.3">
      <c r="A3873" s="12"/>
      <c r="B3873" s="12"/>
      <c r="C3873" s="12"/>
      <c r="D3873" s="3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2"/>
      <c r="W3873" s="12"/>
      <c r="X3873" s="12"/>
      <c r="Y3873" s="12"/>
      <c r="Z3873" s="12"/>
      <c r="AA3873" s="12"/>
      <c r="AB3873" s="12"/>
      <c r="AC3873" s="12"/>
      <c r="AD3873" s="12"/>
    </row>
    <row r="3874" spans="1:30" ht="15.75" thickBot="1" x14ac:dyDescent="0.3">
      <c r="A3874" s="12"/>
      <c r="B3874" s="12"/>
      <c r="C3874" s="12"/>
      <c r="D3874" s="3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2"/>
      <c r="W3874" s="12"/>
      <c r="X3874" s="12"/>
      <c r="Y3874" s="12"/>
      <c r="Z3874" s="12"/>
      <c r="AA3874" s="12"/>
      <c r="AB3874" s="12"/>
      <c r="AC3874" s="12"/>
      <c r="AD3874" s="12"/>
    </row>
    <row r="3875" spans="1:30" ht="15.75" thickBot="1" x14ac:dyDescent="0.3">
      <c r="A3875" s="12"/>
      <c r="B3875" s="12"/>
      <c r="C3875" s="12"/>
      <c r="D3875" s="3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2"/>
      <c r="W3875" s="12"/>
      <c r="X3875" s="12"/>
      <c r="Y3875" s="12"/>
      <c r="Z3875" s="12"/>
      <c r="AA3875" s="12"/>
      <c r="AB3875" s="12"/>
      <c r="AC3875" s="12"/>
      <c r="AD3875" s="12"/>
    </row>
    <row r="3876" spans="1:30" ht="15.75" thickBot="1" x14ac:dyDescent="0.3">
      <c r="A3876" s="12"/>
      <c r="B3876" s="12"/>
      <c r="C3876" s="12"/>
      <c r="D3876" s="3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2"/>
      <c r="W3876" s="12"/>
      <c r="X3876" s="12"/>
      <c r="Y3876" s="12"/>
      <c r="Z3876" s="12"/>
      <c r="AA3876" s="12"/>
      <c r="AB3876" s="12"/>
      <c r="AC3876" s="12"/>
      <c r="AD3876" s="12"/>
    </row>
    <row r="3877" spans="1:30" ht="15.75" thickBot="1" x14ac:dyDescent="0.3">
      <c r="A3877" s="12"/>
      <c r="B3877" s="12"/>
      <c r="C3877" s="12"/>
      <c r="D3877" s="3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2"/>
      <c r="W3877" s="12"/>
      <c r="X3877" s="12"/>
      <c r="Y3877" s="12"/>
      <c r="Z3877" s="12"/>
      <c r="AA3877" s="12"/>
      <c r="AB3877" s="12"/>
      <c r="AC3877" s="12"/>
      <c r="AD3877" s="12"/>
    </row>
    <row r="3878" spans="1:30" ht="15.75" thickBot="1" x14ac:dyDescent="0.3">
      <c r="A3878" s="12"/>
      <c r="B3878" s="12"/>
      <c r="C3878" s="12"/>
      <c r="D3878" s="3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2"/>
      <c r="W3878" s="12"/>
      <c r="X3878" s="12"/>
      <c r="Y3878" s="12"/>
      <c r="Z3878" s="12"/>
      <c r="AA3878" s="12"/>
      <c r="AB3878" s="12"/>
      <c r="AC3878" s="12"/>
      <c r="AD3878" s="12"/>
    </row>
    <row r="3879" spans="1:30" ht="15.75" thickBot="1" x14ac:dyDescent="0.3">
      <c r="A3879" s="12"/>
      <c r="B3879" s="12"/>
      <c r="C3879" s="12"/>
      <c r="D3879" s="3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2"/>
      <c r="W3879" s="12"/>
      <c r="X3879" s="12"/>
      <c r="Y3879" s="12"/>
      <c r="Z3879" s="12"/>
      <c r="AA3879" s="12"/>
      <c r="AB3879" s="12"/>
      <c r="AC3879" s="12"/>
      <c r="AD3879" s="12"/>
    </row>
    <row r="3880" spans="1:30" ht="15.75" thickBot="1" x14ac:dyDescent="0.3">
      <c r="A3880" s="12"/>
      <c r="B3880" s="12"/>
      <c r="C3880" s="12"/>
      <c r="D3880" s="3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2"/>
      <c r="W3880" s="12"/>
      <c r="X3880" s="12"/>
      <c r="Y3880" s="12"/>
      <c r="Z3880" s="12"/>
      <c r="AA3880" s="12"/>
      <c r="AB3880" s="12"/>
      <c r="AC3880" s="12"/>
      <c r="AD3880" s="12"/>
    </row>
    <row r="3881" spans="1:30" ht="15.75" thickBot="1" x14ac:dyDescent="0.3">
      <c r="A3881" s="12"/>
      <c r="B3881" s="12"/>
      <c r="C3881" s="12"/>
      <c r="D3881" s="3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2"/>
      <c r="W3881" s="12"/>
      <c r="X3881" s="12"/>
      <c r="Y3881" s="12"/>
      <c r="Z3881" s="12"/>
      <c r="AA3881" s="12"/>
      <c r="AB3881" s="12"/>
      <c r="AC3881" s="12"/>
      <c r="AD3881" s="12"/>
    </row>
    <row r="3882" spans="1:30" ht="15.75" thickBot="1" x14ac:dyDescent="0.3">
      <c r="A3882" s="12"/>
      <c r="B3882" s="12"/>
      <c r="C3882" s="12"/>
      <c r="D3882" s="3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2"/>
      <c r="W3882" s="12"/>
      <c r="X3882" s="12"/>
      <c r="Y3882" s="12"/>
      <c r="Z3882" s="12"/>
      <c r="AA3882" s="12"/>
      <c r="AB3882" s="12"/>
      <c r="AC3882" s="12"/>
      <c r="AD3882" s="12"/>
    </row>
    <row r="3883" spans="1:30" ht="15.75" thickBot="1" x14ac:dyDescent="0.3">
      <c r="A3883" s="12"/>
      <c r="B3883" s="12"/>
      <c r="C3883" s="12"/>
      <c r="D3883" s="3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2"/>
      <c r="W3883" s="12"/>
      <c r="X3883" s="12"/>
      <c r="Y3883" s="12"/>
      <c r="Z3883" s="12"/>
      <c r="AA3883" s="12"/>
      <c r="AB3883" s="12"/>
      <c r="AC3883" s="12"/>
      <c r="AD3883" s="12"/>
    </row>
    <row r="3884" spans="1:30" ht="15.75" thickBot="1" x14ac:dyDescent="0.3">
      <c r="A3884" s="12"/>
      <c r="B3884" s="12"/>
      <c r="C3884" s="12"/>
      <c r="D3884" s="3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2"/>
      <c r="W3884" s="12"/>
      <c r="X3884" s="12"/>
      <c r="Y3884" s="12"/>
      <c r="Z3884" s="12"/>
      <c r="AA3884" s="12"/>
      <c r="AB3884" s="12"/>
      <c r="AC3884" s="12"/>
      <c r="AD3884" s="12"/>
    </row>
    <row r="3885" spans="1:30" ht="15.75" thickBot="1" x14ac:dyDescent="0.3">
      <c r="A3885" s="12"/>
      <c r="B3885" s="12"/>
      <c r="C3885" s="12"/>
      <c r="D3885" s="3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2"/>
      <c r="W3885" s="12"/>
      <c r="X3885" s="12"/>
      <c r="Y3885" s="12"/>
      <c r="Z3885" s="12"/>
      <c r="AA3885" s="12"/>
      <c r="AB3885" s="12"/>
      <c r="AC3885" s="12"/>
      <c r="AD3885" s="12"/>
    </row>
    <row r="3886" spans="1:30" ht="15.75" thickBot="1" x14ac:dyDescent="0.3">
      <c r="A3886" s="12"/>
      <c r="B3886" s="12"/>
      <c r="C3886" s="12"/>
      <c r="D3886" s="3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2"/>
      <c r="W3886" s="12"/>
      <c r="X3886" s="12"/>
      <c r="Y3886" s="12"/>
      <c r="Z3886" s="12"/>
      <c r="AA3886" s="12"/>
      <c r="AB3886" s="12"/>
      <c r="AC3886" s="12"/>
      <c r="AD3886" s="12"/>
    </row>
    <row r="3887" spans="1:30" ht="15.75" thickBot="1" x14ac:dyDescent="0.3">
      <c r="A3887" s="12"/>
      <c r="B3887" s="12"/>
      <c r="C3887" s="12"/>
      <c r="D3887" s="3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2"/>
      <c r="W3887" s="12"/>
      <c r="X3887" s="12"/>
      <c r="Y3887" s="12"/>
      <c r="Z3887" s="12"/>
      <c r="AA3887" s="12"/>
      <c r="AB3887" s="12"/>
      <c r="AC3887" s="12"/>
      <c r="AD3887" s="12"/>
    </row>
    <row r="3888" spans="1:30" ht="15.75" thickBot="1" x14ac:dyDescent="0.3">
      <c r="A3888" s="12"/>
      <c r="B3888" s="12"/>
      <c r="C3888" s="12"/>
      <c r="D3888" s="3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2"/>
      <c r="W3888" s="12"/>
      <c r="X3888" s="12"/>
      <c r="Y3888" s="12"/>
      <c r="Z3888" s="12"/>
      <c r="AA3888" s="12"/>
      <c r="AB3888" s="12"/>
      <c r="AC3888" s="12"/>
      <c r="AD3888" s="12"/>
    </row>
    <row r="3889" spans="1:30" ht="15.75" thickBot="1" x14ac:dyDescent="0.3">
      <c r="A3889" s="12"/>
      <c r="B3889" s="12"/>
      <c r="C3889" s="12"/>
      <c r="D3889" s="3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2"/>
      <c r="W3889" s="12"/>
      <c r="X3889" s="12"/>
      <c r="Y3889" s="12"/>
      <c r="Z3889" s="12"/>
      <c r="AA3889" s="12"/>
      <c r="AB3889" s="12"/>
      <c r="AC3889" s="12"/>
      <c r="AD3889" s="12"/>
    </row>
    <row r="3890" spans="1:30" ht="15.75" thickBot="1" x14ac:dyDescent="0.3">
      <c r="A3890" s="12"/>
      <c r="B3890" s="12"/>
      <c r="C3890" s="12"/>
      <c r="D3890" s="3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2"/>
      <c r="W3890" s="12"/>
      <c r="X3890" s="12"/>
      <c r="Y3890" s="12"/>
      <c r="Z3890" s="12"/>
      <c r="AA3890" s="12"/>
      <c r="AB3890" s="12"/>
      <c r="AC3890" s="12"/>
      <c r="AD3890" s="12"/>
    </row>
    <row r="3891" spans="1:30" ht="15.75" thickBot="1" x14ac:dyDescent="0.3">
      <c r="A3891" s="12"/>
      <c r="B3891" s="12"/>
      <c r="C3891" s="12"/>
      <c r="D3891" s="3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2"/>
      <c r="W3891" s="12"/>
      <c r="X3891" s="12"/>
      <c r="Y3891" s="12"/>
      <c r="Z3891" s="12"/>
      <c r="AA3891" s="12"/>
      <c r="AB3891" s="12"/>
      <c r="AC3891" s="12"/>
      <c r="AD3891" s="12"/>
    </row>
    <row r="3892" spans="1:30" ht="15.75" thickBot="1" x14ac:dyDescent="0.3">
      <c r="A3892" s="12"/>
      <c r="B3892" s="12"/>
      <c r="C3892" s="12"/>
      <c r="D3892" s="3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2"/>
      <c r="W3892" s="12"/>
      <c r="X3892" s="12"/>
      <c r="Y3892" s="12"/>
      <c r="Z3892" s="12"/>
      <c r="AA3892" s="12"/>
      <c r="AB3892" s="12"/>
      <c r="AC3892" s="12"/>
      <c r="AD3892" s="12"/>
    </row>
    <row r="3893" spans="1:30" ht="15.75" thickBot="1" x14ac:dyDescent="0.3">
      <c r="A3893" s="12"/>
      <c r="B3893" s="12"/>
      <c r="C3893" s="12"/>
      <c r="D3893" s="3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2"/>
      <c r="W3893" s="12"/>
      <c r="X3893" s="12"/>
      <c r="Y3893" s="12"/>
      <c r="Z3893" s="12"/>
      <c r="AA3893" s="12"/>
      <c r="AB3893" s="12"/>
      <c r="AC3893" s="12"/>
      <c r="AD3893" s="12"/>
    </row>
    <row r="3894" spans="1:30" ht="15.75" thickBot="1" x14ac:dyDescent="0.3">
      <c r="A3894" s="12"/>
      <c r="B3894" s="12"/>
      <c r="C3894" s="12"/>
      <c r="D3894" s="3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2"/>
      <c r="W3894" s="12"/>
      <c r="X3894" s="12"/>
      <c r="Y3894" s="12"/>
      <c r="Z3894" s="12"/>
      <c r="AA3894" s="12"/>
      <c r="AB3894" s="12"/>
      <c r="AC3894" s="12"/>
      <c r="AD3894" s="12"/>
    </row>
    <row r="3895" spans="1:30" ht="15.75" thickBot="1" x14ac:dyDescent="0.3">
      <c r="A3895" s="12"/>
      <c r="B3895" s="12"/>
      <c r="C3895" s="12"/>
      <c r="D3895" s="3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2"/>
      <c r="W3895" s="12"/>
      <c r="X3895" s="12"/>
      <c r="Y3895" s="12"/>
      <c r="Z3895" s="12"/>
      <c r="AA3895" s="12"/>
      <c r="AB3895" s="12"/>
      <c r="AC3895" s="12"/>
      <c r="AD3895" s="12"/>
    </row>
    <row r="3896" spans="1:30" ht="15.75" thickBot="1" x14ac:dyDescent="0.3">
      <c r="A3896" s="12"/>
      <c r="B3896" s="12"/>
      <c r="C3896" s="12"/>
      <c r="D3896" s="3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2"/>
      <c r="W3896" s="12"/>
      <c r="X3896" s="12"/>
      <c r="Y3896" s="12"/>
      <c r="Z3896" s="12"/>
      <c r="AA3896" s="12"/>
      <c r="AB3896" s="12"/>
      <c r="AC3896" s="12"/>
      <c r="AD3896" s="12"/>
    </row>
    <row r="3897" spans="1:30" ht="15.75" thickBot="1" x14ac:dyDescent="0.3">
      <c r="A3897" s="12"/>
      <c r="B3897" s="12"/>
      <c r="C3897" s="12"/>
      <c r="D3897" s="3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2"/>
      <c r="W3897" s="12"/>
      <c r="X3897" s="12"/>
      <c r="Y3897" s="12"/>
      <c r="Z3897" s="12"/>
      <c r="AA3897" s="12"/>
      <c r="AB3897" s="12"/>
      <c r="AC3897" s="12"/>
      <c r="AD3897" s="12"/>
    </row>
    <row r="3898" spans="1:30" ht="15.75" thickBot="1" x14ac:dyDescent="0.3">
      <c r="A3898" s="12"/>
      <c r="B3898" s="12"/>
      <c r="C3898" s="12"/>
      <c r="D3898" s="3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2"/>
      <c r="W3898" s="12"/>
      <c r="X3898" s="12"/>
      <c r="Y3898" s="12"/>
      <c r="Z3898" s="12"/>
      <c r="AA3898" s="12"/>
      <c r="AB3898" s="12"/>
      <c r="AC3898" s="12"/>
      <c r="AD3898" s="12"/>
    </row>
    <row r="3899" spans="1:30" ht="15.75" thickBot="1" x14ac:dyDescent="0.3">
      <c r="A3899" s="12"/>
      <c r="B3899" s="12"/>
      <c r="C3899" s="12"/>
      <c r="D3899" s="3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2"/>
      <c r="W3899" s="12"/>
      <c r="X3899" s="12"/>
      <c r="Y3899" s="12"/>
      <c r="Z3899" s="12"/>
      <c r="AA3899" s="12"/>
      <c r="AB3899" s="12"/>
      <c r="AC3899" s="12"/>
      <c r="AD3899" s="12"/>
    </row>
    <row r="3900" spans="1:30" ht="15.75" thickBot="1" x14ac:dyDescent="0.3">
      <c r="A3900" s="12"/>
      <c r="B3900" s="12"/>
      <c r="C3900" s="12"/>
      <c r="D3900" s="3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2"/>
      <c r="W3900" s="12"/>
      <c r="X3900" s="12"/>
      <c r="Y3900" s="12"/>
      <c r="Z3900" s="12"/>
      <c r="AA3900" s="12"/>
      <c r="AB3900" s="12"/>
      <c r="AC3900" s="12"/>
      <c r="AD3900" s="12"/>
    </row>
    <row r="3901" spans="1:30" ht="15.75" thickBot="1" x14ac:dyDescent="0.3">
      <c r="A3901" s="12"/>
      <c r="B3901" s="12"/>
      <c r="C3901" s="12"/>
      <c r="D3901" s="3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2"/>
      <c r="W3901" s="12"/>
      <c r="X3901" s="12"/>
      <c r="Y3901" s="12"/>
      <c r="Z3901" s="12"/>
      <c r="AA3901" s="12"/>
      <c r="AB3901" s="12"/>
      <c r="AC3901" s="12"/>
      <c r="AD3901" s="12"/>
    </row>
    <row r="3902" spans="1:30" ht="15.75" thickBot="1" x14ac:dyDescent="0.3">
      <c r="A3902" s="12"/>
      <c r="B3902" s="12"/>
      <c r="C3902" s="12"/>
      <c r="D3902" s="3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2"/>
      <c r="W3902" s="12"/>
      <c r="X3902" s="12"/>
      <c r="Y3902" s="12"/>
      <c r="Z3902" s="12"/>
      <c r="AA3902" s="12"/>
      <c r="AB3902" s="12"/>
      <c r="AC3902" s="12"/>
      <c r="AD3902" s="12"/>
    </row>
    <row r="3903" spans="1:30" ht="15.75" thickBot="1" x14ac:dyDescent="0.3">
      <c r="A3903" s="12"/>
      <c r="B3903" s="12"/>
      <c r="C3903" s="12"/>
      <c r="D3903" s="3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2"/>
      <c r="W3903" s="12"/>
      <c r="X3903" s="12"/>
      <c r="Y3903" s="12"/>
      <c r="Z3903" s="12"/>
      <c r="AA3903" s="12"/>
      <c r="AB3903" s="12"/>
      <c r="AC3903" s="12"/>
      <c r="AD3903" s="12"/>
    </row>
    <row r="3904" spans="1:30" ht="15.75" thickBot="1" x14ac:dyDescent="0.3">
      <c r="A3904" s="12"/>
      <c r="B3904" s="12"/>
      <c r="C3904" s="12"/>
      <c r="D3904" s="3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2"/>
      <c r="W3904" s="12"/>
      <c r="X3904" s="12"/>
      <c r="Y3904" s="12"/>
      <c r="Z3904" s="12"/>
      <c r="AA3904" s="12"/>
      <c r="AB3904" s="12"/>
      <c r="AC3904" s="12"/>
      <c r="AD3904" s="12"/>
    </row>
    <row r="3905" spans="1:30" ht="15.75" thickBot="1" x14ac:dyDescent="0.3">
      <c r="A3905" s="12"/>
      <c r="B3905" s="12"/>
      <c r="C3905" s="12"/>
      <c r="D3905" s="3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2"/>
      <c r="W3905" s="12"/>
      <c r="X3905" s="12"/>
      <c r="Y3905" s="12"/>
      <c r="Z3905" s="12"/>
      <c r="AA3905" s="12"/>
      <c r="AB3905" s="12"/>
      <c r="AC3905" s="12"/>
      <c r="AD3905" s="12"/>
    </row>
    <row r="3906" spans="1:30" ht="15.75" thickBot="1" x14ac:dyDescent="0.3">
      <c r="A3906" s="12"/>
      <c r="B3906" s="12"/>
      <c r="C3906" s="12"/>
      <c r="D3906" s="3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2"/>
      <c r="W3906" s="12"/>
      <c r="X3906" s="12"/>
      <c r="Y3906" s="12"/>
      <c r="Z3906" s="12"/>
      <c r="AA3906" s="12"/>
      <c r="AB3906" s="12"/>
      <c r="AC3906" s="12"/>
      <c r="AD3906" s="12"/>
    </row>
    <row r="3907" spans="1:30" ht="15.75" thickBot="1" x14ac:dyDescent="0.3">
      <c r="A3907" s="12"/>
      <c r="B3907" s="12"/>
      <c r="C3907" s="12"/>
      <c r="D3907" s="3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2"/>
      <c r="W3907" s="12"/>
      <c r="X3907" s="12"/>
      <c r="Y3907" s="12"/>
      <c r="Z3907" s="12"/>
      <c r="AA3907" s="12"/>
      <c r="AB3907" s="12"/>
      <c r="AC3907" s="12"/>
      <c r="AD3907" s="12"/>
    </row>
    <row r="3908" spans="1:30" ht="15.75" thickBot="1" x14ac:dyDescent="0.3">
      <c r="A3908" s="12"/>
      <c r="B3908" s="12"/>
      <c r="C3908" s="12"/>
      <c r="D3908" s="3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2"/>
      <c r="W3908" s="12"/>
      <c r="X3908" s="12"/>
      <c r="Y3908" s="12"/>
      <c r="Z3908" s="12"/>
      <c r="AA3908" s="12"/>
      <c r="AB3908" s="12"/>
      <c r="AC3908" s="12"/>
      <c r="AD3908" s="12"/>
    </row>
    <row r="3909" spans="1:30" ht="15.75" thickBot="1" x14ac:dyDescent="0.3">
      <c r="A3909" s="12"/>
      <c r="B3909" s="12"/>
      <c r="C3909" s="12"/>
      <c r="D3909" s="3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2"/>
      <c r="W3909" s="12"/>
      <c r="X3909" s="12"/>
      <c r="Y3909" s="12"/>
      <c r="Z3909" s="12"/>
      <c r="AA3909" s="12"/>
      <c r="AB3909" s="12"/>
      <c r="AC3909" s="12"/>
      <c r="AD3909" s="12"/>
    </row>
    <row r="3910" spans="1:30" ht="15.75" thickBot="1" x14ac:dyDescent="0.3">
      <c r="A3910" s="12"/>
      <c r="B3910" s="12"/>
      <c r="C3910" s="12"/>
      <c r="D3910" s="3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2"/>
      <c r="W3910" s="12"/>
      <c r="X3910" s="12"/>
      <c r="Y3910" s="12"/>
      <c r="Z3910" s="12"/>
      <c r="AA3910" s="12"/>
      <c r="AB3910" s="12"/>
      <c r="AC3910" s="12"/>
      <c r="AD3910" s="12"/>
    </row>
    <row r="3911" spans="1:30" ht="15.75" thickBot="1" x14ac:dyDescent="0.3">
      <c r="A3911" s="12"/>
      <c r="B3911" s="12"/>
      <c r="C3911" s="12"/>
      <c r="D3911" s="3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2"/>
      <c r="W3911" s="12"/>
      <c r="X3911" s="12"/>
      <c r="Y3911" s="12"/>
      <c r="Z3911" s="12"/>
      <c r="AA3911" s="12"/>
      <c r="AB3911" s="12"/>
      <c r="AC3911" s="12"/>
      <c r="AD3911" s="12"/>
    </row>
    <row r="3912" spans="1:30" ht="15.75" thickBot="1" x14ac:dyDescent="0.3">
      <c r="A3912" s="12"/>
      <c r="B3912" s="12"/>
      <c r="C3912" s="12"/>
      <c r="D3912" s="3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2"/>
      <c r="W3912" s="12"/>
      <c r="X3912" s="12"/>
      <c r="Y3912" s="12"/>
      <c r="Z3912" s="12"/>
      <c r="AA3912" s="12"/>
      <c r="AB3912" s="12"/>
      <c r="AC3912" s="12"/>
      <c r="AD3912" s="12"/>
    </row>
    <row r="3913" spans="1:30" ht="15.75" thickBot="1" x14ac:dyDescent="0.3">
      <c r="A3913" s="12"/>
      <c r="B3913" s="12"/>
      <c r="C3913" s="12"/>
      <c r="D3913" s="3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2"/>
      <c r="W3913" s="12"/>
      <c r="X3913" s="12"/>
      <c r="Y3913" s="12"/>
      <c r="Z3913" s="12"/>
      <c r="AA3913" s="12"/>
      <c r="AB3913" s="12"/>
      <c r="AC3913" s="12"/>
      <c r="AD3913" s="12"/>
    </row>
    <row r="3914" spans="1:30" ht="15.75" thickBot="1" x14ac:dyDescent="0.3">
      <c r="A3914" s="12"/>
      <c r="B3914" s="12"/>
      <c r="C3914" s="12"/>
      <c r="D3914" s="3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2"/>
      <c r="W3914" s="12"/>
      <c r="X3914" s="12"/>
      <c r="Y3914" s="12"/>
      <c r="Z3914" s="12"/>
      <c r="AA3914" s="12"/>
      <c r="AB3914" s="12"/>
      <c r="AC3914" s="12"/>
      <c r="AD3914" s="12"/>
    </row>
    <row r="3915" spans="1:30" ht="15.75" thickBot="1" x14ac:dyDescent="0.3">
      <c r="A3915" s="12"/>
      <c r="B3915" s="12"/>
      <c r="C3915" s="12"/>
      <c r="D3915" s="3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2"/>
      <c r="W3915" s="12"/>
      <c r="X3915" s="12"/>
      <c r="Y3915" s="12"/>
      <c r="Z3915" s="12"/>
      <c r="AA3915" s="12"/>
      <c r="AB3915" s="12"/>
      <c r="AC3915" s="12"/>
      <c r="AD3915" s="12"/>
    </row>
    <row r="3916" spans="1:30" ht="15.75" thickBot="1" x14ac:dyDescent="0.3">
      <c r="A3916" s="12"/>
      <c r="B3916" s="12"/>
      <c r="C3916" s="12"/>
      <c r="D3916" s="3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2"/>
      <c r="W3916" s="12"/>
      <c r="X3916" s="12"/>
      <c r="Y3916" s="12"/>
      <c r="Z3916" s="12"/>
      <c r="AA3916" s="12"/>
      <c r="AB3916" s="12"/>
      <c r="AC3916" s="12"/>
      <c r="AD3916" s="12"/>
    </row>
    <row r="3917" spans="1:30" ht="15.75" thickBot="1" x14ac:dyDescent="0.3">
      <c r="A3917" s="12"/>
      <c r="B3917" s="12"/>
      <c r="C3917" s="12"/>
      <c r="D3917" s="3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2"/>
      <c r="W3917" s="12"/>
      <c r="X3917" s="12"/>
      <c r="Y3917" s="12"/>
      <c r="Z3917" s="12"/>
      <c r="AA3917" s="12"/>
      <c r="AB3917" s="12"/>
      <c r="AC3917" s="12"/>
      <c r="AD3917" s="12"/>
    </row>
    <row r="3918" spans="1:30" ht="15.75" thickBot="1" x14ac:dyDescent="0.3">
      <c r="A3918" s="12"/>
      <c r="B3918" s="12"/>
      <c r="C3918" s="12"/>
      <c r="D3918" s="3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2"/>
      <c r="W3918" s="12"/>
      <c r="X3918" s="12"/>
      <c r="Y3918" s="12"/>
      <c r="Z3918" s="12"/>
      <c r="AA3918" s="12"/>
      <c r="AB3918" s="12"/>
      <c r="AC3918" s="12"/>
      <c r="AD3918" s="12"/>
    </row>
    <row r="3919" spans="1:30" ht="15.75" thickBot="1" x14ac:dyDescent="0.3">
      <c r="A3919" s="12"/>
      <c r="B3919" s="12"/>
      <c r="C3919" s="12"/>
      <c r="D3919" s="3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2"/>
      <c r="W3919" s="12"/>
      <c r="X3919" s="12"/>
      <c r="Y3919" s="12"/>
      <c r="Z3919" s="12"/>
      <c r="AA3919" s="12"/>
      <c r="AB3919" s="12"/>
      <c r="AC3919" s="12"/>
      <c r="AD3919" s="12"/>
    </row>
    <row r="3920" spans="1:30" ht="15.75" thickBot="1" x14ac:dyDescent="0.3">
      <c r="A3920" s="12"/>
      <c r="B3920" s="12"/>
      <c r="C3920" s="12"/>
      <c r="D3920" s="3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2"/>
      <c r="W3920" s="12"/>
      <c r="X3920" s="12"/>
      <c r="Y3920" s="12"/>
      <c r="Z3920" s="12"/>
      <c r="AA3920" s="12"/>
      <c r="AB3920" s="12"/>
      <c r="AC3920" s="12"/>
      <c r="AD3920" s="12"/>
    </row>
    <row r="3921" spans="1:30" ht="15.75" thickBot="1" x14ac:dyDescent="0.3">
      <c r="A3921" s="12"/>
      <c r="B3921" s="12"/>
      <c r="C3921" s="12"/>
      <c r="D3921" s="3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2"/>
      <c r="W3921" s="12"/>
      <c r="X3921" s="12"/>
      <c r="Y3921" s="12"/>
      <c r="Z3921" s="12"/>
      <c r="AA3921" s="12"/>
      <c r="AB3921" s="12"/>
      <c r="AC3921" s="12"/>
      <c r="AD3921" s="12"/>
    </row>
    <row r="3922" spans="1:30" ht="15.75" thickBot="1" x14ac:dyDescent="0.3">
      <c r="A3922" s="12"/>
      <c r="B3922" s="12"/>
      <c r="C3922" s="12"/>
      <c r="D3922" s="3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2"/>
      <c r="W3922" s="12"/>
      <c r="X3922" s="12"/>
      <c r="Y3922" s="12"/>
      <c r="Z3922" s="12"/>
      <c r="AA3922" s="12"/>
      <c r="AB3922" s="12"/>
      <c r="AC3922" s="12"/>
      <c r="AD3922" s="12"/>
    </row>
    <row r="3923" spans="1:30" ht="15.75" thickBot="1" x14ac:dyDescent="0.3">
      <c r="A3923" s="12"/>
      <c r="B3923" s="12"/>
      <c r="C3923" s="12"/>
      <c r="D3923" s="3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2"/>
      <c r="W3923" s="12"/>
      <c r="X3923" s="12"/>
      <c r="Y3923" s="12"/>
      <c r="Z3923" s="12"/>
      <c r="AA3923" s="12"/>
      <c r="AB3923" s="12"/>
      <c r="AC3923" s="12"/>
      <c r="AD3923" s="12"/>
    </row>
    <row r="3924" spans="1:30" ht="15.75" thickBot="1" x14ac:dyDescent="0.3">
      <c r="A3924" s="12"/>
      <c r="B3924" s="12"/>
      <c r="C3924" s="12"/>
      <c r="D3924" s="3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2"/>
      <c r="W3924" s="12"/>
      <c r="X3924" s="12"/>
      <c r="Y3924" s="12"/>
      <c r="Z3924" s="12"/>
      <c r="AA3924" s="12"/>
      <c r="AB3924" s="12"/>
      <c r="AC3924" s="12"/>
      <c r="AD3924" s="12"/>
    </row>
    <row r="3925" spans="1:30" ht="15.75" thickBot="1" x14ac:dyDescent="0.3">
      <c r="A3925" s="12"/>
      <c r="B3925" s="12"/>
      <c r="C3925" s="12"/>
      <c r="D3925" s="3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2"/>
      <c r="W3925" s="12"/>
      <c r="X3925" s="12"/>
      <c r="Y3925" s="12"/>
      <c r="Z3925" s="12"/>
      <c r="AA3925" s="12"/>
      <c r="AB3925" s="12"/>
      <c r="AC3925" s="12"/>
      <c r="AD3925" s="12"/>
    </row>
    <row r="3926" spans="1:30" ht="15.75" thickBot="1" x14ac:dyDescent="0.3">
      <c r="A3926" s="12"/>
      <c r="B3926" s="12"/>
      <c r="C3926" s="12"/>
      <c r="D3926" s="3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2"/>
      <c r="W3926" s="12"/>
      <c r="X3926" s="12"/>
      <c r="Y3926" s="12"/>
      <c r="Z3926" s="12"/>
      <c r="AA3926" s="12"/>
      <c r="AB3926" s="12"/>
      <c r="AC3926" s="12"/>
      <c r="AD3926" s="12"/>
    </row>
    <row r="3927" spans="1:30" ht="15.75" thickBot="1" x14ac:dyDescent="0.3">
      <c r="A3927" s="12"/>
      <c r="B3927" s="12"/>
      <c r="C3927" s="12"/>
      <c r="D3927" s="3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2"/>
      <c r="W3927" s="12"/>
      <c r="X3927" s="12"/>
      <c r="Y3927" s="12"/>
      <c r="Z3927" s="12"/>
      <c r="AA3927" s="12"/>
      <c r="AB3927" s="12"/>
      <c r="AC3927" s="12"/>
      <c r="AD3927" s="12"/>
    </row>
    <row r="3928" spans="1:30" ht="15.75" thickBot="1" x14ac:dyDescent="0.3">
      <c r="A3928" s="12"/>
      <c r="B3928" s="12"/>
      <c r="C3928" s="12"/>
      <c r="D3928" s="3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2"/>
      <c r="W3928" s="12"/>
      <c r="X3928" s="12"/>
      <c r="Y3928" s="12"/>
      <c r="Z3928" s="12"/>
      <c r="AA3928" s="12"/>
      <c r="AB3928" s="12"/>
      <c r="AC3928" s="12"/>
      <c r="AD3928" s="12"/>
    </row>
    <row r="3929" spans="1:30" ht="15.75" thickBot="1" x14ac:dyDescent="0.3">
      <c r="A3929" s="12"/>
      <c r="B3929" s="12"/>
      <c r="C3929" s="12"/>
      <c r="D3929" s="3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2"/>
      <c r="W3929" s="12"/>
      <c r="X3929" s="12"/>
      <c r="Y3929" s="12"/>
      <c r="Z3929" s="12"/>
      <c r="AA3929" s="12"/>
      <c r="AB3929" s="12"/>
      <c r="AC3929" s="12"/>
      <c r="AD3929" s="12"/>
    </row>
    <row r="3930" spans="1:30" ht="15.75" thickBot="1" x14ac:dyDescent="0.3">
      <c r="A3930" s="12"/>
      <c r="B3930" s="12"/>
      <c r="C3930" s="12"/>
      <c r="D3930" s="3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2"/>
      <c r="W3930" s="12"/>
      <c r="X3930" s="12"/>
      <c r="Y3930" s="12"/>
      <c r="Z3930" s="12"/>
      <c r="AA3930" s="12"/>
      <c r="AB3930" s="12"/>
      <c r="AC3930" s="12"/>
      <c r="AD3930" s="12"/>
    </row>
    <row r="3931" spans="1:30" ht="15.75" thickBot="1" x14ac:dyDescent="0.3">
      <c r="A3931" s="12"/>
      <c r="B3931" s="12"/>
      <c r="C3931" s="12"/>
      <c r="D3931" s="3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2"/>
      <c r="W3931" s="12"/>
      <c r="X3931" s="12"/>
      <c r="Y3931" s="12"/>
      <c r="Z3931" s="12"/>
      <c r="AA3931" s="12"/>
      <c r="AB3931" s="12"/>
      <c r="AC3931" s="12"/>
      <c r="AD3931" s="12"/>
    </row>
    <row r="3932" spans="1:30" ht="15.75" thickBot="1" x14ac:dyDescent="0.3">
      <c r="A3932" s="12"/>
      <c r="B3932" s="12"/>
      <c r="C3932" s="12"/>
      <c r="D3932" s="3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2"/>
      <c r="W3932" s="12"/>
      <c r="X3932" s="12"/>
      <c r="Y3932" s="12"/>
      <c r="Z3932" s="12"/>
      <c r="AA3932" s="12"/>
      <c r="AB3932" s="12"/>
      <c r="AC3932" s="12"/>
      <c r="AD3932" s="12"/>
    </row>
    <row r="3933" spans="1:30" ht="15.75" thickBot="1" x14ac:dyDescent="0.3">
      <c r="A3933" s="12"/>
      <c r="B3933" s="12"/>
      <c r="C3933" s="12"/>
      <c r="D3933" s="3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2"/>
      <c r="W3933" s="12"/>
      <c r="X3933" s="12"/>
      <c r="Y3933" s="12"/>
      <c r="Z3933" s="12"/>
      <c r="AA3933" s="12"/>
      <c r="AB3933" s="12"/>
      <c r="AC3933" s="12"/>
      <c r="AD3933" s="12"/>
    </row>
    <row r="3934" spans="1:30" ht="15.75" thickBot="1" x14ac:dyDescent="0.3">
      <c r="A3934" s="12"/>
      <c r="B3934" s="12"/>
      <c r="C3934" s="12"/>
      <c r="D3934" s="3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2"/>
      <c r="W3934" s="12"/>
      <c r="X3934" s="12"/>
      <c r="Y3934" s="12"/>
      <c r="Z3934" s="12"/>
      <c r="AA3934" s="12"/>
      <c r="AB3934" s="12"/>
      <c r="AC3934" s="12"/>
      <c r="AD3934" s="12"/>
    </row>
    <row r="3935" spans="1:30" ht="15.75" thickBot="1" x14ac:dyDescent="0.3">
      <c r="A3935" s="12"/>
      <c r="B3935" s="12"/>
      <c r="C3935" s="12"/>
      <c r="D3935" s="3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2"/>
      <c r="W3935" s="12"/>
      <c r="X3935" s="12"/>
      <c r="Y3935" s="12"/>
      <c r="Z3935" s="12"/>
      <c r="AA3935" s="12"/>
      <c r="AB3935" s="12"/>
      <c r="AC3935" s="12"/>
      <c r="AD3935" s="12"/>
    </row>
    <row r="3936" spans="1:30" ht="15.75" thickBot="1" x14ac:dyDescent="0.3">
      <c r="A3936" s="12"/>
      <c r="B3936" s="12"/>
      <c r="C3936" s="12"/>
      <c r="D3936" s="3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2"/>
      <c r="W3936" s="12"/>
      <c r="X3936" s="12"/>
      <c r="Y3936" s="12"/>
      <c r="Z3936" s="12"/>
      <c r="AA3936" s="12"/>
      <c r="AB3936" s="12"/>
      <c r="AC3936" s="12"/>
      <c r="AD3936" s="12"/>
    </row>
    <row r="3937" spans="1:30" ht="15.75" thickBot="1" x14ac:dyDescent="0.3">
      <c r="A3937" s="12"/>
      <c r="B3937" s="12"/>
      <c r="C3937" s="12"/>
      <c r="D3937" s="3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2"/>
      <c r="W3937" s="12"/>
      <c r="X3937" s="12"/>
      <c r="Y3937" s="12"/>
      <c r="Z3937" s="12"/>
      <c r="AA3937" s="12"/>
      <c r="AB3937" s="12"/>
      <c r="AC3937" s="12"/>
      <c r="AD3937" s="12"/>
    </row>
    <row r="3938" spans="1:30" ht="15.75" thickBot="1" x14ac:dyDescent="0.3">
      <c r="A3938" s="12"/>
      <c r="B3938" s="12"/>
      <c r="C3938" s="12"/>
      <c r="D3938" s="3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2"/>
      <c r="W3938" s="12"/>
      <c r="X3938" s="12"/>
      <c r="Y3938" s="12"/>
      <c r="Z3938" s="12"/>
      <c r="AA3938" s="12"/>
      <c r="AB3938" s="12"/>
      <c r="AC3938" s="12"/>
      <c r="AD3938" s="12"/>
    </row>
    <row r="3939" spans="1:30" ht="15.75" thickBot="1" x14ac:dyDescent="0.3">
      <c r="A3939" s="12"/>
      <c r="B3939" s="12"/>
      <c r="C3939" s="12"/>
      <c r="D3939" s="3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2"/>
      <c r="W3939" s="12"/>
      <c r="X3939" s="12"/>
      <c r="Y3939" s="12"/>
      <c r="Z3939" s="12"/>
      <c r="AA3939" s="12"/>
      <c r="AB3939" s="12"/>
      <c r="AC3939" s="12"/>
      <c r="AD3939" s="12"/>
    </row>
    <row r="3940" spans="1:30" ht="15.75" thickBot="1" x14ac:dyDescent="0.3">
      <c r="A3940" s="12"/>
      <c r="B3940" s="12"/>
      <c r="C3940" s="12"/>
      <c r="D3940" s="3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2"/>
      <c r="W3940" s="12"/>
      <c r="X3940" s="12"/>
      <c r="Y3940" s="12"/>
      <c r="Z3940" s="12"/>
      <c r="AA3940" s="12"/>
      <c r="AB3940" s="12"/>
      <c r="AC3940" s="12"/>
      <c r="AD3940" s="12"/>
    </row>
    <row r="3941" spans="1:30" ht="15.75" thickBot="1" x14ac:dyDescent="0.3">
      <c r="A3941" s="12"/>
      <c r="B3941" s="12"/>
      <c r="C3941" s="12"/>
      <c r="D3941" s="3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2"/>
      <c r="W3941" s="12"/>
      <c r="X3941" s="12"/>
      <c r="Y3941" s="12"/>
      <c r="Z3941" s="12"/>
      <c r="AA3941" s="12"/>
      <c r="AB3941" s="12"/>
      <c r="AC3941" s="12"/>
      <c r="AD3941" s="12"/>
    </row>
    <row r="3942" spans="1:30" ht="15.75" thickBot="1" x14ac:dyDescent="0.3">
      <c r="A3942" s="12"/>
      <c r="B3942" s="12"/>
      <c r="C3942" s="12"/>
      <c r="D3942" s="3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2"/>
      <c r="W3942" s="12"/>
      <c r="X3942" s="12"/>
      <c r="Y3942" s="12"/>
      <c r="Z3942" s="12"/>
      <c r="AA3942" s="12"/>
      <c r="AB3942" s="12"/>
      <c r="AC3942" s="12"/>
      <c r="AD3942" s="12"/>
    </row>
    <row r="3943" spans="1:30" ht="15.75" thickBot="1" x14ac:dyDescent="0.3">
      <c r="A3943" s="12"/>
      <c r="B3943" s="12"/>
      <c r="C3943" s="12"/>
      <c r="D3943" s="3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2"/>
      <c r="W3943" s="12"/>
      <c r="X3943" s="12"/>
      <c r="Y3943" s="12"/>
      <c r="Z3943" s="12"/>
      <c r="AA3943" s="12"/>
      <c r="AB3943" s="12"/>
      <c r="AC3943" s="12"/>
      <c r="AD3943" s="12"/>
    </row>
    <row r="3944" spans="1:30" ht="15.75" thickBot="1" x14ac:dyDescent="0.3">
      <c r="A3944" s="12"/>
      <c r="B3944" s="12"/>
      <c r="C3944" s="12"/>
      <c r="D3944" s="3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2"/>
      <c r="W3944" s="12"/>
      <c r="X3944" s="12"/>
      <c r="Y3944" s="12"/>
      <c r="Z3944" s="12"/>
      <c r="AA3944" s="12"/>
      <c r="AB3944" s="12"/>
      <c r="AC3944" s="12"/>
      <c r="AD3944" s="12"/>
    </row>
    <row r="3945" spans="1:30" ht="15.75" thickBot="1" x14ac:dyDescent="0.3">
      <c r="A3945" s="12"/>
      <c r="B3945" s="12"/>
      <c r="C3945" s="12"/>
      <c r="D3945" s="3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2"/>
      <c r="W3945" s="12"/>
      <c r="X3945" s="12"/>
      <c r="Y3945" s="12"/>
      <c r="Z3945" s="12"/>
      <c r="AA3945" s="12"/>
      <c r="AB3945" s="12"/>
      <c r="AC3945" s="12"/>
      <c r="AD3945" s="12"/>
    </row>
    <row r="3946" spans="1:30" ht="15.75" thickBot="1" x14ac:dyDescent="0.3">
      <c r="A3946" s="12"/>
      <c r="B3946" s="12"/>
      <c r="C3946" s="12"/>
      <c r="D3946" s="3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2"/>
      <c r="W3946" s="12"/>
      <c r="X3946" s="12"/>
      <c r="Y3946" s="12"/>
      <c r="Z3946" s="12"/>
      <c r="AA3946" s="12"/>
      <c r="AB3946" s="12"/>
      <c r="AC3946" s="12"/>
      <c r="AD3946" s="12"/>
    </row>
    <row r="3947" spans="1:30" ht="15.75" thickBot="1" x14ac:dyDescent="0.3">
      <c r="A3947" s="12"/>
      <c r="B3947" s="12"/>
      <c r="C3947" s="12"/>
      <c r="D3947" s="3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2"/>
      <c r="W3947" s="12"/>
      <c r="X3947" s="12"/>
      <c r="Y3947" s="12"/>
      <c r="Z3947" s="12"/>
      <c r="AA3947" s="12"/>
      <c r="AB3947" s="12"/>
      <c r="AC3947" s="12"/>
      <c r="AD3947" s="12"/>
    </row>
    <row r="3948" spans="1:30" ht="15.75" thickBot="1" x14ac:dyDescent="0.3">
      <c r="A3948" s="12"/>
      <c r="B3948" s="12"/>
      <c r="C3948" s="12"/>
      <c r="D3948" s="3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2"/>
      <c r="W3948" s="12"/>
      <c r="X3948" s="12"/>
      <c r="Y3948" s="12"/>
      <c r="Z3948" s="12"/>
      <c r="AA3948" s="12"/>
      <c r="AB3948" s="12"/>
      <c r="AC3948" s="12"/>
      <c r="AD3948" s="12"/>
    </row>
    <row r="3949" spans="1:30" ht="15.75" thickBot="1" x14ac:dyDescent="0.3">
      <c r="A3949" s="12"/>
      <c r="B3949" s="12"/>
      <c r="C3949" s="12"/>
      <c r="D3949" s="3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2"/>
      <c r="W3949" s="12"/>
      <c r="X3949" s="12"/>
      <c r="Y3949" s="12"/>
      <c r="Z3949" s="12"/>
      <c r="AA3949" s="12"/>
      <c r="AB3949" s="12"/>
      <c r="AC3949" s="12"/>
      <c r="AD3949" s="12"/>
    </row>
    <row r="3950" spans="1:30" ht="15.75" thickBot="1" x14ac:dyDescent="0.3">
      <c r="A3950" s="12"/>
      <c r="B3950" s="12"/>
      <c r="C3950" s="12"/>
      <c r="D3950" s="3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2"/>
      <c r="W3950" s="12"/>
      <c r="X3950" s="12"/>
      <c r="Y3950" s="12"/>
      <c r="Z3950" s="12"/>
      <c r="AA3950" s="12"/>
      <c r="AB3950" s="12"/>
      <c r="AC3950" s="12"/>
      <c r="AD3950" s="12"/>
    </row>
    <row r="3951" spans="1:30" ht="15.75" thickBot="1" x14ac:dyDescent="0.3">
      <c r="A3951" s="12"/>
      <c r="B3951" s="12"/>
      <c r="C3951" s="12"/>
      <c r="D3951" s="3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2"/>
      <c r="W3951" s="12"/>
      <c r="X3951" s="12"/>
      <c r="Y3951" s="12"/>
      <c r="Z3951" s="12"/>
      <c r="AA3951" s="12"/>
      <c r="AB3951" s="12"/>
      <c r="AC3951" s="12"/>
      <c r="AD3951" s="12"/>
    </row>
    <row r="3952" spans="1:30" ht="15.75" thickBot="1" x14ac:dyDescent="0.3">
      <c r="A3952" s="12"/>
      <c r="B3952" s="12"/>
      <c r="C3952" s="12"/>
      <c r="D3952" s="3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2"/>
      <c r="W3952" s="12"/>
      <c r="X3952" s="12"/>
      <c r="Y3952" s="12"/>
      <c r="Z3952" s="12"/>
      <c r="AA3952" s="12"/>
      <c r="AB3952" s="12"/>
      <c r="AC3952" s="12"/>
      <c r="AD3952" s="12"/>
    </row>
    <row r="3953" spans="1:30" ht="15.75" thickBot="1" x14ac:dyDescent="0.3">
      <c r="A3953" s="12"/>
      <c r="B3953" s="12"/>
      <c r="C3953" s="12"/>
      <c r="D3953" s="3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2"/>
      <c r="W3953" s="12"/>
      <c r="X3953" s="12"/>
      <c r="Y3953" s="12"/>
      <c r="Z3953" s="12"/>
      <c r="AA3953" s="12"/>
      <c r="AB3953" s="12"/>
      <c r="AC3953" s="12"/>
      <c r="AD3953" s="12"/>
    </row>
    <row r="3954" spans="1:30" ht="15.75" thickBot="1" x14ac:dyDescent="0.3">
      <c r="A3954" s="12"/>
      <c r="B3954" s="12"/>
      <c r="C3954" s="12"/>
      <c r="D3954" s="3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2"/>
      <c r="W3954" s="12"/>
      <c r="X3954" s="12"/>
      <c r="Y3954" s="12"/>
      <c r="Z3954" s="12"/>
      <c r="AA3954" s="12"/>
      <c r="AB3954" s="12"/>
      <c r="AC3954" s="12"/>
      <c r="AD3954" s="12"/>
    </row>
    <row r="3955" spans="1:30" ht="15.75" thickBot="1" x14ac:dyDescent="0.3">
      <c r="A3955" s="12"/>
      <c r="B3955" s="12"/>
      <c r="C3955" s="12"/>
      <c r="D3955" s="3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2"/>
      <c r="W3955" s="12"/>
      <c r="X3955" s="12"/>
      <c r="Y3955" s="12"/>
      <c r="Z3955" s="12"/>
      <c r="AA3955" s="12"/>
      <c r="AB3955" s="12"/>
      <c r="AC3955" s="12"/>
      <c r="AD3955" s="12"/>
    </row>
    <row r="3956" spans="1:30" ht="15.75" thickBot="1" x14ac:dyDescent="0.3">
      <c r="A3956" s="12"/>
      <c r="B3956" s="12"/>
      <c r="C3956" s="12"/>
      <c r="D3956" s="3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2"/>
      <c r="W3956" s="12"/>
      <c r="X3956" s="12"/>
      <c r="Y3956" s="12"/>
      <c r="Z3956" s="12"/>
      <c r="AA3956" s="12"/>
      <c r="AB3956" s="12"/>
      <c r="AC3956" s="12"/>
      <c r="AD3956" s="12"/>
    </row>
    <row r="3957" spans="1:30" ht="15.75" thickBot="1" x14ac:dyDescent="0.3">
      <c r="A3957" s="12"/>
      <c r="B3957" s="12"/>
      <c r="C3957" s="12"/>
      <c r="D3957" s="3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2"/>
      <c r="W3957" s="12"/>
      <c r="X3957" s="12"/>
      <c r="Y3957" s="12"/>
      <c r="Z3957" s="12"/>
      <c r="AA3957" s="12"/>
      <c r="AB3957" s="12"/>
      <c r="AC3957" s="12"/>
      <c r="AD3957" s="12"/>
    </row>
    <row r="3958" spans="1:30" ht="15.75" thickBot="1" x14ac:dyDescent="0.3">
      <c r="A3958" s="12"/>
      <c r="B3958" s="12"/>
      <c r="C3958" s="12"/>
      <c r="D3958" s="3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2"/>
      <c r="W3958" s="12"/>
      <c r="X3958" s="12"/>
      <c r="Y3958" s="12"/>
      <c r="Z3958" s="12"/>
      <c r="AA3958" s="12"/>
      <c r="AB3958" s="12"/>
      <c r="AC3958" s="12"/>
      <c r="AD3958" s="12"/>
    </row>
    <row r="3959" spans="1:30" ht="15.75" thickBot="1" x14ac:dyDescent="0.3">
      <c r="A3959" s="12"/>
      <c r="B3959" s="12"/>
      <c r="C3959" s="12"/>
      <c r="D3959" s="3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2"/>
      <c r="W3959" s="12"/>
      <c r="X3959" s="12"/>
      <c r="Y3959" s="12"/>
      <c r="Z3959" s="12"/>
      <c r="AA3959" s="12"/>
      <c r="AB3959" s="12"/>
      <c r="AC3959" s="12"/>
      <c r="AD3959" s="12"/>
    </row>
    <row r="3960" spans="1:30" ht="15.75" thickBot="1" x14ac:dyDescent="0.3">
      <c r="A3960" s="12"/>
      <c r="B3960" s="12"/>
      <c r="C3960" s="12"/>
      <c r="D3960" s="3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2"/>
      <c r="W3960" s="12"/>
      <c r="X3960" s="12"/>
      <c r="Y3960" s="12"/>
      <c r="Z3960" s="12"/>
      <c r="AA3960" s="12"/>
      <c r="AB3960" s="12"/>
      <c r="AC3960" s="12"/>
      <c r="AD3960" s="12"/>
    </row>
    <row r="3961" spans="1:30" ht="15.75" thickBot="1" x14ac:dyDescent="0.3">
      <c r="A3961" s="12"/>
      <c r="B3961" s="12"/>
      <c r="C3961" s="12"/>
      <c r="D3961" s="3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2"/>
      <c r="W3961" s="12"/>
      <c r="X3961" s="12"/>
      <c r="Y3961" s="12"/>
      <c r="Z3961" s="12"/>
      <c r="AA3961" s="12"/>
      <c r="AB3961" s="12"/>
      <c r="AC3961" s="12"/>
      <c r="AD3961" s="12"/>
    </row>
    <row r="3962" spans="1:30" ht="15.75" thickBot="1" x14ac:dyDescent="0.3">
      <c r="A3962" s="12"/>
      <c r="B3962" s="12"/>
      <c r="C3962" s="12"/>
      <c r="D3962" s="3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2"/>
      <c r="W3962" s="12"/>
      <c r="X3962" s="12"/>
      <c r="Y3962" s="12"/>
      <c r="Z3962" s="12"/>
      <c r="AA3962" s="12"/>
      <c r="AB3962" s="12"/>
      <c r="AC3962" s="12"/>
      <c r="AD3962" s="12"/>
    </row>
    <row r="3963" spans="1:30" ht="15.75" thickBot="1" x14ac:dyDescent="0.3">
      <c r="A3963" s="12"/>
      <c r="B3963" s="12"/>
      <c r="C3963" s="12"/>
      <c r="D3963" s="3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2"/>
      <c r="W3963" s="12"/>
      <c r="X3963" s="12"/>
      <c r="Y3963" s="12"/>
      <c r="Z3963" s="12"/>
      <c r="AA3963" s="12"/>
      <c r="AB3963" s="12"/>
      <c r="AC3963" s="12"/>
      <c r="AD3963" s="12"/>
    </row>
    <row r="3964" spans="1:30" ht="15.75" thickBot="1" x14ac:dyDescent="0.3">
      <c r="A3964" s="12"/>
      <c r="B3964" s="12"/>
      <c r="C3964" s="12"/>
      <c r="D3964" s="3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2"/>
      <c r="W3964" s="12"/>
      <c r="X3964" s="12"/>
      <c r="Y3964" s="12"/>
      <c r="Z3964" s="12"/>
      <c r="AA3964" s="12"/>
      <c r="AB3964" s="12"/>
      <c r="AC3964" s="12"/>
      <c r="AD3964" s="12"/>
    </row>
    <row r="3965" spans="1:30" ht="15.75" thickBot="1" x14ac:dyDescent="0.3">
      <c r="A3965" s="12"/>
      <c r="B3965" s="12"/>
      <c r="C3965" s="12"/>
      <c r="D3965" s="3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2"/>
      <c r="W3965" s="12"/>
      <c r="X3965" s="12"/>
      <c r="Y3965" s="12"/>
      <c r="Z3965" s="12"/>
      <c r="AA3965" s="12"/>
      <c r="AB3965" s="12"/>
      <c r="AC3965" s="12"/>
      <c r="AD3965" s="12"/>
    </row>
    <row r="3966" spans="1:30" ht="15.75" thickBot="1" x14ac:dyDescent="0.3">
      <c r="A3966" s="12"/>
      <c r="B3966" s="12"/>
      <c r="C3966" s="12"/>
      <c r="D3966" s="3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2"/>
      <c r="W3966" s="12"/>
      <c r="X3966" s="12"/>
      <c r="Y3966" s="12"/>
      <c r="Z3966" s="12"/>
      <c r="AA3966" s="12"/>
      <c r="AB3966" s="12"/>
      <c r="AC3966" s="12"/>
      <c r="AD3966" s="12"/>
    </row>
    <row r="3967" spans="1:30" ht="15.75" thickBot="1" x14ac:dyDescent="0.3">
      <c r="A3967" s="12"/>
      <c r="B3967" s="12"/>
      <c r="C3967" s="12"/>
      <c r="D3967" s="3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2"/>
      <c r="W3967" s="12"/>
      <c r="X3967" s="12"/>
      <c r="Y3967" s="12"/>
      <c r="Z3967" s="12"/>
      <c r="AA3967" s="12"/>
      <c r="AB3967" s="12"/>
      <c r="AC3967" s="12"/>
      <c r="AD3967" s="12"/>
    </row>
    <row r="3968" spans="1:30" ht="15.75" thickBot="1" x14ac:dyDescent="0.3">
      <c r="A3968" s="12"/>
      <c r="B3968" s="12"/>
      <c r="C3968" s="12"/>
      <c r="D3968" s="3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2"/>
      <c r="W3968" s="12"/>
      <c r="X3968" s="12"/>
      <c r="Y3968" s="12"/>
      <c r="Z3968" s="12"/>
      <c r="AA3968" s="12"/>
      <c r="AB3968" s="12"/>
      <c r="AC3968" s="12"/>
      <c r="AD3968" s="12"/>
    </row>
    <row r="3969" spans="1:30" ht="15.75" thickBot="1" x14ac:dyDescent="0.3">
      <c r="A3969" s="12"/>
      <c r="B3969" s="12"/>
      <c r="C3969" s="12"/>
      <c r="D3969" s="3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2"/>
      <c r="W3969" s="12"/>
      <c r="X3969" s="12"/>
      <c r="Y3969" s="12"/>
      <c r="Z3969" s="12"/>
      <c r="AA3969" s="12"/>
      <c r="AB3969" s="12"/>
      <c r="AC3969" s="12"/>
      <c r="AD3969" s="12"/>
    </row>
    <row r="3970" spans="1:30" ht="15.75" thickBot="1" x14ac:dyDescent="0.3">
      <c r="A3970" s="12"/>
      <c r="B3970" s="12"/>
      <c r="C3970" s="12"/>
      <c r="D3970" s="3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2"/>
      <c r="W3970" s="12"/>
      <c r="X3970" s="12"/>
      <c r="Y3970" s="12"/>
      <c r="Z3970" s="12"/>
      <c r="AA3970" s="12"/>
      <c r="AB3970" s="12"/>
      <c r="AC3970" s="12"/>
      <c r="AD3970" s="12"/>
    </row>
    <row r="3971" spans="1:30" ht="15.75" thickBot="1" x14ac:dyDescent="0.3">
      <c r="A3971" s="12"/>
      <c r="B3971" s="12"/>
      <c r="C3971" s="12"/>
      <c r="D3971" s="3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2"/>
      <c r="W3971" s="12"/>
      <c r="X3971" s="12"/>
      <c r="Y3971" s="12"/>
      <c r="Z3971" s="12"/>
      <c r="AA3971" s="12"/>
      <c r="AB3971" s="12"/>
      <c r="AC3971" s="12"/>
      <c r="AD3971" s="12"/>
    </row>
    <row r="3972" spans="1:30" ht="15.75" thickBot="1" x14ac:dyDescent="0.3">
      <c r="A3972" s="12"/>
      <c r="B3972" s="12"/>
      <c r="C3972" s="12"/>
      <c r="D3972" s="3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2"/>
      <c r="W3972" s="12"/>
      <c r="X3972" s="12"/>
      <c r="Y3972" s="12"/>
      <c r="Z3972" s="12"/>
      <c r="AA3972" s="12"/>
      <c r="AB3972" s="12"/>
      <c r="AC3972" s="12"/>
      <c r="AD3972" s="12"/>
    </row>
    <row r="3973" spans="1:30" ht="15.75" thickBot="1" x14ac:dyDescent="0.3">
      <c r="A3973" s="12"/>
      <c r="B3973" s="12"/>
      <c r="C3973" s="12"/>
      <c r="D3973" s="3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2"/>
      <c r="W3973" s="12"/>
      <c r="X3973" s="12"/>
      <c r="Y3973" s="12"/>
      <c r="Z3973" s="12"/>
      <c r="AA3973" s="12"/>
      <c r="AB3973" s="12"/>
      <c r="AC3973" s="12"/>
      <c r="AD3973" s="12"/>
    </row>
    <row r="3974" spans="1:30" ht="15.75" thickBot="1" x14ac:dyDescent="0.3">
      <c r="A3974" s="12"/>
      <c r="B3974" s="12"/>
      <c r="C3974" s="12"/>
      <c r="D3974" s="3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2"/>
      <c r="W3974" s="12"/>
      <c r="X3974" s="12"/>
      <c r="Y3974" s="12"/>
      <c r="Z3974" s="12"/>
      <c r="AA3974" s="12"/>
      <c r="AB3974" s="12"/>
      <c r="AC3974" s="12"/>
      <c r="AD3974" s="12"/>
    </row>
    <row r="3975" spans="1:30" ht="15.75" thickBot="1" x14ac:dyDescent="0.3">
      <c r="A3975" s="12"/>
      <c r="B3975" s="12"/>
      <c r="C3975" s="12"/>
      <c r="D3975" s="3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2"/>
      <c r="W3975" s="12"/>
      <c r="X3975" s="12"/>
      <c r="Y3975" s="12"/>
      <c r="Z3975" s="12"/>
      <c r="AA3975" s="12"/>
      <c r="AB3975" s="12"/>
      <c r="AC3975" s="12"/>
      <c r="AD3975" s="12"/>
    </row>
    <row r="3976" spans="1:30" ht="15.75" thickBot="1" x14ac:dyDescent="0.3">
      <c r="A3976" s="12"/>
      <c r="B3976" s="12"/>
      <c r="C3976" s="12"/>
      <c r="D3976" s="3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2"/>
      <c r="W3976" s="12"/>
      <c r="X3976" s="12"/>
      <c r="Y3976" s="12"/>
      <c r="Z3976" s="12"/>
      <c r="AA3976" s="12"/>
      <c r="AB3976" s="12"/>
      <c r="AC3976" s="12"/>
      <c r="AD3976" s="12"/>
    </row>
    <row r="3977" spans="1:30" ht="15.75" thickBot="1" x14ac:dyDescent="0.3">
      <c r="A3977" s="12"/>
      <c r="B3977" s="12"/>
      <c r="C3977" s="12"/>
      <c r="D3977" s="3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2"/>
      <c r="W3977" s="12"/>
      <c r="X3977" s="12"/>
      <c r="Y3977" s="12"/>
      <c r="Z3977" s="12"/>
      <c r="AA3977" s="12"/>
      <c r="AB3977" s="12"/>
      <c r="AC3977" s="12"/>
      <c r="AD3977" s="12"/>
    </row>
    <row r="3978" spans="1:30" ht="15.75" thickBot="1" x14ac:dyDescent="0.3">
      <c r="A3978" s="12"/>
      <c r="B3978" s="12"/>
      <c r="C3978" s="12"/>
      <c r="D3978" s="3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2"/>
      <c r="W3978" s="12"/>
      <c r="X3978" s="12"/>
      <c r="Y3978" s="12"/>
      <c r="Z3978" s="12"/>
      <c r="AA3978" s="12"/>
      <c r="AB3978" s="12"/>
      <c r="AC3978" s="12"/>
      <c r="AD3978" s="12"/>
    </row>
    <row r="3979" spans="1:30" ht="15.75" thickBot="1" x14ac:dyDescent="0.3">
      <c r="A3979" s="12"/>
      <c r="B3979" s="12"/>
      <c r="C3979" s="12"/>
      <c r="D3979" s="3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2"/>
      <c r="W3979" s="12"/>
      <c r="X3979" s="12"/>
      <c r="Y3979" s="12"/>
      <c r="Z3979" s="12"/>
      <c r="AA3979" s="12"/>
      <c r="AB3979" s="12"/>
      <c r="AC3979" s="12"/>
      <c r="AD3979" s="12"/>
    </row>
    <row r="3980" spans="1:30" ht="15.75" thickBot="1" x14ac:dyDescent="0.3">
      <c r="A3980" s="12"/>
      <c r="B3980" s="12"/>
      <c r="C3980" s="12"/>
      <c r="D3980" s="3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2"/>
      <c r="W3980" s="12"/>
      <c r="X3980" s="12"/>
      <c r="Y3980" s="12"/>
      <c r="Z3980" s="12"/>
      <c r="AA3980" s="12"/>
      <c r="AB3980" s="12"/>
      <c r="AC3980" s="12"/>
      <c r="AD3980" s="12"/>
    </row>
    <row r="3981" spans="1:30" ht="15.75" thickBot="1" x14ac:dyDescent="0.3">
      <c r="A3981" s="12"/>
      <c r="B3981" s="12"/>
      <c r="C3981" s="12"/>
      <c r="D3981" s="3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2"/>
      <c r="W3981" s="12"/>
      <c r="X3981" s="12"/>
      <c r="Y3981" s="12"/>
      <c r="Z3981" s="12"/>
      <c r="AA3981" s="12"/>
      <c r="AB3981" s="12"/>
      <c r="AC3981" s="12"/>
      <c r="AD3981" s="12"/>
    </row>
    <row r="3982" spans="1:30" ht="15.75" thickBot="1" x14ac:dyDescent="0.3">
      <c r="A3982" s="12"/>
      <c r="B3982" s="12"/>
      <c r="C3982" s="12"/>
      <c r="D3982" s="3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2"/>
      <c r="W3982" s="12"/>
      <c r="X3982" s="12"/>
      <c r="Y3982" s="12"/>
      <c r="Z3982" s="12"/>
      <c r="AA3982" s="12"/>
      <c r="AB3982" s="12"/>
      <c r="AC3982" s="12"/>
      <c r="AD3982" s="12"/>
    </row>
    <row r="3983" spans="1:30" ht="15.75" thickBot="1" x14ac:dyDescent="0.3">
      <c r="A3983" s="12"/>
      <c r="B3983" s="12"/>
      <c r="C3983" s="12"/>
      <c r="D3983" s="3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2"/>
      <c r="W3983" s="12"/>
      <c r="X3983" s="12"/>
      <c r="Y3983" s="12"/>
      <c r="Z3983" s="12"/>
      <c r="AA3983" s="12"/>
      <c r="AB3983" s="12"/>
      <c r="AC3983" s="12"/>
      <c r="AD3983" s="12"/>
    </row>
    <row r="3984" spans="1:30" ht="15.75" thickBot="1" x14ac:dyDescent="0.3">
      <c r="A3984" s="12"/>
      <c r="B3984" s="12"/>
      <c r="C3984" s="12"/>
      <c r="D3984" s="3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2"/>
      <c r="W3984" s="12"/>
      <c r="X3984" s="12"/>
      <c r="Y3984" s="12"/>
      <c r="Z3984" s="12"/>
      <c r="AA3984" s="12"/>
      <c r="AB3984" s="12"/>
      <c r="AC3984" s="12"/>
      <c r="AD3984" s="12"/>
    </row>
    <row r="3985" spans="1:30" ht="15.75" thickBot="1" x14ac:dyDescent="0.3">
      <c r="A3985" s="12"/>
      <c r="B3985" s="12"/>
      <c r="C3985" s="12"/>
      <c r="D3985" s="3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2"/>
      <c r="W3985" s="12"/>
      <c r="X3985" s="12"/>
      <c r="Y3985" s="12"/>
      <c r="Z3985" s="12"/>
      <c r="AA3985" s="12"/>
      <c r="AB3985" s="12"/>
      <c r="AC3985" s="12"/>
      <c r="AD3985" s="12"/>
    </row>
    <row r="3986" spans="1:30" ht="15.75" thickBot="1" x14ac:dyDescent="0.3">
      <c r="A3986" s="12"/>
      <c r="B3986" s="12"/>
      <c r="C3986" s="12"/>
      <c r="D3986" s="3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2"/>
      <c r="W3986" s="12"/>
      <c r="X3986" s="12"/>
      <c r="Y3986" s="12"/>
      <c r="Z3986" s="12"/>
      <c r="AA3986" s="12"/>
      <c r="AB3986" s="12"/>
      <c r="AC3986" s="12"/>
      <c r="AD3986" s="12"/>
    </row>
    <row r="3987" spans="1:30" ht="15.75" thickBot="1" x14ac:dyDescent="0.3">
      <c r="A3987" s="12"/>
      <c r="B3987" s="12"/>
      <c r="C3987" s="12"/>
      <c r="D3987" s="3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2"/>
      <c r="W3987" s="12"/>
      <c r="X3987" s="12"/>
      <c r="Y3987" s="12"/>
      <c r="Z3987" s="12"/>
      <c r="AA3987" s="12"/>
      <c r="AB3987" s="12"/>
      <c r="AC3987" s="12"/>
      <c r="AD3987" s="12"/>
    </row>
    <row r="3988" spans="1:30" ht="15.75" thickBot="1" x14ac:dyDescent="0.3">
      <c r="A3988" s="12"/>
      <c r="B3988" s="12"/>
      <c r="C3988" s="12"/>
      <c r="D3988" s="3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2"/>
      <c r="W3988" s="12"/>
      <c r="X3988" s="12"/>
      <c r="Y3988" s="12"/>
      <c r="Z3988" s="12"/>
      <c r="AA3988" s="12"/>
      <c r="AB3988" s="12"/>
      <c r="AC3988" s="12"/>
      <c r="AD3988" s="12"/>
    </row>
    <row r="3989" spans="1:30" ht="15.75" thickBot="1" x14ac:dyDescent="0.3">
      <c r="A3989" s="12"/>
      <c r="B3989" s="12"/>
      <c r="C3989" s="12"/>
      <c r="D3989" s="3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2"/>
      <c r="W3989" s="12"/>
      <c r="X3989" s="12"/>
      <c r="Y3989" s="12"/>
      <c r="Z3989" s="12"/>
      <c r="AA3989" s="12"/>
      <c r="AB3989" s="12"/>
      <c r="AC3989" s="12"/>
      <c r="AD3989" s="12"/>
    </row>
    <row r="3990" spans="1:30" ht="15.75" thickBot="1" x14ac:dyDescent="0.3">
      <c r="A3990" s="12"/>
      <c r="B3990" s="12"/>
      <c r="C3990" s="12"/>
      <c r="D3990" s="3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2"/>
      <c r="W3990" s="12"/>
      <c r="X3990" s="12"/>
      <c r="Y3990" s="12"/>
      <c r="Z3990" s="12"/>
      <c r="AA3990" s="12"/>
      <c r="AB3990" s="12"/>
      <c r="AC3990" s="12"/>
      <c r="AD3990" s="12"/>
    </row>
    <row r="3991" spans="1:30" ht="15.75" thickBot="1" x14ac:dyDescent="0.3">
      <c r="A3991" s="12"/>
      <c r="B3991" s="12"/>
      <c r="C3991" s="12"/>
      <c r="D3991" s="3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2"/>
      <c r="W3991" s="12"/>
      <c r="X3991" s="12"/>
      <c r="Y3991" s="12"/>
      <c r="Z3991" s="12"/>
      <c r="AA3991" s="12"/>
      <c r="AB3991" s="12"/>
      <c r="AC3991" s="12"/>
      <c r="AD3991" s="12"/>
    </row>
    <row r="3992" spans="1:30" ht="15.75" thickBot="1" x14ac:dyDescent="0.3">
      <c r="A3992" s="12"/>
      <c r="B3992" s="12"/>
      <c r="C3992" s="12"/>
      <c r="D3992" s="3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2"/>
      <c r="W3992" s="12"/>
      <c r="X3992" s="12"/>
      <c r="Y3992" s="12"/>
      <c r="Z3992" s="12"/>
      <c r="AA3992" s="12"/>
      <c r="AB3992" s="12"/>
      <c r="AC3992" s="12"/>
      <c r="AD3992" s="12"/>
    </row>
    <row r="3993" spans="1:30" ht="15.75" thickBot="1" x14ac:dyDescent="0.3">
      <c r="A3993" s="12"/>
      <c r="B3993" s="12"/>
      <c r="C3993" s="12"/>
      <c r="D3993" s="3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2"/>
      <c r="W3993" s="12"/>
      <c r="X3993" s="12"/>
      <c r="Y3993" s="12"/>
      <c r="Z3993" s="12"/>
      <c r="AA3993" s="12"/>
      <c r="AB3993" s="12"/>
      <c r="AC3993" s="12"/>
      <c r="AD3993" s="12"/>
    </row>
    <row r="3994" spans="1:30" ht="15.75" thickBot="1" x14ac:dyDescent="0.3">
      <c r="A3994" s="12"/>
      <c r="B3994" s="12"/>
      <c r="C3994" s="12"/>
      <c r="D3994" s="3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2"/>
      <c r="W3994" s="12"/>
      <c r="X3994" s="12"/>
      <c r="Y3994" s="12"/>
      <c r="Z3994" s="12"/>
      <c r="AA3994" s="12"/>
      <c r="AB3994" s="12"/>
      <c r="AC3994" s="12"/>
      <c r="AD3994" s="12"/>
    </row>
    <row r="3995" spans="1:30" ht="15.75" thickBot="1" x14ac:dyDescent="0.3">
      <c r="A3995" s="12"/>
      <c r="B3995" s="12"/>
      <c r="C3995" s="12"/>
      <c r="D3995" s="3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2"/>
      <c r="W3995" s="12"/>
      <c r="X3995" s="12"/>
      <c r="Y3995" s="12"/>
      <c r="Z3995" s="12"/>
      <c r="AA3995" s="12"/>
      <c r="AB3995" s="12"/>
      <c r="AC3995" s="12"/>
      <c r="AD3995" s="12"/>
    </row>
    <row r="3996" spans="1:30" ht="15.75" thickBot="1" x14ac:dyDescent="0.3">
      <c r="A3996" s="12"/>
      <c r="B3996" s="12"/>
      <c r="C3996" s="12"/>
      <c r="D3996" s="3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2"/>
      <c r="W3996" s="12"/>
      <c r="X3996" s="12"/>
      <c r="Y3996" s="12"/>
      <c r="Z3996" s="12"/>
      <c r="AA3996" s="12"/>
      <c r="AB3996" s="12"/>
      <c r="AC3996" s="12"/>
      <c r="AD3996" s="12"/>
    </row>
    <row r="3997" spans="1:30" ht="15.75" thickBot="1" x14ac:dyDescent="0.3">
      <c r="A3997" s="12"/>
      <c r="B3997" s="12"/>
      <c r="C3997" s="12"/>
      <c r="D3997" s="3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2"/>
      <c r="W3997" s="12"/>
      <c r="X3997" s="12"/>
      <c r="Y3997" s="12"/>
      <c r="Z3997" s="12"/>
      <c r="AA3997" s="12"/>
      <c r="AB3997" s="12"/>
      <c r="AC3997" s="12"/>
      <c r="AD3997" s="12"/>
    </row>
    <row r="3998" spans="1:30" ht="15.75" thickBot="1" x14ac:dyDescent="0.3">
      <c r="A3998" s="12"/>
      <c r="B3998" s="12"/>
      <c r="C3998" s="12"/>
      <c r="D3998" s="3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2"/>
      <c r="W3998" s="12"/>
      <c r="X3998" s="12"/>
      <c r="Y3998" s="12"/>
      <c r="Z3998" s="12"/>
      <c r="AA3998" s="12"/>
      <c r="AB3998" s="12"/>
      <c r="AC3998" s="12"/>
      <c r="AD3998" s="12"/>
    </row>
    <row r="3999" spans="1:30" ht="15.75" thickBot="1" x14ac:dyDescent="0.3">
      <c r="A3999" s="12"/>
      <c r="B3999" s="12"/>
      <c r="C3999" s="12"/>
      <c r="D3999" s="3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2"/>
      <c r="W3999" s="12"/>
      <c r="X3999" s="12"/>
      <c r="Y3999" s="12"/>
      <c r="Z3999" s="12"/>
      <c r="AA3999" s="12"/>
      <c r="AB3999" s="12"/>
      <c r="AC3999" s="12"/>
      <c r="AD3999" s="12"/>
    </row>
    <row r="4000" spans="1:30" ht="15.75" thickBot="1" x14ac:dyDescent="0.3">
      <c r="A4000" s="12"/>
      <c r="B4000" s="12"/>
      <c r="C4000" s="12"/>
      <c r="D4000" s="3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2"/>
      <c r="W4000" s="12"/>
      <c r="X4000" s="12"/>
      <c r="Y4000" s="12"/>
      <c r="Z4000" s="12"/>
      <c r="AA4000" s="12"/>
      <c r="AB4000" s="12"/>
      <c r="AC4000" s="12"/>
      <c r="AD4000" s="12"/>
    </row>
    <row r="4001" spans="1:30" ht="15.75" thickBot="1" x14ac:dyDescent="0.3">
      <c r="A4001" s="12"/>
      <c r="B4001" s="12"/>
      <c r="C4001" s="12"/>
      <c r="D4001" s="3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2"/>
      <c r="W4001" s="12"/>
      <c r="X4001" s="12"/>
      <c r="Y4001" s="12"/>
      <c r="Z4001" s="12"/>
      <c r="AA4001" s="12"/>
      <c r="AB4001" s="12"/>
      <c r="AC4001" s="12"/>
      <c r="AD4001" s="12"/>
    </row>
    <row r="4002" spans="1:30" ht="15.75" thickBot="1" x14ac:dyDescent="0.3">
      <c r="A4002" s="12"/>
      <c r="B4002" s="12"/>
      <c r="C4002" s="12"/>
      <c r="D4002" s="3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2"/>
      <c r="W4002" s="12"/>
      <c r="X4002" s="12"/>
      <c r="Y4002" s="12"/>
      <c r="Z4002" s="12"/>
      <c r="AA4002" s="12"/>
      <c r="AB4002" s="12"/>
      <c r="AC4002" s="12"/>
      <c r="AD4002" s="12"/>
    </row>
    <row r="4003" spans="1:30" ht="15.75" thickBot="1" x14ac:dyDescent="0.3">
      <c r="A4003" s="12"/>
      <c r="B4003" s="12"/>
      <c r="C4003" s="12"/>
      <c r="D4003" s="3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2"/>
      <c r="W4003" s="12"/>
      <c r="X4003" s="12"/>
      <c r="Y4003" s="12"/>
      <c r="Z4003" s="12"/>
      <c r="AA4003" s="12"/>
      <c r="AB4003" s="12"/>
      <c r="AC4003" s="12"/>
      <c r="AD4003" s="12"/>
    </row>
  </sheetData>
  <autoFilter ref="A1:AD1070" xr:uid="{88306AC2-D72B-4ACD-BB33-3305DC962F6E}"/>
  <conditionalFormatting sqref="D1:D1048576">
    <cfRule type="cellIs" dxfId="1" priority="1" operator="equal">
      <formula>"Individuel"</formula>
    </cfRule>
    <cfRule type="cellIs" dxfId="0" priority="2" operator="equal">
      <formula>"Collectif"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C85F5D-6A87-4CC2-85BA-283D7737E15F}">
          <x14:formula1>
            <xm:f>Parametre!$B$2:$B$3</xm:f>
          </x14:formula1>
          <xm:sqref>D2:D1048576</xm:sqref>
        </x14:dataValidation>
        <x14:dataValidation type="list" allowBlank="1" showInputMessage="1" showErrorMessage="1" xr:uid="{DC42C930-517E-4A7B-938E-16357EA74C86}">
          <x14:formula1>
            <xm:f>Parametre!$E$2:$E$39</xm:f>
          </x14:formula1>
          <xm:sqref>B2:B1048576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6B31-F06D-437E-B896-F7EFE680C1D9}">
  <sheetPr codeName="Feuil6"/>
  <dimension ref="A1:F48"/>
  <sheetViews>
    <sheetView topLeftCell="A20" zoomScale="115" zoomScaleNormal="115" workbookViewId="0">
      <selection activeCell="H15" sqref="H15"/>
    </sheetView>
  </sheetViews>
  <sheetFormatPr baseColWidth="10" defaultColWidth="10.7109375" defaultRowHeight="15" x14ac:dyDescent="0.25"/>
  <cols>
    <col min="1" max="1" width="17.140625" style="25" bestFit="1" customWidth="1"/>
    <col min="2" max="2" width="11.7109375" bestFit="1" customWidth="1"/>
    <col min="3" max="4" width="11.85546875" customWidth="1"/>
  </cols>
  <sheetData>
    <row r="1" spans="1:6" s="21" customFormat="1" ht="45" x14ac:dyDescent="0.25">
      <c r="A1" s="22" t="s">
        <v>1337</v>
      </c>
      <c r="B1" s="22" t="s">
        <v>1338</v>
      </c>
      <c r="C1" s="22" t="s">
        <v>1340</v>
      </c>
      <c r="D1" s="22" t="s">
        <v>1343</v>
      </c>
      <c r="E1" s="22" t="s">
        <v>1341</v>
      </c>
      <c r="F1" s="22" t="s">
        <v>1342</v>
      </c>
    </row>
    <row r="2" spans="1:6" x14ac:dyDescent="0.25">
      <c r="A2" s="36" t="s">
        <v>1329</v>
      </c>
      <c r="B2" s="23" t="s">
        <v>1123</v>
      </c>
      <c r="C2" s="23">
        <f>IF(ISNA(VLOOKUP(B2,Enregistrés!$A$3:$B$29,2,FALSE)),0,VLOOKUP(B2,Enregistrés!$A$3:$B$29,2,FALSE))</f>
        <v>10</v>
      </c>
      <c r="D2" s="23">
        <f>IF(ISNA(VLOOKUP(B2,'Producteurs payés'!$A$3:$B$28,2,FALSE)),0,VLOOKUP(B2,'Producteurs payés'!$A$3:$B$28,2,FALSE))</f>
        <v>1</v>
      </c>
      <c r="E2" s="23">
        <f>IF(ISNA(VLOOKUP(B2,'Hectares payés'!$A$3:$B$23,2,FALSE)),0,VLOOKUP(B2,'Hectares payés'!$A$3:$B$23,2,FALSE))</f>
        <v>0</v>
      </c>
      <c r="F2" s="23">
        <f>IF(ISNA(VLOOKUP(B2,'Hectares payés'!$A$32:$B$57,2,FALSE)),0,VLOOKUP(B2,'Hectares payés'!$A$32:$B$57,2,FALSE))</f>
        <v>10</v>
      </c>
    </row>
    <row r="3" spans="1:6" x14ac:dyDescent="0.25">
      <c r="A3" s="37"/>
      <c r="B3" s="23" t="s">
        <v>1086</v>
      </c>
      <c r="C3" s="23">
        <f>IF(ISNA(VLOOKUP(B3,Enregistrés!$A$3:$B$29,2,FALSE)),0,VLOOKUP(B3,Enregistrés!$A$3:$B$29,2,FALSE))</f>
        <v>18</v>
      </c>
      <c r="D3" s="23">
        <f>IF(ISNA(VLOOKUP(B3,'Producteurs payés'!$A$3:$B$28,2,FALSE)),0,VLOOKUP(B3,'Producteurs payés'!$A$3:$B$28,2,FALSE))</f>
        <v>6</v>
      </c>
      <c r="E3" s="23">
        <f>IF(ISNA(VLOOKUP(B3,'Hectares payés'!$A$3:$B$23,2,FALSE)),0,VLOOKUP(B3,'Hectares payés'!$A$3:$B$23,2,FALSE))</f>
        <v>8</v>
      </c>
      <c r="F3" s="23">
        <f>IF(ISNA(VLOOKUP(B3,'Hectares payés'!$A$32:$B$57,2,FALSE)),0,VLOOKUP(B3,'Hectares payés'!$A$32:$B$57,2,FALSE))</f>
        <v>8</v>
      </c>
    </row>
    <row r="4" spans="1:6" x14ac:dyDescent="0.25">
      <c r="A4" s="37"/>
      <c r="B4" s="23" t="s">
        <v>595</v>
      </c>
      <c r="C4" s="23">
        <f>IF(ISNA(VLOOKUP(B4,Enregistrés!$A$3:$B$29,2,FALSE)),0,VLOOKUP(B4,Enregistrés!$A$3:$B$29,2,FALSE))</f>
        <v>40</v>
      </c>
      <c r="D4" s="23">
        <f>IF(ISNA(VLOOKUP(B4,'Producteurs payés'!$A$3:$B$28,2,FALSE)),0,VLOOKUP(B4,'Producteurs payés'!$A$3:$B$28,2,FALSE))</f>
        <v>1</v>
      </c>
      <c r="E4" s="23">
        <f>IF(ISNA(VLOOKUP(B4,'Hectares payés'!$A$3:$B$23,2,FALSE)),0,VLOOKUP(B4,'Hectares payés'!$A$3:$B$23,2,FALSE))</f>
        <v>40</v>
      </c>
      <c r="F4" s="23">
        <f>IF(ISNA(VLOOKUP(B4,'Hectares payés'!$A$32:$B$57,2,FALSE)),0,VLOOKUP(B4,'Hectares payés'!$A$32:$B$57,2,FALSE))</f>
        <v>40</v>
      </c>
    </row>
    <row r="5" spans="1:6" x14ac:dyDescent="0.25">
      <c r="A5" s="37"/>
      <c r="B5" s="24" t="s">
        <v>495</v>
      </c>
      <c r="C5" s="23">
        <f>IF(ISNA(VLOOKUP(B5,Enregistrés!$A$3:$B$29,2,FALSE)),0,VLOOKUP(B5,Enregistrés!$A$3:$B$29,2,FALSE))</f>
        <v>39</v>
      </c>
      <c r="D5" s="23">
        <f>IF(ISNA(VLOOKUP(B5,'Producteurs payés'!$A$3:$B$28,2,FALSE)),0,VLOOKUP(B5,'Producteurs payés'!$A$3:$B$28,2,FALSE))</f>
        <v>23</v>
      </c>
      <c r="E5" s="23">
        <f>IF(ISNA(VLOOKUP(B5,'Hectares payés'!$A$3:$B$23,2,FALSE)),0,VLOOKUP(B5,'Hectares payés'!$A$3:$B$23,2,FALSE))</f>
        <v>31</v>
      </c>
      <c r="F5" s="23">
        <f>IF(ISNA(VLOOKUP(B5,'Hectares payés'!$A$32:$B$57,2,FALSE)),0,VLOOKUP(B5,'Hectares payés'!$A$32:$B$57,2,FALSE))</f>
        <v>39</v>
      </c>
    </row>
    <row r="6" spans="1:6" x14ac:dyDescent="0.25">
      <c r="A6" s="37"/>
      <c r="B6" s="24" t="s">
        <v>343</v>
      </c>
      <c r="C6" s="23">
        <f>IF(ISNA(VLOOKUP(B6,Enregistrés!$A$3:$B$29,2,FALSE)),0,VLOOKUP(B6,Enregistrés!$A$3:$B$29,2,FALSE))</f>
        <v>84</v>
      </c>
      <c r="D6" s="23">
        <f>IF(ISNA(VLOOKUP(B6,'Producteurs payés'!$A$3:$B$28,2,FALSE)),0,VLOOKUP(B6,'Producteurs payés'!$A$3:$B$28,2,FALSE))</f>
        <v>20</v>
      </c>
      <c r="E6" s="23">
        <f>IF(ISNA(VLOOKUP(B6,'Hectares payés'!$A$3:$B$23,2,FALSE)),0,VLOOKUP(B6,'Hectares payés'!$A$3:$B$23,2,FALSE))</f>
        <v>51</v>
      </c>
      <c r="F6" s="23">
        <f>IF(ISNA(VLOOKUP(B6,'Hectares payés'!$A$32:$B$57,2,FALSE)),0,VLOOKUP(B6,'Hectares payés'!$A$32:$B$57,2,FALSE))</f>
        <v>84</v>
      </c>
    </row>
    <row r="7" spans="1:6" x14ac:dyDescent="0.25">
      <c r="A7" s="38"/>
      <c r="B7" s="23" t="s">
        <v>123</v>
      </c>
      <c r="C7" s="23">
        <f>IF(ISNA(VLOOKUP(B7,Enregistrés!$A$3:$B$29,2,FALSE)),0,VLOOKUP(B7,Enregistrés!$A$3:$B$29,2,FALSE))</f>
        <v>80</v>
      </c>
      <c r="D7" s="23">
        <f>IF(ISNA(VLOOKUP(B7,'Producteurs payés'!$A$3:$B$28,2,FALSE)),0,VLOOKUP(B7,'Producteurs payés'!$A$3:$B$28,2,FALSE))</f>
        <v>4</v>
      </c>
      <c r="E7" s="23">
        <f>IF(ISNA(VLOOKUP(B7,'Hectares payés'!$A$3:$B$23,2,FALSE)),0,VLOOKUP(B7,'Hectares payés'!$A$3:$B$23,2,FALSE))</f>
        <v>0</v>
      </c>
      <c r="F7" s="23">
        <f>IF(ISNA(VLOOKUP(B7,'Hectares payés'!$A$32:$B$57,2,FALSE)),0,VLOOKUP(B7,'Hectares payés'!$A$32:$B$57,2,FALSE))</f>
        <v>42.5</v>
      </c>
    </row>
    <row r="8" spans="1:6" x14ac:dyDescent="0.25">
      <c r="A8" s="36" t="s">
        <v>1330</v>
      </c>
      <c r="B8" s="23" t="s">
        <v>115</v>
      </c>
      <c r="C8" s="23">
        <f>IF(ISNA(VLOOKUP(B8,Enregistrés!$A$3:$B$29,2,FALSE)),0,VLOOKUP(B8,Enregistrés!$A$3:$B$29,2,FALSE))</f>
        <v>50</v>
      </c>
      <c r="D8" s="23">
        <f>IF(ISNA(VLOOKUP(B8,'Producteurs payés'!$A$3:$B$28,2,FALSE)),0,VLOOKUP(B8,'Producteurs payés'!$A$3:$B$28,2,FALSE))</f>
        <v>18</v>
      </c>
      <c r="E8" s="23">
        <f>IF(ISNA(VLOOKUP(B8,'Hectares payés'!$A$3:$B$23,2,FALSE)),0,VLOOKUP(B8,'Hectares payés'!$A$3:$B$23,2,FALSE))</f>
        <v>24</v>
      </c>
      <c r="F8" s="23">
        <f>IF(ISNA(VLOOKUP(B8,'Hectares payés'!$A$32:$B$57,2,FALSE)),0,VLOOKUP(B8,'Hectares payés'!$A$32:$B$57,2,FALSE))</f>
        <v>40</v>
      </c>
    </row>
    <row r="9" spans="1:6" x14ac:dyDescent="0.25">
      <c r="A9" s="37"/>
      <c r="B9" s="23" t="s">
        <v>1331</v>
      </c>
      <c r="C9" s="23">
        <f>IF(ISNA(VLOOKUP(B9,Enregistrés!$A$3:$B$29,2,FALSE)),0,VLOOKUP(B9,Enregistrés!$A$3:$B$29,2,FALSE))</f>
        <v>0</v>
      </c>
      <c r="D9" s="23">
        <f>IF(ISNA(VLOOKUP(B9,'Producteurs payés'!$A$3:$B$28,2,FALSE)),0,VLOOKUP(B9,'Producteurs payés'!$A$3:$B$28,2,FALSE))</f>
        <v>0</v>
      </c>
      <c r="E9" s="23">
        <f>IF(ISNA(VLOOKUP(B9,'Hectares payés'!$A$3:$B$23,2,FALSE)),0,VLOOKUP(B9,'Hectares payés'!$A$3:$B$23,2,FALSE))</f>
        <v>0</v>
      </c>
      <c r="F9" s="23">
        <f>IF(ISNA(VLOOKUP(B9,'Hectares payés'!$A$32:$B$57,2,FALSE)),0,VLOOKUP(B9,'Hectares payés'!$A$32:$B$57,2,FALSE))</f>
        <v>0</v>
      </c>
    </row>
    <row r="10" spans="1:6" x14ac:dyDescent="0.25">
      <c r="A10" s="37"/>
      <c r="B10" s="23" t="s">
        <v>1332</v>
      </c>
      <c r="C10" s="23">
        <f>IF(ISNA(VLOOKUP(B10,Enregistrés!$A$3:$B$29,2,FALSE)),0,VLOOKUP(B10,Enregistrés!$A$3:$B$29,2,FALSE))</f>
        <v>0</v>
      </c>
      <c r="D10" s="23">
        <f>IF(ISNA(VLOOKUP(B10,'Producteurs payés'!$A$3:$B$28,2,FALSE)),0,VLOOKUP(B10,'Producteurs payés'!$A$3:$B$28,2,FALSE))</f>
        <v>0</v>
      </c>
      <c r="E10" s="23">
        <f>IF(ISNA(VLOOKUP(B10,'Hectares payés'!$A$3:$B$23,2,FALSE)),0,VLOOKUP(B10,'Hectares payés'!$A$3:$B$23,2,FALSE))</f>
        <v>0</v>
      </c>
      <c r="F10" s="23">
        <f>IF(ISNA(VLOOKUP(B10,'Hectares payés'!$A$32:$B$57,2,FALSE)),0,VLOOKUP(B10,'Hectares payés'!$A$32:$B$57,2,FALSE))</f>
        <v>0</v>
      </c>
    </row>
    <row r="11" spans="1:6" x14ac:dyDescent="0.25">
      <c r="A11" s="37"/>
      <c r="B11" s="23" t="s">
        <v>1333</v>
      </c>
      <c r="C11" s="23">
        <f>IF(ISNA(VLOOKUP(B11,Enregistrés!$A$3:$B$29,2,FALSE)),0,VLOOKUP(B11,Enregistrés!$A$3:$B$29,2,FALSE))</f>
        <v>0</v>
      </c>
      <c r="D11" s="23">
        <f>IF(ISNA(VLOOKUP(B11,'Producteurs payés'!$A$3:$B$28,2,FALSE)),0,VLOOKUP(B11,'Producteurs payés'!$A$3:$B$28,2,FALSE))</f>
        <v>0</v>
      </c>
      <c r="E11" s="23">
        <f>IF(ISNA(VLOOKUP(B11,'Hectares payés'!$A$3:$B$23,2,FALSE)),0,VLOOKUP(B11,'Hectares payés'!$A$3:$B$23,2,FALSE))</f>
        <v>0</v>
      </c>
      <c r="F11" s="23">
        <f>IF(ISNA(VLOOKUP(B11,'Hectares payés'!$A$32:$B$57,2,FALSE)),0,VLOOKUP(B11,'Hectares payés'!$A$32:$B$57,2,FALSE))</f>
        <v>0</v>
      </c>
    </row>
    <row r="12" spans="1:6" x14ac:dyDescent="0.25">
      <c r="A12" s="37"/>
      <c r="B12" s="23" t="s">
        <v>876</v>
      </c>
      <c r="C12" s="23">
        <f>IF(ISNA(VLOOKUP(B12,Enregistrés!$A$3:$B$29,2,FALSE)),0,VLOOKUP(B12,Enregistrés!$A$3:$B$29,2,FALSE))</f>
        <v>8</v>
      </c>
      <c r="D12" s="23">
        <f>IF(ISNA(VLOOKUP(B12,'Producteurs payés'!$A$3:$B$28,2,FALSE)),0,VLOOKUP(B12,'Producteurs payés'!$A$3:$B$28,2,FALSE))</f>
        <v>2</v>
      </c>
      <c r="E12" s="23">
        <f>IF(ISNA(VLOOKUP(B12,'Hectares payés'!$A$3:$B$23,2,FALSE)),0,VLOOKUP(B12,'Hectares payés'!$A$3:$B$23,2,FALSE))</f>
        <v>0</v>
      </c>
      <c r="F12" s="23">
        <f>IF(ISNA(VLOOKUP(B12,'Hectares payés'!$A$32:$B$57,2,FALSE)),0,VLOOKUP(B12,'Hectares payés'!$A$32:$B$57,2,FALSE))</f>
        <v>8</v>
      </c>
    </row>
    <row r="13" spans="1:6" x14ac:dyDescent="0.25">
      <c r="A13" s="38"/>
      <c r="B13" s="23" t="s">
        <v>1339</v>
      </c>
      <c r="C13" s="23">
        <f>IF(ISNA(VLOOKUP(B13,Enregistrés!$A$3:$B$29,2,FALSE)),0,VLOOKUP(B13,Enregistrés!$A$3:$B$29,2,FALSE))</f>
        <v>16</v>
      </c>
      <c r="D13" s="23">
        <f>IF(ISNA(VLOOKUP(B13,'Producteurs payés'!$A$3:$B$28,2,FALSE)),0,VLOOKUP(B13,'Producteurs payés'!$A$3:$B$28,2,FALSE))</f>
        <v>5</v>
      </c>
      <c r="E13" s="23">
        <f>IF(ISNA(VLOOKUP(B13,'Hectares payés'!$A$3:$B$23,2,FALSE)),0,VLOOKUP(B13,'Hectares payés'!$A$3:$B$23,2,FALSE))</f>
        <v>0</v>
      </c>
      <c r="F13" s="23">
        <f>IF(ISNA(VLOOKUP(B13,'Hectares payés'!$A$32:$B$57,2,FALSE)),0,VLOOKUP(B13,'Hectares payés'!$A$32:$B$57,2,FALSE))</f>
        <v>16</v>
      </c>
    </row>
    <row r="14" spans="1:6" x14ac:dyDescent="0.25">
      <c r="A14" s="36" t="s">
        <v>1334</v>
      </c>
      <c r="B14" s="23" t="s">
        <v>79</v>
      </c>
      <c r="C14" s="23">
        <f>IF(ISNA(VLOOKUP(B14,Enregistrés!$A$3:$B$29,2,FALSE)),0,VLOOKUP(B14,Enregistrés!$A$3:$B$29,2,FALSE))</f>
        <v>261</v>
      </c>
      <c r="D14" s="23">
        <f>IF(ISNA(VLOOKUP(B14,'Producteurs payés'!$A$3:$B$28,2,FALSE)),0,VLOOKUP(B14,'Producteurs payés'!$A$3:$B$28,2,FALSE))</f>
        <v>37</v>
      </c>
      <c r="E14" s="23">
        <f>IF(ISNA(VLOOKUP(B14,'Hectares payés'!$A$3:$B$23,2,FALSE)),0,VLOOKUP(B14,'Hectares payés'!$A$3:$B$23,2,FALSE))</f>
        <v>241</v>
      </c>
      <c r="F14" s="23">
        <f>IF(ISNA(VLOOKUP(B14,'Hectares payés'!$A$32:$B$57,2,FALSE)),0,VLOOKUP(B14,'Hectares payés'!$A$32:$B$57,2,FALSE))</f>
        <v>261</v>
      </c>
    </row>
    <row r="15" spans="1:6" x14ac:dyDescent="0.25">
      <c r="A15" s="37"/>
      <c r="B15" s="23" t="s">
        <v>1004</v>
      </c>
      <c r="C15" s="23">
        <f>IF(ISNA(VLOOKUP(B15,Enregistrés!$A$3:$B$29,2,FALSE)),0,VLOOKUP(B15,Enregistrés!$A$3:$B$29,2,FALSE))</f>
        <v>105</v>
      </c>
      <c r="D15" s="23">
        <f>IF(ISNA(VLOOKUP(B15,'Producteurs payés'!$A$3:$B$28,2,FALSE)),0,VLOOKUP(B15,'Producteurs payés'!$A$3:$B$28,2,FALSE))</f>
        <v>7</v>
      </c>
      <c r="E15" s="23">
        <f>IF(ISNA(VLOOKUP(B15,'Hectares payés'!$A$3:$B$23,2,FALSE)),0,VLOOKUP(B15,'Hectares payés'!$A$3:$B$23,2,FALSE))</f>
        <v>19</v>
      </c>
      <c r="F15" s="23">
        <f>IF(ISNA(VLOOKUP(B15,'Hectares payés'!$A$32:$B$57,2,FALSE)),0,VLOOKUP(B15,'Hectares payés'!$A$32:$B$57,2,FALSE))</f>
        <v>105</v>
      </c>
    </row>
    <row r="16" spans="1:6" x14ac:dyDescent="0.25">
      <c r="A16" s="37"/>
      <c r="B16" s="23" t="s">
        <v>241</v>
      </c>
      <c r="C16" s="23">
        <f>IF(ISNA(VLOOKUP(B16,Enregistrés!$A$3:$B$29,2,FALSE)),0,VLOOKUP(B16,Enregistrés!$A$3:$B$29,2,FALSE))</f>
        <v>106</v>
      </c>
      <c r="D16" s="23">
        <f>IF(ISNA(VLOOKUP(B16,'Producteurs payés'!$A$3:$B$28,2,FALSE)),0,VLOOKUP(B16,'Producteurs payés'!$A$3:$B$28,2,FALSE))</f>
        <v>11</v>
      </c>
      <c r="E16" s="23">
        <f>IF(ISNA(VLOOKUP(B16,'Hectares payés'!$A$3:$B$23,2,FALSE)),0,VLOOKUP(B16,'Hectares payés'!$A$3:$B$23,2,FALSE))</f>
        <v>49</v>
      </c>
      <c r="F16" s="23">
        <f>IF(ISNA(VLOOKUP(B16,'Hectares payés'!$A$32:$B$57,2,FALSE)),0,VLOOKUP(B16,'Hectares payés'!$A$32:$B$57,2,FALSE))</f>
        <v>106</v>
      </c>
    </row>
    <row r="17" spans="1:6" x14ac:dyDescent="0.25">
      <c r="A17" s="37"/>
      <c r="B17" s="24" t="s">
        <v>400</v>
      </c>
      <c r="C17" s="23">
        <f>IF(ISNA(VLOOKUP(B17,Enregistrés!$A$3:$B$29,2,FALSE)),0,VLOOKUP(B17,Enregistrés!$A$3:$B$29,2,FALSE))</f>
        <v>389</v>
      </c>
      <c r="D17" s="23">
        <f>IF(ISNA(VLOOKUP(B17,'Producteurs payés'!$A$3:$B$28,2,FALSE)),0,VLOOKUP(B17,'Producteurs payés'!$A$3:$B$28,2,FALSE))</f>
        <v>90</v>
      </c>
      <c r="E17" s="23">
        <f>IF(ISNA(VLOOKUP(B17,'Hectares payés'!$A$3:$B$23,2,FALSE)),0,VLOOKUP(B17,'Hectares payés'!$A$3:$B$23,2,FALSE))</f>
        <v>277</v>
      </c>
      <c r="F17" s="23">
        <f>IF(ISNA(VLOOKUP(B17,'Hectares payés'!$A$32:$B$57,2,FALSE)),0,VLOOKUP(B17,'Hectares payés'!$A$32:$B$57,2,FALSE))</f>
        <v>389</v>
      </c>
    </row>
    <row r="18" spans="1:6" x14ac:dyDescent="0.25">
      <c r="A18" s="37"/>
      <c r="B18" s="23" t="s">
        <v>677</v>
      </c>
      <c r="C18" s="23">
        <f>IF(ISNA(VLOOKUP(B18,Enregistrés!$A$3:$B$29,2,FALSE)),0,VLOOKUP(B18,Enregistrés!$A$3:$B$29,2,FALSE))</f>
        <v>68</v>
      </c>
      <c r="D18" s="23">
        <f>IF(ISNA(VLOOKUP(B18,'Producteurs payés'!$A$3:$B$28,2,FALSE)),0,VLOOKUP(B18,'Producteurs payés'!$A$3:$B$28,2,FALSE))</f>
        <v>9</v>
      </c>
      <c r="E18" s="23">
        <f>IF(ISNA(VLOOKUP(B18,'Hectares payés'!$A$3:$B$23,2,FALSE)),0,VLOOKUP(B18,'Hectares payés'!$A$3:$B$23,2,FALSE))</f>
        <v>16</v>
      </c>
      <c r="F18" s="23">
        <f>IF(ISNA(VLOOKUP(B18,'Hectares payés'!$A$32:$B$57,2,FALSE)),0,VLOOKUP(B18,'Hectares payés'!$A$32:$B$57,2,FALSE))</f>
        <v>63</v>
      </c>
    </row>
    <row r="19" spans="1:6" x14ac:dyDescent="0.25">
      <c r="A19" s="37"/>
      <c r="B19" s="23" t="s">
        <v>53</v>
      </c>
      <c r="C19" s="23">
        <f>IF(ISNA(VLOOKUP(B19,Enregistrés!$A$3:$B$29,2,FALSE)),0,VLOOKUP(B19,Enregistrés!$A$3:$B$29,2,FALSE))</f>
        <v>259</v>
      </c>
      <c r="D19" s="23">
        <f>IF(ISNA(VLOOKUP(B19,'Producteurs payés'!$A$3:$B$28,2,FALSE)),0,VLOOKUP(B19,'Producteurs payés'!$A$3:$B$28,2,FALSE))</f>
        <v>42</v>
      </c>
      <c r="E19" s="23">
        <f>IF(ISNA(VLOOKUP(B19,'Hectares payés'!$A$3:$B$23,2,FALSE)),0,VLOOKUP(B19,'Hectares payés'!$A$3:$B$23,2,FALSE))</f>
        <v>167.5</v>
      </c>
      <c r="F19" s="23">
        <f>IF(ISNA(VLOOKUP(B19,'Hectares payés'!$A$32:$B$57,2,FALSE)),0,VLOOKUP(B19,'Hectares payés'!$A$32:$B$57,2,FALSE))</f>
        <v>240</v>
      </c>
    </row>
    <row r="20" spans="1:6" x14ac:dyDescent="0.25">
      <c r="A20" s="37"/>
      <c r="B20" s="23" t="s">
        <v>552</v>
      </c>
      <c r="C20" s="23">
        <f>IF(ISNA(VLOOKUP(B20,Enregistrés!$A$3:$B$29,2,FALSE)),0,VLOOKUP(B20,Enregistrés!$A$3:$B$29,2,FALSE))</f>
        <v>96</v>
      </c>
      <c r="D20" s="23">
        <f>IF(ISNA(VLOOKUP(B20,'Producteurs payés'!$A$3:$B$28,2,FALSE)),0,VLOOKUP(B20,'Producteurs payés'!$A$3:$B$28,2,FALSE))</f>
        <v>11</v>
      </c>
      <c r="E20" s="23">
        <f>IF(ISNA(VLOOKUP(B20,'Hectares payés'!$A$3:$B$23,2,FALSE)),0,VLOOKUP(B20,'Hectares payés'!$A$3:$B$23,2,FALSE))</f>
        <v>67</v>
      </c>
      <c r="F20" s="23">
        <f>IF(ISNA(VLOOKUP(B20,'Hectares payés'!$A$32:$B$57,2,FALSE)),0,VLOOKUP(B20,'Hectares payés'!$A$32:$B$57,2,FALSE))</f>
        <v>96</v>
      </c>
    </row>
    <row r="21" spans="1:6" x14ac:dyDescent="0.25">
      <c r="A21" s="38"/>
      <c r="B21" s="23" t="s">
        <v>234</v>
      </c>
      <c r="C21" s="23">
        <f>IF(ISNA(VLOOKUP(B21,Enregistrés!$A$3:$B$29,2,FALSE)),0,VLOOKUP(B21,Enregistrés!$A$3:$B$29,2,FALSE))</f>
        <v>52.5</v>
      </c>
      <c r="D21" s="23">
        <f>IF(ISNA(VLOOKUP(B21,'Producteurs payés'!$A$3:$B$28,2,FALSE)),0,VLOOKUP(B21,'Producteurs payés'!$A$3:$B$28,2,FALSE))</f>
        <v>15</v>
      </c>
      <c r="E21" s="23">
        <f>IF(ISNA(VLOOKUP(B21,'Hectares payés'!$A$3:$B$23,2,FALSE)),0,VLOOKUP(B21,'Hectares payés'!$A$3:$B$23,2,FALSE))</f>
        <v>47.5</v>
      </c>
      <c r="F21" s="23">
        <f>IF(ISNA(VLOOKUP(B21,'Hectares payés'!$A$32:$B$57,2,FALSE)),0,VLOOKUP(B21,'Hectares payés'!$A$32:$B$57,2,FALSE))</f>
        <v>52.5</v>
      </c>
    </row>
    <row r="22" spans="1:6" x14ac:dyDescent="0.25">
      <c r="A22" s="36" t="s">
        <v>1335</v>
      </c>
      <c r="B22" s="23" t="s">
        <v>253</v>
      </c>
      <c r="C22" s="23">
        <f>IF(ISNA(VLOOKUP(B22,Enregistrés!$A$3:$B$29,2,FALSE)),0,VLOOKUP(B22,Enregistrés!$A$3:$B$29,2,FALSE))</f>
        <v>216</v>
      </c>
      <c r="D22" s="23">
        <f>IF(ISNA(VLOOKUP(B22,'Producteurs payés'!$A$3:$B$28,2,FALSE)),0,VLOOKUP(B22,'Producteurs payés'!$A$3:$B$28,2,FALSE))</f>
        <v>24</v>
      </c>
      <c r="E22" s="23">
        <f>IF(ISNA(VLOOKUP(B22,'Hectares payés'!$A$3:$B$23,2,FALSE)),0,VLOOKUP(B22,'Hectares payés'!$A$3:$B$23,2,FALSE))</f>
        <v>161</v>
      </c>
      <c r="F22" s="23">
        <f>IF(ISNA(VLOOKUP(B22,'Hectares payés'!$A$32:$B$57,2,FALSE)),0,VLOOKUP(B22,'Hectares payés'!$A$32:$B$57,2,FALSE))</f>
        <v>216</v>
      </c>
    </row>
    <row r="23" spans="1:6" x14ac:dyDescent="0.25">
      <c r="A23" s="37"/>
      <c r="B23" s="24" t="s">
        <v>1242</v>
      </c>
      <c r="C23" s="23">
        <f>IF(ISNA(VLOOKUP(B23,Enregistrés!$A$3:$B$29,2,FALSE)),0,VLOOKUP(B23,Enregistrés!$A$3:$B$29,2,FALSE))</f>
        <v>7</v>
      </c>
      <c r="D23" s="23">
        <f>IF(ISNA(VLOOKUP(B23,'Producteurs payés'!$A$3:$B$28,2,FALSE)),0,VLOOKUP(B23,'Producteurs payés'!$A$3:$B$28,2,FALSE))</f>
        <v>3</v>
      </c>
      <c r="E23" s="23">
        <f>IF(ISNA(VLOOKUP(B23,'Hectares payés'!$A$3:$B$23,2,FALSE)),0,VLOOKUP(B23,'Hectares payés'!$A$3:$B$23,2,FALSE))</f>
        <v>7</v>
      </c>
      <c r="F23" s="23">
        <f>IF(ISNA(VLOOKUP(B23,'Hectares payés'!$A$32:$B$57,2,FALSE)),0,VLOOKUP(B23,'Hectares payés'!$A$32:$B$57,2,FALSE))</f>
        <v>7</v>
      </c>
    </row>
    <row r="24" spans="1:6" x14ac:dyDescent="0.25">
      <c r="A24" s="37"/>
      <c r="B24" s="23" t="s">
        <v>1336</v>
      </c>
      <c r="C24" s="23">
        <f>IF(ISNA(VLOOKUP(B24,Enregistrés!$A$3:$B$29,2,FALSE)),0,VLOOKUP(B24,Enregistrés!$A$3:$B$29,2,FALSE))</f>
        <v>1</v>
      </c>
      <c r="D24" s="23">
        <f>IF(ISNA(VLOOKUP(B24,'Producteurs payés'!$A$3:$B$28,2,FALSE)),0,VLOOKUP(B24,'Producteurs payés'!$A$3:$B$28,2,FALSE))</f>
        <v>1</v>
      </c>
      <c r="E24" s="23">
        <f>IF(ISNA(VLOOKUP(B24,'Hectares payés'!$A$3:$B$23,2,FALSE)),0,VLOOKUP(B24,'Hectares payés'!$A$3:$B$23,2,FALSE))</f>
        <v>0</v>
      </c>
      <c r="F24" s="23">
        <f>IF(ISNA(VLOOKUP(B24,'Hectares payés'!$A$32:$B$57,2,FALSE)),0,VLOOKUP(B24,'Hectares payés'!$A$32:$B$57,2,FALSE))</f>
        <v>1</v>
      </c>
    </row>
    <row r="25" spans="1:6" x14ac:dyDescent="0.25">
      <c r="A25" s="37"/>
      <c r="B25" s="23" t="s">
        <v>391</v>
      </c>
      <c r="C25" s="23">
        <f>IF(ISNA(VLOOKUP(B25,Enregistrés!$A$3:$B$29,2,FALSE)),0,VLOOKUP(B25,Enregistrés!$A$3:$B$29,2,FALSE))</f>
        <v>106</v>
      </c>
      <c r="D25" s="23">
        <f>IF(ISNA(VLOOKUP(B25,'Producteurs payés'!$A$3:$B$28,2,FALSE)),0,VLOOKUP(B25,'Producteurs payés'!$A$3:$B$28,2,FALSE))</f>
        <v>22</v>
      </c>
      <c r="E25" s="23">
        <f>IF(ISNA(VLOOKUP(B25,'Hectares payés'!$A$3:$B$23,2,FALSE)),0,VLOOKUP(B25,'Hectares payés'!$A$3:$B$23,2,FALSE))</f>
        <v>106</v>
      </c>
      <c r="F25" s="23">
        <f>IF(ISNA(VLOOKUP(B25,'Hectares payés'!$A$32:$B$57,2,FALSE)),0,VLOOKUP(B25,'Hectares payés'!$A$32:$B$57,2,FALSE))</f>
        <v>106</v>
      </c>
    </row>
    <row r="26" spans="1:6" x14ac:dyDescent="0.25">
      <c r="A26" s="37"/>
      <c r="B26" s="24" t="s">
        <v>225</v>
      </c>
      <c r="C26" s="23">
        <f>IF(ISNA(VLOOKUP(B26,Enregistrés!$A$3:$B$29,2,FALSE)),0,VLOOKUP(B26,Enregistrés!$A$3:$B$29,2,FALSE))</f>
        <v>143</v>
      </c>
      <c r="D26" s="23">
        <f>IF(ISNA(VLOOKUP(B26,'Producteurs payés'!$A$3:$B$28,2,FALSE)),0,VLOOKUP(B26,'Producteurs payés'!$A$3:$B$28,2,FALSE))</f>
        <v>48</v>
      </c>
      <c r="E26" s="23">
        <f>IF(ISNA(VLOOKUP(B26,'Hectares payés'!$A$3:$B$23,2,FALSE)),0,VLOOKUP(B26,'Hectares payés'!$A$3:$B$23,2,FALSE))</f>
        <v>124</v>
      </c>
      <c r="F26" s="23">
        <f>IF(ISNA(VLOOKUP(B26,'Hectares payés'!$A$32:$B$57,2,FALSE)),0,VLOOKUP(B26,'Hectares payés'!$A$32:$B$57,2,FALSE))</f>
        <v>143</v>
      </c>
    </row>
    <row r="27" spans="1:6" x14ac:dyDescent="0.25">
      <c r="A27" s="37"/>
      <c r="B27" s="23" t="s">
        <v>25</v>
      </c>
      <c r="C27" s="23">
        <f>IF(ISNA(VLOOKUP(B27,Enregistrés!$A$3:$B$29,2,FALSE)),0,VLOOKUP(B27,Enregistrés!$A$3:$B$29,2,FALSE))</f>
        <v>181</v>
      </c>
      <c r="D27" s="23">
        <f>IF(ISNA(VLOOKUP(B27,'Producteurs payés'!$A$3:$B$28,2,FALSE)),0,VLOOKUP(B27,'Producteurs payés'!$A$3:$B$28,2,FALSE))</f>
        <v>37</v>
      </c>
      <c r="E27" s="23">
        <f>IF(ISNA(VLOOKUP(B27,'Hectares payés'!$A$3:$B$23,2,FALSE)),0,VLOOKUP(B27,'Hectares payés'!$A$3:$B$23,2,FALSE))</f>
        <v>176</v>
      </c>
      <c r="F27" s="23">
        <f>IF(ISNA(VLOOKUP(B27,'Hectares payés'!$A$32:$B$57,2,FALSE)),0,VLOOKUP(B27,'Hectares payés'!$A$32:$B$57,2,FALSE))</f>
        <v>181</v>
      </c>
    </row>
    <row r="28" spans="1:6" x14ac:dyDescent="0.25">
      <c r="A28" s="38"/>
      <c r="B28" s="23" t="s">
        <v>623</v>
      </c>
      <c r="C28" s="23">
        <f>IF(ISNA(VLOOKUP(B28,Enregistrés!$A$3:$B$29,2,FALSE)),0,VLOOKUP(B28,Enregistrés!$A$3:$B$29,2,FALSE))</f>
        <v>37</v>
      </c>
      <c r="D28" s="23">
        <f>IF(ISNA(VLOOKUP(B28,'Producteurs payés'!$A$3:$B$28,2,FALSE)),0,VLOOKUP(B28,'Producteurs payés'!$A$3:$B$28,2,FALSE))</f>
        <v>6</v>
      </c>
      <c r="E28" s="23">
        <f>IF(ISNA(VLOOKUP(B28,'Hectares payés'!$A$3:$B$23,2,FALSE)),0,VLOOKUP(B28,'Hectares payés'!$A$3:$B$23,2,FALSE))</f>
        <v>26.5</v>
      </c>
      <c r="F28" s="23">
        <f>IF(ISNA(VLOOKUP(B28,'Hectares payés'!$A$32:$B$57,2,FALSE)),0,VLOOKUP(B28,'Hectares payés'!$A$32:$B$57,2,FALSE))</f>
        <v>37</v>
      </c>
    </row>
    <row r="31" spans="1:6" x14ac:dyDescent="0.25">
      <c r="B31" s="26" t="str">
        <f>Feuil7!D3</f>
        <v>Semaine</v>
      </c>
      <c r="C31" s="26" t="str">
        <f>Feuil7!E3</f>
        <v>ha labouré</v>
      </c>
      <c r="D31" s="26" t="str">
        <f>Feuil7!F3</f>
        <v>ha labouré cumulé</v>
      </c>
    </row>
    <row r="32" spans="1:6" x14ac:dyDescent="0.25">
      <c r="A32" s="23" t="s">
        <v>1354</v>
      </c>
      <c r="B32" s="26" t="str">
        <f>Feuil7!D4</f>
        <v>S04</v>
      </c>
      <c r="C32" s="26">
        <f>Feuil7!E4</f>
        <v>17.5</v>
      </c>
      <c r="D32" s="26">
        <f>Feuil7!F4</f>
        <v>17.5</v>
      </c>
    </row>
    <row r="33" spans="1:4" x14ac:dyDescent="0.25">
      <c r="A33" s="23" t="s">
        <v>1355</v>
      </c>
      <c r="B33" s="26" t="str">
        <f>Feuil7!D5</f>
        <v>S05</v>
      </c>
      <c r="C33" s="26">
        <f>Feuil7!E5</f>
        <v>21</v>
      </c>
      <c r="D33" s="26">
        <f>Feuil7!F5</f>
        <v>38.5</v>
      </c>
    </row>
    <row r="34" spans="1:4" x14ac:dyDescent="0.25">
      <c r="A34" s="23" t="s">
        <v>1356</v>
      </c>
      <c r="B34" s="26" t="str">
        <f>Feuil7!D6</f>
        <v>S06</v>
      </c>
      <c r="C34" s="26">
        <f>Feuil7!E6</f>
        <v>4</v>
      </c>
      <c r="D34" s="26">
        <f>Feuil7!F6</f>
        <v>42.5</v>
      </c>
    </row>
    <row r="35" spans="1:4" x14ac:dyDescent="0.25">
      <c r="A35" s="23" t="s">
        <v>1357</v>
      </c>
      <c r="B35" s="26" t="str">
        <f>Feuil7!D7</f>
        <v>S07</v>
      </c>
      <c r="C35" s="26">
        <f>Feuil7!E7</f>
        <v>30</v>
      </c>
      <c r="D35" s="26">
        <f>Feuil7!F7</f>
        <v>72.5</v>
      </c>
    </row>
    <row r="36" spans="1:4" x14ac:dyDescent="0.25">
      <c r="A36" s="23" t="s">
        <v>1358</v>
      </c>
      <c r="B36" s="26" t="str">
        <f>Feuil7!D8</f>
        <v>S08</v>
      </c>
      <c r="C36" s="26">
        <f>Feuil7!E8</f>
        <v>53.5</v>
      </c>
      <c r="D36" s="26">
        <f>Feuil7!F8</f>
        <v>126</v>
      </c>
    </row>
    <row r="37" spans="1:4" x14ac:dyDescent="0.25">
      <c r="A37" s="23" t="s">
        <v>1359</v>
      </c>
      <c r="B37" s="26" t="str">
        <f>Feuil7!D9</f>
        <v>S09</v>
      </c>
      <c r="C37" s="26">
        <f>Feuil7!E9</f>
        <v>23</v>
      </c>
      <c r="D37" s="26">
        <f>Feuil7!F9</f>
        <v>149</v>
      </c>
    </row>
    <row r="38" spans="1:4" x14ac:dyDescent="0.25">
      <c r="A38" s="23" t="s">
        <v>1344</v>
      </c>
      <c r="B38" s="26" t="str">
        <f>Feuil7!D10</f>
        <v>S10</v>
      </c>
      <c r="C38" s="26">
        <f>Feuil7!E10</f>
        <v>17</v>
      </c>
      <c r="D38" s="26">
        <f>Feuil7!F10</f>
        <v>166</v>
      </c>
    </row>
    <row r="39" spans="1:4" x14ac:dyDescent="0.25">
      <c r="A39" s="23" t="s">
        <v>1345</v>
      </c>
      <c r="B39" s="26" t="str">
        <f>Feuil7!D11</f>
        <v>S11</v>
      </c>
      <c r="C39" s="26">
        <f>Feuil7!E11</f>
        <v>4</v>
      </c>
      <c r="D39" s="26">
        <f>Feuil7!F11</f>
        <v>170</v>
      </c>
    </row>
    <row r="40" spans="1:4" x14ac:dyDescent="0.25">
      <c r="A40" s="23" t="s">
        <v>1346</v>
      </c>
      <c r="B40" s="26" t="str">
        <f>Feuil7!D12</f>
        <v>S12</v>
      </c>
      <c r="C40" s="26">
        <f>Feuil7!E12</f>
        <v>86</v>
      </c>
      <c r="D40" s="26">
        <f>Feuil7!F12</f>
        <v>256</v>
      </c>
    </row>
    <row r="41" spans="1:4" x14ac:dyDescent="0.25">
      <c r="A41" s="23" t="s">
        <v>1347</v>
      </c>
      <c r="B41" s="26" t="str">
        <f>Feuil7!D13</f>
        <v>S13</v>
      </c>
      <c r="C41" s="26">
        <f>Feuil7!E13</f>
        <v>66.5</v>
      </c>
      <c r="D41" s="26">
        <f>Feuil7!F13</f>
        <v>322.5</v>
      </c>
    </row>
    <row r="42" spans="1:4" x14ac:dyDescent="0.25">
      <c r="A42" s="23" t="s">
        <v>1348</v>
      </c>
      <c r="B42" s="26" t="str">
        <f>Feuil7!D14</f>
        <v>S14</v>
      </c>
      <c r="C42" s="26">
        <f>Feuil7!E14</f>
        <v>85</v>
      </c>
      <c r="D42" s="26">
        <f>Feuil7!F14</f>
        <v>407.5</v>
      </c>
    </row>
    <row r="43" spans="1:4" x14ac:dyDescent="0.25">
      <c r="A43" s="23" t="s">
        <v>1349</v>
      </c>
      <c r="B43" s="26" t="str">
        <f>Feuil7!D15</f>
        <v>S15</v>
      </c>
      <c r="C43" s="26">
        <f>Feuil7!E15</f>
        <v>75</v>
      </c>
      <c r="D43" s="26">
        <f>Feuil7!F15</f>
        <v>482.5</v>
      </c>
    </row>
    <row r="44" spans="1:4" x14ac:dyDescent="0.25">
      <c r="A44" s="23" t="s">
        <v>1350</v>
      </c>
      <c r="B44" s="26" t="str">
        <f>Feuil7!D16</f>
        <v>S16</v>
      </c>
      <c r="C44" s="26">
        <f>Feuil7!E16</f>
        <v>18</v>
      </c>
      <c r="D44" s="26">
        <f>Feuil7!F16</f>
        <v>500.5</v>
      </c>
    </row>
    <row r="45" spans="1:4" x14ac:dyDescent="0.25">
      <c r="A45" s="23" t="s">
        <v>1351</v>
      </c>
      <c r="B45" s="26" t="str">
        <f>Feuil7!D17</f>
        <v>S17</v>
      </c>
      <c r="C45" s="26">
        <f>Feuil7!E17</f>
        <v>205</v>
      </c>
      <c r="D45" s="26">
        <f>Feuil7!F17</f>
        <v>705.5</v>
      </c>
    </row>
    <row r="46" spans="1:4" x14ac:dyDescent="0.25">
      <c r="A46" s="23" t="s">
        <v>1352</v>
      </c>
      <c r="B46" s="26" t="str">
        <f>Feuil7!D18</f>
        <v>S18</v>
      </c>
      <c r="C46" s="26">
        <f>Feuil7!E18</f>
        <v>500</v>
      </c>
      <c r="D46" s="26">
        <f>Feuil7!F18</f>
        <v>1205.5</v>
      </c>
    </row>
    <row r="47" spans="1:4" x14ac:dyDescent="0.25">
      <c r="A47" s="23" t="s">
        <v>1353</v>
      </c>
      <c r="B47" s="26" t="str">
        <f>Feuil7!D19</f>
        <v>S19</v>
      </c>
      <c r="C47" s="26">
        <f>Feuil7!E19</f>
        <v>433</v>
      </c>
      <c r="D47" s="26">
        <f>Feuil7!F19</f>
        <v>1638.5</v>
      </c>
    </row>
    <row r="48" spans="1:4" x14ac:dyDescent="0.25">
      <c r="A48" s="23" t="s">
        <v>1373</v>
      </c>
      <c r="B48" s="26" t="str">
        <f>Feuil7!D20</f>
        <v>S20</v>
      </c>
      <c r="C48" s="26">
        <f>Feuil7!E20</f>
        <v>652.5</v>
      </c>
      <c r="D48" s="26">
        <f>Feuil7!F20</f>
        <v>2291</v>
      </c>
    </row>
  </sheetData>
  <mergeCells count="4">
    <mergeCell ref="A2:A7"/>
    <mergeCell ref="A8:A13"/>
    <mergeCell ref="A14:A21"/>
    <mergeCell ref="A22:A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70CFB-6F68-4F85-BEFD-6876FBEB4084}">
  <sheetPr codeName="Feuil4"/>
  <dimension ref="A1:B28"/>
  <sheetViews>
    <sheetView workbookViewId="0">
      <selection activeCell="H15" sqref="H15"/>
    </sheetView>
  </sheetViews>
  <sheetFormatPr baseColWidth="10" defaultColWidth="10.7109375" defaultRowHeight="15" x14ac:dyDescent="0.25"/>
  <cols>
    <col min="1" max="1" width="21" bestFit="1" customWidth="1"/>
    <col min="2" max="2" width="44.140625" bestFit="1" customWidth="1"/>
    <col min="3" max="20" width="23.85546875" bestFit="1" customWidth="1"/>
    <col min="21" max="21" width="12.5703125" bestFit="1" customWidth="1"/>
  </cols>
  <sheetData>
    <row r="1" spans="1:2" x14ac:dyDescent="0.25">
      <c r="A1" s="19" t="s">
        <v>18</v>
      </c>
      <c r="B1" t="s">
        <v>59</v>
      </c>
    </row>
    <row r="3" spans="1:2" x14ac:dyDescent="0.25">
      <c r="A3" s="19" t="s">
        <v>1324</v>
      </c>
      <c r="B3" t="s">
        <v>1327</v>
      </c>
    </row>
    <row r="4" spans="1:2" x14ac:dyDescent="0.25">
      <c r="A4" s="20" t="s">
        <v>253</v>
      </c>
      <c r="B4">
        <v>24</v>
      </c>
    </row>
    <row r="5" spans="1:2" x14ac:dyDescent="0.25">
      <c r="A5" s="20" t="s">
        <v>595</v>
      </c>
      <c r="B5">
        <v>1</v>
      </c>
    </row>
    <row r="6" spans="1:2" x14ac:dyDescent="0.25">
      <c r="A6" s="20" t="s">
        <v>123</v>
      </c>
      <c r="B6">
        <v>4</v>
      </c>
    </row>
    <row r="7" spans="1:2" x14ac:dyDescent="0.25">
      <c r="A7" s="20" t="s">
        <v>1086</v>
      </c>
      <c r="B7">
        <v>6</v>
      </c>
    </row>
    <row r="8" spans="1:2" x14ac:dyDescent="0.25">
      <c r="A8" s="20" t="s">
        <v>677</v>
      </c>
      <c r="B8">
        <v>9</v>
      </c>
    </row>
    <row r="9" spans="1:2" x14ac:dyDescent="0.25">
      <c r="A9" s="20" t="s">
        <v>234</v>
      </c>
      <c r="B9">
        <v>15</v>
      </c>
    </row>
    <row r="10" spans="1:2" x14ac:dyDescent="0.25">
      <c r="A10" s="20" t="s">
        <v>495</v>
      </c>
      <c r="B10">
        <v>23</v>
      </c>
    </row>
    <row r="11" spans="1:2" x14ac:dyDescent="0.25">
      <c r="A11" s="20" t="s">
        <v>552</v>
      </c>
      <c r="B11">
        <v>11</v>
      </c>
    </row>
    <row r="12" spans="1:2" x14ac:dyDescent="0.25">
      <c r="A12" s="20" t="s">
        <v>343</v>
      </c>
      <c r="B12">
        <v>20</v>
      </c>
    </row>
    <row r="13" spans="1:2" x14ac:dyDescent="0.25">
      <c r="A13" s="20" t="s">
        <v>876</v>
      </c>
      <c r="B13">
        <v>2</v>
      </c>
    </row>
    <row r="14" spans="1:2" x14ac:dyDescent="0.25">
      <c r="A14" s="20" t="s">
        <v>225</v>
      </c>
      <c r="B14">
        <v>48</v>
      </c>
    </row>
    <row r="15" spans="1:2" x14ac:dyDescent="0.25">
      <c r="A15" s="20" t="s">
        <v>79</v>
      </c>
      <c r="B15">
        <v>37</v>
      </c>
    </row>
    <row r="16" spans="1:2" x14ac:dyDescent="0.25">
      <c r="A16" s="20" t="s">
        <v>400</v>
      </c>
      <c r="B16">
        <v>90</v>
      </c>
    </row>
    <row r="17" spans="1:2" x14ac:dyDescent="0.25">
      <c r="A17" s="20" t="s">
        <v>1123</v>
      </c>
      <c r="B17">
        <v>1</v>
      </c>
    </row>
    <row r="18" spans="1:2" x14ac:dyDescent="0.25">
      <c r="A18" s="20" t="s">
        <v>391</v>
      </c>
      <c r="B18">
        <v>22</v>
      </c>
    </row>
    <row r="19" spans="1:2" x14ac:dyDescent="0.25">
      <c r="A19" s="20" t="s">
        <v>1004</v>
      </c>
      <c r="B19">
        <v>7</v>
      </c>
    </row>
    <row r="20" spans="1:2" x14ac:dyDescent="0.25">
      <c r="A20" s="20" t="s">
        <v>623</v>
      </c>
      <c r="B20">
        <v>6</v>
      </c>
    </row>
    <row r="21" spans="1:2" x14ac:dyDescent="0.25">
      <c r="A21" s="20" t="s">
        <v>25</v>
      </c>
      <c r="B21">
        <v>37</v>
      </c>
    </row>
    <row r="22" spans="1:2" x14ac:dyDescent="0.25">
      <c r="A22" s="20" t="s">
        <v>115</v>
      </c>
      <c r="B22">
        <v>18</v>
      </c>
    </row>
    <row r="23" spans="1:2" x14ac:dyDescent="0.25">
      <c r="A23" s="20" t="s">
        <v>241</v>
      </c>
      <c r="B23">
        <v>11</v>
      </c>
    </row>
    <row r="24" spans="1:2" x14ac:dyDescent="0.25">
      <c r="A24" s="20" t="s">
        <v>1242</v>
      </c>
      <c r="B24">
        <v>3</v>
      </c>
    </row>
    <row r="25" spans="1:2" x14ac:dyDescent="0.25">
      <c r="A25" s="20" t="s">
        <v>53</v>
      </c>
      <c r="B25">
        <v>42</v>
      </c>
    </row>
    <row r="26" spans="1:2" x14ac:dyDescent="0.25">
      <c r="A26" s="20" t="s">
        <v>1339</v>
      </c>
      <c r="B26">
        <v>5</v>
      </c>
    </row>
    <row r="27" spans="1:2" x14ac:dyDescent="0.25">
      <c r="A27" s="20" t="s">
        <v>1336</v>
      </c>
      <c r="B27">
        <v>1</v>
      </c>
    </row>
    <row r="28" spans="1:2" x14ac:dyDescent="0.25">
      <c r="A28" s="20" t="s">
        <v>1325</v>
      </c>
      <c r="B28">
        <v>443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0B70C-5B51-45E7-BC03-5A3EF2814129}">
  <sheetPr codeName="Feuil5"/>
  <dimension ref="A1:B57"/>
  <sheetViews>
    <sheetView workbookViewId="0">
      <selection activeCell="H15" sqref="H15"/>
    </sheetView>
  </sheetViews>
  <sheetFormatPr baseColWidth="10" defaultColWidth="10.7109375" defaultRowHeight="15" x14ac:dyDescent="0.25"/>
  <cols>
    <col min="1" max="1" width="21" bestFit="1" customWidth="1"/>
    <col min="2" max="2" width="43.5703125" bestFit="1" customWidth="1"/>
  </cols>
  <sheetData>
    <row r="1" spans="1:2" x14ac:dyDescent="0.25">
      <c r="A1" s="19" t="s">
        <v>1323</v>
      </c>
      <c r="B1" t="s">
        <v>1328</v>
      </c>
    </row>
    <row r="3" spans="1:2" x14ac:dyDescent="0.25">
      <c r="A3" s="19" t="s">
        <v>1324</v>
      </c>
      <c r="B3" t="s">
        <v>1326</v>
      </c>
    </row>
    <row r="4" spans="1:2" x14ac:dyDescent="0.25">
      <c r="A4" s="20" t="s">
        <v>253</v>
      </c>
      <c r="B4">
        <v>161</v>
      </c>
    </row>
    <row r="5" spans="1:2" x14ac:dyDescent="0.25">
      <c r="A5" s="20" t="s">
        <v>595</v>
      </c>
      <c r="B5">
        <v>40</v>
      </c>
    </row>
    <row r="6" spans="1:2" x14ac:dyDescent="0.25">
      <c r="A6" s="20" t="s">
        <v>1086</v>
      </c>
      <c r="B6">
        <v>8</v>
      </c>
    </row>
    <row r="7" spans="1:2" x14ac:dyDescent="0.25">
      <c r="A7" s="20" t="s">
        <v>677</v>
      </c>
      <c r="B7">
        <v>16</v>
      </c>
    </row>
    <row r="8" spans="1:2" x14ac:dyDescent="0.25">
      <c r="A8" s="20" t="s">
        <v>234</v>
      </c>
      <c r="B8">
        <v>47.5</v>
      </c>
    </row>
    <row r="9" spans="1:2" x14ac:dyDescent="0.25">
      <c r="A9" s="20" t="s">
        <v>495</v>
      </c>
      <c r="B9">
        <v>31</v>
      </c>
    </row>
    <row r="10" spans="1:2" x14ac:dyDescent="0.25">
      <c r="A10" s="20" t="s">
        <v>552</v>
      </c>
      <c r="B10">
        <v>67</v>
      </c>
    </row>
    <row r="11" spans="1:2" x14ac:dyDescent="0.25">
      <c r="A11" s="20" t="s">
        <v>343</v>
      </c>
      <c r="B11">
        <v>51</v>
      </c>
    </row>
    <row r="12" spans="1:2" x14ac:dyDescent="0.25">
      <c r="A12" s="20" t="s">
        <v>225</v>
      </c>
      <c r="B12">
        <v>124</v>
      </c>
    </row>
    <row r="13" spans="1:2" x14ac:dyDescent="0.25">
      <c r="A13" s="20" t="s">
        <v>79</v>
      </c>
      <c r="B13">
        <v>241</v>
      </c>
    </row>
    <row r="14" spans="1:2" x14ac:dyDescent="0.25">
      <c r="A14" s="20" t="s">
        <v>400</v>
      </c>
      <c r="B14">
        <v>277</v>
      </c>
    </row>
    <row r="15" spans="1:2" x14ac:dyDescent="0.25">
      <c r="A15" s="20" t="s">
        <v>391</v>
      </c>
      <c r="B15">
        <v>106</v>
      </c>
    </row>
    <row r="16" spans="1:2" x14ac:dyDescent="0.25">
      <c r="A16" s="20" t="s">
        <v>1004</v>
      </c>
      <c r="B16">
        <v>19</v>
      </c>
    </row>
    <row r="17" spans="1:2" x14ac:dyDescent="0.25">
      <c r="A17" s="20" t="s">
        <v>623</v>
      </c>
      <c r="B17">
        <v>26.5</v>
      </c>
    </row>
    <row r="18" spans="1:2" x14ac:dyDescent="0.25">
      <c r="A18" s="20" t="s">
        <v>25</v>
      </c>
      <c r="B18">
        <v>176</v>
      </c>
    </row>
    <row r="19" spans="1:2" x14ac:dyDescent="0.25">
      <c r="A19" s="20" t="s">
        <v>115</v>
      </c>
      <c r="B19">
        <v>24</v>
      </c>
    </row>
    <row r="20" spans="1:2" x14ac:dyDescent="0.25">
      <c r="A20" s="20" t="s">
        <v>241</v>
      </c>
      <c r="B20">
        <v>49</v>
      </c>
    </row>
    <row r="21" spans="1:2" x14ac:dyDescent="0.25">
      <c r="A21" s="20" t="s">
        <v>1242</v>
      </c>
      <c r="B21">
        <v>7</v>
      </c>
    </row>
    <row r="22" spans="1:2" x14ac:dyDescent="0.25">
      <c r="A22" s="20" t="s">
        <v>53</v>
      </c>
      <c r="B22">
        <v>167.5</v>
      </c>
    </row>
    <row r="23" spans="1:2" x14ac:dyDescent="0.25">
      <c r="A23" s="20" t="s">
        <v>1325</v>
      </c>
      <c r="B23">
        <v>1638.5</v>
      </c>
    </row>
    <row r="30" spans="1:2" x14ac:dyDescent="0.25">
      <c r="A30" s="19" t="s">
        <v>1323</v>
      </c>
      <c r="B30" t="s">
        <v>1328</v>
      </c>
    </row>
    <row r="32" spans="1:2" x14ac:dyDescent="0.25">
      <c r="A32" s="19" t="s">
        <v>1324</v>
      </c>
      <c r="B32" t="s">
        <v>1326</v>
      </c>
    </row>
    <row r="33" spans="1:2" x14ac:dyDescent="0.25">
      <c r="A33" s="20" t="s">
        <v>253</v>
      </c>
      <c r="B33">
        <v>216</v>
      </c>
    </row>
    <row r="34" spans="1:2" x14ac:dyDescent="0.25">
      <c r="A34" s="20" t="s">
        <v>595</v>
      </c>
      <c r="B34">
        <v>40</v>
      </c>
    </row>
    <row r="35" spans="1:2" x14ac:dyDescent="0.25">
      <c r="A35" s="20" t="s">
        <v>123</v>
      </c>
      <c r="B35">
        <v>42.5</v>
      </c>
    </row>
    <row r="36" spans="1:2" x14ac:dyDescent="0.25">
      <c r="A36" s="20" t="s">
        <v>1086</v>
      </c>
      <c r="B36">
        <v>8</v>
      </c>
    </row>
    <row r="37" spans="1:2" x14ac:dyDescent="0.25">
      <c r="A37" s="20" t="s">
        <v>677</v>
      </c>
      <c r="B37">
        <v>63</v>
      </c>
    </row>
    <row r="38" spans="1:2" x14ac:dyDescent="0.25">
      <c r="A38" s="20" t="s">
        <v>234</v>
      </c>
      <c r="B38">
        <v>52.5</v>
      </c>
    </row>
    <row r="39" spans="1:2" x14ac:dyDescent="0.25">
      <c r="A39" s="20" t="s">
        <v>495</v>
      </c>
      <c r="B39">
        <v>39</v>
      </c>
    </row>
    <row r="40" spans="1:2" x14ac:dyDescent="0.25">
      <c r="A40" s="20" t="s">
        <v>552</v>
      </c>
      <c r="B40">
        <v>96</v>
      </c>
    </row>
    <row r="41" spans="1:2" x14ac:dyDescent="0.25">
      <c r="A41" s="20" t="s">
        <v>343</v>
      </c>
      <c r="B41">
        <v>84</v>
      </c>
    </row>
    <row r="42" spans="1:2" x14ac:dyDescent="0.25">
      <c r="A42" s="20" t="s">
        <v>876</v>
      </c>
      <c r="B42">
        <v>8</v>
      </c>
    </row>
    <row r="43" spans="1:2" x14ac:dyDescent="0.25">
      <c r="A43" s="20" t="s">
        <v>225</v>
      </c>
      <c r="B43">
        <v>143</v>
      </c>
    </row>
    <row r="44" spans="1:2" x14ac:dyDescent="0.25">
      <c r="A44" s="20" t="s">
        <v>79</v>
      </c>
      <c r="B44">
        <v>261</v>
      </c>
    </row>
    <row r="45" spans="1:2" x14ac:dyDescent="0.25">
      <c r="A45" s="20" t="s">
        <v>400</v>
      </c>
      <c r="B45">
        <v>389</v>
      </c>
    </row>
    <row r="46" spans="1:2" x14ac:dyDescent="0.25">
      <c r="A46" s="20" t="s">
        <v>1123</v>
      </c>
      <c r="B46">
        <v>10</v>
      </c>
    </row>
    <row r="47" spans="1:2" x14ac:dyDescent="0.25">
      <c r="A47" s="20" t="s">
        <v>391</v>
      </c>
      <c r="B47">
        <v>106</v>
      </c>
    </row>
    <row r="48" spans="1:2" x14ac:dyDescent="0.25">
      <c r="A48" s="20" t="s">
        <v>1004</v>
      </c>
      <c r="B48">
        <v>105</v>
      </c>
    </row>
    <row r="49" spans="1:2" x14ac:dyDescent="0.25">
      <c r="A49" s="20" t="s">
        <v>623</v>
      </c>
      <c r="B49">
        <v>37</v>
      </c>
    </row>
    <row r="50" spans="1:2" x14ac:dyDescent="0.25">
      <c r="A50" s="20" t="s">
        <v>25</v>
      </c>
      <c r="B50">
        <v>181</v>
      </c>
    </row>
    <row r="51" spans="1:2" x14ac:dyDescent="0.25">
      <c r="A51" s="20" t="s">
        <v>115</v>
      </c>
      <c r="B51">
        <v>40</v>
      </c>
    </row>
    <row r="52" spans="1:2" x14ac:dyDescent="0.25">
      <c r="A52" s="20" t="s">
        <v>241</v>
      </c>
      <c r="B52">
        <v>106</v>
      </c>
    </row>
    <row r="53" spans="1:2" x14ac:dyDescent="0.25">
      <c r="A53" s="20" t="s">
        <v>1242</v>
      </c>
      <c r="B53">
        <v>7</v>
      </c>
    </row>
    <row r="54" spans="1:2" x14ac:dyDescent="0.25">
      <c r="A54" s="20" t="s">
        <v>53</v>
      </c>
      <c r="B54">
        <v>240</v>
      </c>
    </row>
    <row r="55" spans="1:2" x14ac:dyDescent="0.25">
      <c r="A55" s="20" t="s">
        <v>1339</v>
      </c>
      <c r="B55">
        <v>16</v>
      </c>
    </row>
    <row r="56" spans="1:2" x14ac:dyDescent="0.25">
      <c r="A56" s="20" t="s">
        <v>1336</v>
      </c>
      <c r="B56">
        <v>1</v>
      </c>
    </row>
    <row r="57" spans="1:2" x14ac:dyDescent="0.25">
      <c r="A57" s="20" t="s">
        <v>1325</v>
      </c>
      <c r="B57">
        <v>2291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7380B-199D-499D-A2F4-588443DAE74C}">
  <sheetPr codeName="Feuil3"/>
  <dimension ref="A1:B29"/>
  <sheetViews>
    <sheetView topLeftCell="A8" workbookViewId="0">
      <selection activeCell="H15" sqref="H15"/>
    </sheetView>
  </sheetViews>
  <sheetFormatPr baseColWidth="10" defaultColWidth="10.7109375" defaultRowHeight="15" x14ac:dyDescent="0.25"/>
  <cols>
    <col min="1" max="1" width="21" bestFit="1" customWidth="1"/>
    <col min="2" max="2" width="43.5703125" bestFit="1" customWidth="1"/>
  </cols>
  <sheetData>
    <row r="1" spans="1:2" x14ac:dyDescent="0.25">
      <c r="A1" s="19" t="s">
        <v>1767</v>
      </c>
      <c r="B1" t="s">
        <v>1328</v>
      </c>
    </row>
    <row r="3" spans="1:2" x14ac:dyDescent="0.25">
      <c r="A3" s="19" t="s">
        <v>1324</v>
      </c>
      <c r="B3" t="s">
        <v>1326</v>
      </c>
    </row>
    <row r="4" spans="1:2" x14ac:dyDescent="0.25">
      <c r="A4" s="20" t="s">
        <v>253</v>
      </c>
      <c r="B4">
        <v>216</v>
      </c>
    </row>
    <row r="5" spans="1:2" x14ac:dyDescent="0.25">
      <c r="A5" s="20" t="s">
        <v>595</v>
      </c>
      <c r="B5">
        <v>40</v>
      </c>
    </row>
    <row r="6" spans="1:2" x14ac:dyDescent="0.25">
      <c r="A6" s="20" t="s">
        <v>123</v>
      </c>
      <c r="B6">
        <v>80</v>
      </c>
    </row>
    <row r="7" spans="1:2" x14ac:dyDescent="0.25">
      <c r="A7" s="20" t="s">
        <v>1086</v>
      </c>
      <c r="B7">
        <v>18</v>
      </c>
    </row>
    <row r="8" spans="1:2" x14ac:dyDescent="0.25">
      <c r="A8" s="20" t="s">
        <v>677</v>
      </c>
      <c r="B8">
        <v>68</v>
      </c>
    </row>
    <row r="9" spans="1:2" x14ac:dyDescent="0.25">
      <c r="A9" s="20" t="s">
        <v>234</v>
      </c>
      <c r="B9">
        <v>52.5</v>
      </c>
    </row>
    <row r="10" spans="1:2" x14ac:dyDescent="0.25">
      <c r="A10" s="20" t="s">
        <v>495</v>
      </c>
      <c r="B10">
        <v>39</v>
      </c>
    </row>
    <row r="11" spans="1:2" x14ac:dyDescent="0.25">
      <c r="A11" s="20" t="s">
        <v>552</v>
      </c>
      <c r="B11">
        <v>96</v>
      </c>
    </row>
    <row r="12" spans="1:2" x14ac:dyDescent="0.25">
      <c r="A12" s="20" t="s">
        <v>343</v>
      </c>
      <c r="B12">
        <v>84</v>
      </c>
    </row>
    <row r="13" spans="1:2" x14ac:dyDescent="0.25">
      <c r="A13" s="20" t="s">
        <v>876</v>
      </c>
      <c r="B13">
        <v>8</v>
      </c>
    </row>
    <row r="14" spans="1:2" x14ac:dyDescent="0.25">
      <c r="A14" s="20" t="s">
        <v>225</v>
      </c>
      <c r="B14">
        <v>143</v>
      </c>
    </row>
    <row r="15" spans="1:2" x14ac:dyDescent="0.25">
      <c r="A15" s="20" t="s">
        <v>79</v>
      </c>
      <c r="B15">
        <v>261</v>
      </c>
    </row>
    <row r="16" spans="1:2" x14ac:dyDescent="0.25">
      <c r="A16" s="20" t="s">
        <v>400</v>
      </c>
      <c r="B16">
        <v>389</v>
      </c>
    </row>
    <row r="17" spans="1:2" x14ac:dyDescent="0.25">
      <c r="A17" s="20" t="s">
        <v>1123</v>
      </c>
      <c r="B17">
        <v>10</v>
      </c>
    </row>
    <row r="18" spans="1:2" x14ac:dyDescent="0.25">
      <c r="A18" s="20" t="s">
        <v>391</v>
      </c>
      <c r="B18">
        <v>106</v>
      </c>
    </row>
    <row r="19" spans="1:2" x14ac:dyDescent="0.25">
      <c r="A19" s="20" t="s">
        <v>1004</v>
      </c>
      <c r="B19">
        <v>105</v>
      </c>
    </row>
    <row r="20" spans="1:2" x14ac:dyDescent="0.25">
      <c r="A20" s="20" t="s">
        <v>623</v>
      </c>
      <c r="B20">
        <v>37</v>
      </c>
    </row>
    <row r="21" spans="1:2" x14ac:dyDescent="0.25">
      <c r="A21" s="20" t="s">
        <v>25</v>
      </c>
      <c r="B21">
        <v>181</v>
      </c>
    </row>
    <row r="22" spans="1:2" x14ac:dyDescent="0.25">
      <c r="A22" s="20" t="s">
        <v>115</v>
      </c>
      <c r="B22">
        <v>50</v>
      </c>
    </row>
    <row r="23" spans="1:2" x14ac:dyDescent="0.25">
      <c r="A23" s="20" t="s">
        <v>241</v>
      </c>
      <c r="B23">
        <v>106</v>
      </c>
    </row>
    <row r="24" spans="1:2" x14ac:dyDescent="0.25">
      <c r="A24" s="20" t="s">
        <v>1242</v>
      </c>
      <c r="B24">
        <v>7</v>
      </c>
    </row>
    <row r="25" spans="1:2" x14ac:dyDescent="0.25">
      <c r="A25" s="20" t="s">
        <v>53</v>
      </c>
      <c r="B25">
        <v>259</v>
      </c>
    </row>
    <row r="26" spans="1:2" x14ac:dyDescent="0.25">
      <c r="A26" s="20" t="s">
        <v>1339</v>
      </c>
      <c r="B26">
        <v>16</v>
      </c>
    </row>
    <row r="27" spans="1:2" x14ac:dyDescent="0.25">
      <c r="A27" s="20" t="s">
        <v>1336</v>
      </c>
      <c r="B27">
        <v>1</v>
      </c>
    </row>
    <row r="28" spans="1:2" x14ac:dyDescent="0.25">
      <c r="A28" s="20" t="s">
        <v>1360</v>
      </c>
      <c r="B28">
        <v>1609</v>
      </c>
    </row>
    <row r="29" spans="1:2" x14ac:dyDescent="0.25">
      <c r="A29" s="20" t="s">
        <v>1325</v>
      </c>
      <c r="B29">
        <v>3981.5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6D92-2D66-4710-BBAF-EC70F846F688}">
  <sheetPr codeName="Feuil2"/>
  <dimension ref="A1:F21"/>
  <sheetViews>
    <sheetView workbookViewId="0">
      <selection activeCell="E3" sqref="E3"/>
    </sheetView>
  </sheetViews>
  <sheetFormatPr baseColWidth="10" defaultColWidth="10.7109375" defaultRowHeight="15" x14ac:dyDescent="0.25"/>
  <cols>
    <col min="1" max="1" width="21" bestFit="1" customWidth="1"/>
    <col min="2" max="2" width="43.5703125" bestFit="1" customWidth="1"/>
  </cols>
  <sheetData>
    <row r="1" spans="1:6" x14ac:dyDescent="0.25">
      <c r="A1" s="19" t="s">
        <v>18</v>
      </c>
      <c r="B1" t="s">
        <v>59</v>
      </c>
    </row>
    <row r="3" spans="1:6" x14ac:dyDescent="0.25">
      <c r="A3" s="19" t="s">
        <v>1324</v>
      </c>
      <c r="B3" t="s">
        <v>1326</v>
      </c>
      <c r="D3" s="26" t="s">
        <v>1323</v>
      </c>
      <c r="E3" s="26" t="s">
        <v>1367</v>
      </c>
      <c r="F3" s="26" t="s">
        <v>1368</v>
      </c>
    </row>
    <row r="4" spans="1:6" x14ac:dyDescent="0.25">
      <c r="A4" s="20" t="s">
        <v>1344</v>
      </c>
      <c r="B4">
        <v>17</v>
      </c>
      <c r="D4" s="23" t="s">
        <v>1361</v>
      </c>
      <c r="E4" s="23">
        <v>17.5</v>
      </c>
      <c r="F4" s="23">
        <f>E4</f>
        <v>17.5</v>
      </c>
    </row>
    <row r="5" spans="1:6" x14ac:dyDescent="0.25">
      <c r="A5" s="20" t="s">
        <v>1345</v>
      </c>
      <c r="B5">
        <v>4</v>
      </c>
      <c r="D5" s="23" t="s">
        <v>1362</v>
      </c>
      <c r="E5" s="23">
        <v>21</v>
      </c>
      <c r="F5" s="23">
        <f>F4+E5</f>
        <v>38.5</v>
      </c>
    </row>
    <row r="6" spans="1:6" x14ac:dyDescent="0.25">
      <c r="A6" s="20" t="s">
        <v>1346</v>
      </c>
      <c r="B6">
        <v>86</v>
      </c>
      <c r="D6" s="23" t="s">
        <v>1363</v>
      </c>
      <c r="E6" s="23">
        <v>4</v>
      </c>
      <c r="F6" s="23">
        <f t="shared" ref="F6:F19" si="0">F5+E6</f>
        <v>42.5</v>
      </c>
    </row>
    <row r="7" spans="1:6" x14ac:dyDescent="0.25">
      <c r="A7" s="20" t="s">
        <v>1347</v>
      </c>
      <c r="B7">
        <v>66.5</v>
      </c>
      <c r="D7" s="23" t="s">
        <v>1364</v>
      </c>
      <c r="E7" s="23">
        <v>30</v>
      </c>
      <c r="F7" s="23">
        <f t="shared" si="0"/>
        <v>72.5</v>
      </c>
    </row>
    <row r="8" spans="1:6" x14ac:dyDescent="0.25">
      <c r="A8" s="20" t="s">
        <v>1348</v>
      </c>
      <c r="B8">
        <v>85</v>
      </c>
      <c r="D8" s="23" t="s">
        <v>1365</v>
      </c>
      <c r="E8" s="23">
        <v>53.5</v>
      </c>
      <c r="F8" s="23">
        <f t="shared" si="0"/>
        <v>126</v>
      </c>
    </row>
    <row r="9" spans="1:6" x14ac:dyDescent="0.25">
      <c r="A9" s="20" t="s">
        <v>1349</v>
      </c>
      <c r="B9">
        <v>75</v>
      </c>
      <c r="D9" s="23" t="s">
        <v>1366</v>
      </c>
      <c r="E9" s="23">
        <v>23</v>
      </c>
      <c r="F9" s="23">
        <f t="shared" si="0"/>
        <v>149</v>
      </c>
    </row>
    <row r="10" spans="1:6" x14ac:dyDescent="0.25">
      <c r="A10" s="20" t="s">
        <v>1350</v>
      </c>
      <c r="B10">
        <v>18</v>
      </c>
      <c r="D10" s="23" t="s">
        <v>1344</v>
      </c>
      <c r="E10" s="23">
        <f>VLOOKUP(D10,A3:B36,2,FALSE)</f>
        <v>17</v>
      </c>
      <c r="F10" s="23">
        <f t="shared" si="0"/>
        <v>166</v>
      </c>
    </row>
    <row r="11" spans="1:6" x14ac:dyDescent="0.25">
      <c r="A11" s="20" t="s">
        <v>1351</v>
      </c>
      <c r="B11">
        <v>205</v>
      </c>
      <c r="D11" s="23" t="s">
        <v>1345</v>
      </c>
      <c r="E11" s="23">
        <f t="shared" ref="E11:E19" si="1">VLOOKUP(D11,A4:B37,2,FALSE)</f>
        <v>4</v>
      </c>
      <c r="F11" s="23">
        <f t="shared" si="0"/>
        <v>170</v>
      </c>
    </row>
    <row r="12" spans="1:6" x14ac:dyDescent="0.25">
      <c r="A12" s="20" t="s">
        <v>1352</v>
      </c>
      <c r="B12">
        <v>500</v>
      </c>
      <c r="D12" s="23" t="s">
        <v>1346</v>
      </c>
      <c r="E12" s="23">
        <f t="shared" si="1"/>
        <v>86</v>
      </c>
      <c r="F12" s="23">
        <f t="shared" si="0"/>
        <v>256</v>
      </c>
    </row>
    <row r="13" spans="1:6" x14ac:dyDescent="0.25">
      <c r="A13" s="20" t="s">
        <v>1353</v>
      </c>
      <c r="B13">
        <v>433</v>
      </c>
      <c r="D13" s="23" t="s">
        <v>1347</v>
      </c>
      <c r="E13" s="23">
        <f t="shared" si="1"/>
        <v>66.5</v>
      </c>
      <c r="F13" s="23">
        <f t="shared" si="0"/>
        <v>322.5</v>
      </c>
    </row>
    <row r="14" spans="1:6" x14ac:dyDescent="0.25">
      <c r="A14" s="20" t="s">
        <v>1373</v>
      </c>
      <c r="B14">
        <v>652.5</v>
      </c>
      <c r="D14" s="23" t="s">
        <v>1348</v>
      </c>
      <c r="E14" s="23">
        <f t="shared" si="1"/>
        <v>85</v>
      </c>
      <c r="F14" s="23">
        <f t="shared" si="0"/>
        <v>407.5</v>
      </c>
    </row>
    <row r="15" spans="1:6" x14ac:dyDescent="0.25">
      <c r="A15" s="20" t="s">
        <v>1354</v>
      </c>
      <c r="B15">
        <v>17.5</v>
      </c>
      <c r="D15" s="23" t="s">
        <v>1349</v>
      </c>
      <c r="E15" s="23">
        <f t="shared" si="1"/>
        <v>75</v>
      </c>
      <c r="F15" s="23">
        <f t="shared" si="0"/>
        <v>482.5</v>
      </c>
    </row>
    <row r="16" spans="1:6" x14ac:dyDescent="0.25">
      <c r="A16" s="20" t="s">
        <v>1355</v>
      </c>
      <c r="B16">
        <v>21</v>
      </c>
      <c r="D16" s="23" t="s">
        <v>1350</v>
      </c>
      <c r="E16" s="23">
        <f t="shared" si="1"/>
        <v>18</v>
      </c>
      <c r="F16" s="23">
        <f t="shared" si="0"/>
        <v>500.5</v>
      </c>
    </row>
    <row r="17" spans="1:6" x14ac:dyDescent="0.25">
      <c r="A17" s="20" t="s">
        <v>1356</v>
      </c>
      <c r="B17">
        <v>4</v>
      </c>
      <c r="D17" s="23" t="s">
        <v>1351</v>
      </c>
      <c r="E17" s="23">
        <f t="shared" si="1"/>
        <v>205</v>
      </c>
      <c r="F17" s="23">
        <f t="shared" si="0"/>
        <v>705.5</v>
      </c>
    </row>
    <row r="18" spans="1:6" x14ac:dyDescent="0.25">
      <c r="A18" s="20" t="s">
        <v>1357</v>
      </c>
      <c r="B18">
        <v>30</v>
      </c>
      <c r="D18" s="23" t="s">
        <v>1352</v>
      </c>
      <c r="E18" s="23">
        <f t="shared" si="1"/>
        <v>500</v>
      </c>
      <c r="F18" s="23">
        <f t="shared" si="0"/>
        <v>1205.5</v>
      </c>
    </row>
    <row r="19" spans="1:6" x14ac:dyDescent="0.25">
      <c r="A19" s="20" t="s">
        <v>1358</v>
      </c>
      <c r="B19">
        <v>53.5</v>
      </c>
      <c r="D19" s="23" t="s">
        <v>1353</v>
      </c>
      <c r="E19" s="23">
        <f t="shared" si="1"/>
        <v>433</v>
      </c>
      <c r="F19" s="23">
        <f t="shared" si="0"/>
        <v>1638.5</v>
      </c>
    </row>
    <row r="20" spans="1:6" x14ac:dyDescent="0.25">
      <c r="A20" s="20" t="s">
        <v>1359</v>
      </c>
      <c r="B20">
        <v>23</v>
      </c>
      <c r="D20" s="23" t="s">
        <v>1373</v>
      </c>
      <c r="E20" s="23">
        <f t="shared" ref="E20" si="2">VLOOKUP(D20,A13:B46,2,FALSE)</f>
        <v>652.5</v>
      </c>
      <c r="F20" s="23">
        <f t="shared" ref="F20" si="3">F19+E20</f>
        <v>2291</v>
      </c>
    </row>
    <row r="21" spans="1:6" x14ac:dyDescent="0.25">
      <c r="A21" s="20" t="s">
        <v>1325</v>
      </c>
      <c r="B21">
        <v>2291</v>
      </c>
    </row>
  </sheetData>
  <autoFilter ref="D3:E3" xr:uid="{853B6D92-2D66-4710-BBAF-EC70F846F688}">
    <sortState xmlns:xlrd2="http://schemas.microsoft.com/office/spreadsheetml/2017/richdata2" ref="D4:E19">
      <sortCondition ref="D3"/>
    </sortState>
  </autoFilter>
  <phoneticPr fontId="4" type="noConversion"/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908-A2B3-4DED-AEB3-60E6F41FDB5C}">
  <sheetPr codeName="Feuil8"/>
  <dimension ref="B1:E39"/>
  <sheetViews>
    <sheetView workbookViewId="0">
      <selection activeCell="H15" sqref="H15"/>
    </sheetView>
  </sheetViews>
  <sheetFormatPr baseColWidth="10" defaultRowHeight="15" x14ac:dyDescent="0.25"/>
  <cols>
    <col min="2" max="2" width="14.140625" bestFit="1" customWidth="1"/>
  </cols>
  <sheetData>
    <row r="1" spans="2:5" x14ac:dyDescent="0.25">
      <c r="B1" t="s">
        <v>1785</v>
      </c>
      <c r="E1" s="35" t="s">
        <v>1</v>
      </c>
    </row>
    <row r="2" spans="2:5" x14ac:dyDescent="0.25">
      <c r="B2" t="s">
        <v>27</v>
      </c>
      <c r="E2" t="s">
        <v>253</v>
      </c>
    </row>
    <row r="3" spans="2:5" x14ac:dyDescent="0.25">
      <c r="B3" t="s">
        <v>42</v>
      </c>
      <c r="E3" t="s">
        <v>595</v>
      </c>
    </row>
    <row r="4" spans="2:5" x14ac:dyDescent="0.25">
      <c r="E4" t="s">
        <v>1768</v>
      </c>
    </row>
    <row r="5" spans="2:5" x14ac:dyDescent="0.25">
      <c r="E5" t="s">
        <v>1086</v>
      </c>
    </row>
    <row r="6" spans="2:5" x14ac:dyDescent="0.25">
      <c r="E6" t="s">
        <v>677</v>
      </c>
    </row>
    <row r="7" spans="2:5" x14ac:dyDescent="0.25">
      <c r="E7" t="s">
        <v>1774</v>
      </c>
    </row>
    <row r="8" spans="2:5" x14ac:dyDescent="0.25">
      <c r="E8" t="s">
        <v>234</v>
      </c>
    </row>
    <row r="9" spans="2:5" x14ac:dyDescent="0.25">
      <c r="E9" t="s">
        <v>1775</v>
      </c>
    </row>
    <row r="10" spans="2:5" x14ac:dyDescent="0.25">
      <c r="E10" t="s">
        <v>1771</v>
      </c>
    </row>
    <row r="11" spans="2:5" x14ac:dyDescent="0.25">
      <c r="E11" t="s">
        <v>552</v>
      </c>
    </row>
    <row r="12" spans="2:5" x14ac:dyDescent="0.25">
      <c r="E12" t="s">
        <v>614</v>
      </c>
    </row>
    <row r="13" spans="2:5" x14ac:dyDescent="0.25">
      <c r="E13" t="s">
        <v>1776</v>
      </c>
    </row>
    <row r="14" spans="2:5" x14ac:dyDescent="0.25">
      <c r="E14" t="s">
        <v>876</v>
      </c>
    </row>
    <row r="15" spans="2:5" x14ac:dyDescent="0.25">
      <c r="E15" t="s">
        <v>1769</v>
      </c>
    </row>
    <row r="16" spans="2:5" x14ac:dyDescent="0.25">
      <c r="E16" t="s">
        <v>1777</v>
      </c>
    </row>
    <row r="17" spans="5:5" x14ac:dyDescent="0.25">
      <c r="E17" t="s">
        <v>79</v>
      </c>
    </row>
    <row r="18" spans="5:5" x14ac:dyDescent="0.25">
      <c r="E18" t="s">
        <v>1770</v>
      </c>
    </row>
    <row r="19" spans="5:5" x14ac:dyDescent="0.25">
      <c r="E19" t="s">
        <v>1123</v>
      </c>
    </row>
    <row r="20" spans="5:5" x14ac:dyDescent="0.25">
      <c r="E20" t="s">
        <v>391</v>
      </c>
    </row>
    <row r="21" spans="5:5" x14ac:dyDescent="0.25">
      <c r="E21" t="s">
        <v>1333</v>
      </c>
    </row>
    <row r="22" spans="5:5" x14ac:dyDescent="0.25">
      <c r="E22" t="s">
        <v>1332</v>
      </c>
    </row>
    <row r="23" spans="5:5" x14ac:dyDescent="0.25">
      <c r="E23" t="s">
        <v>1004</v>
      </c>
    </row>
    <row r="24" spans="5:5" x14ac:dyDescent="0.25">
      <c r="E24" t="s">
        <v>1778</v>
      </c>
    </row>
    <row r="25" spans="5:5" x14ac:dyDescent="0.25">
      <c r="E25" t="s">
        <v>1779</v>
      </c>
    </row>
    <row r="26" spans="5:5" x14ac:dyDescent="0.25">
      <c r="E26" t="s">
        <v>623</v>
      </c>
    </row>
    <row r="27" spans="5:5" x14ac:dyDescent="0.25">
      <c r="E27" t="s">
        <v>25</v>
      </c>
    </row>
    <row r="28" spans="5:5" x14ac:dyDescent="0.25">
      <c r="E28" t="s">
        <v>1780</v>
      </c>
    </row>
    <row r="29" spans="5:5" x14ac:dyDescent="0.25">
      <c r="E29" t="s">
        <v>115</v>
      </c>
    </row>
    <row r="30" spans="5:5" x14ac:dyDescent="0.25">
      <c r="E30" t="s">
        <v>241</v>
      </c>
    </row>
    <row r="31" spans="5:5" x14ac:dyDescent="0.25">
      <c r="E31" t="s">
        <v>1781</v>
      </c>
    </row>
    <row r="32" spans="5:5" x14ac:dyDescent="0.25">
      <c r="E32" t="s">
        <v>1782</v>
      </c>
    </row>
    <row r="33" spans="5:5" x14ac:dyDescent="0.25">
      <c r="E33" t="s">
        <v>1772</v>
      </c>
    </row>
    <row r="34" spans="5:5" x14ac:dyDescent="0.25">
      <c r="E34" t="s">
        <v>1331</v>
      </c>
    </row>
    <row r="35" spans="5:5" x14ac:dyDescent="0.25">
      <c r="E35" t="s">
        <v>1783</v>
      </c>
    </row>
    <row r="36" spans="5:5" x14ac:dyDescent="0.25">
      <c r="E36" t="s">
        <v>53</v>
      </c>
    </row>
    <row r="37" spans="5:5" x14ac:dyDescent="0.25">
      <c r="E37" t="s">
        <v>1784</v>
      </c>
    </row>
    <row r="38" spans="5:5" x14ac:dyDescent="0.25">
      <c r="E38" t="s">
        <v>1773</v>
      </c>
    </row>
    <row r="39" spans="5:5" x14ac:dyDescent="0.25">
      <c r="E39" t="s">
        <v>1336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Base de données</vt:lpstr>
      <vt:lpstr>Synthèse</vt:lpstr>
      <vt:lpstr>Producteurs payés</vt:lpstr>
      <vt:lpstr>Hectares payés</vt:lpstr>
      <vt:lpstr>Enregistrés</vt:lpstr>
      <vt:lpstr>Feuil7</vt:lpstr>
      <vt:lpstr>Parametre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SANGARE</dc:creator>
  <cp:lastModifiedBy>SYLLA Mamadou Saliou</cp:lastModifiedBy>
  <dcterms:created xsi:type="dcterms:W3CDTF">2023-05-09T14:09:11Z</dcterms:created>
  <dcterms:modified xsi:type="dcterms:W3CDTF">2023-06-02T00:58:38Z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059aa38-f392-4105-be92-628035578272_Enabled">
    <vt:lpwstr>true</vt:lpwstr>
  </property>
  <property fmtid="{D5CDD505-2E9C-101B-9397-08002B2CF9AE}" pid="3" name="MSIP_Label_2059aa38-f392-4105-be92-628035578272_SetDate">
    <vt:lpwstr>2023-06-01T22:35:37Z</vt:lpwstr>
  </property>
  <property fmtid="{D5CDD505-2E9C-101B-9397-08002B2CF9AE}" pid="4" name="MSIP_Label_2059aa38-f392-4105-be92-628035578272_Method">
    <vt:lpwstr>Standard</vt:lpwstr>
  </property>
  <property fmtid="{D5CDD505-2E9C-101B-9397-08002B2CF9AE}" pid="5" name="MSIP_Label_2059aa38-f392-4105-be92-628035578272_Name">
    <vt:lpwstr>IOMLb0020IN123173</vt:lpwstr>
  </property>
  <property fmtid="{D5CDD505-2E9C-101B-9397-08002B2CF9AE}" pid="6" name="MSIP_Label_2059aa38-f392-4105-be92-628035578272_SiteId">
    <vt:lpwstr>1588262d-23fb-43b4-bd6e-bce49c8e6186</vt:lpwstr>
  </property>
  <property fmtid="{D5CDD505-2E9C-101B-9397-08002B2CF9AE}" pid="7" name="MSIP_Label_2059aa38-f392-4105-be92-628035578272_ActionId">
    <vt:lpwstr>1d203027-ddf9-40da-bc37-1d2dad1f7407</vt:lpwstr>
  </property>
  <property fmtid="{D5CDD505-2E9C-101B-9397-08002B2CF9AE}" pid="8" name="MSIP_Label_2059aa38-f392-4105-be92-628035578272_ContentBits">
    <vt:lpwstr>0</vt:lpwstr>
  </property>
</Properties>
</file>